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QUALIDADE E GOVERNANÇA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PLANO_DE_ACAO" sheetId="6" state="visible" r:id="rId6"/>
    <sheet xmlns:r="http://schemas.openxmlformats.org/officeDocument/2006/relationships" name="NPS DISCENTES" sheetId="7" state="visible" r:id="rId7"/>
    <sheet xmlns:r="http://schemas.openxmlformats.org/officeDocument/2006/relationships" name="AVALIAÇÃO DOCENTE" sheetId="8" state="visible" r:id="rId8"/>
    <sheet xmlns:r="http://schemas.openxmlformats.org/officeDocument/2006/relationships" name="RESULTADOS ACADÊMICOS" sheetId="9" state="visible" r:id="rId9"/>
    <sheet xmlns:r="http://schemas.openxmlformats.org/officeDocument/2006/relationships" name="METAS" sheetId="10" state="visible" r:id="rId10"/>
    <sheet xmlns:r="http://schemas.openxmlformats.org/officeDocument/2006/relationships" name="CURSOS" sheetId="11" state="visible" r:id="rId11"/>
    <sheet xmlns:r="http://schemas.openxmlformats.org/officeDocument/2006/relationships" name="DISCIPLINAS" sheetId="12" state="visible" r:id="rId12"/>
    <sheet xmlns:r="http://schemas.openxmlformats.org/officeDocument/2006/relationships" name="INDICADORES" sheetId="13" state="visible" r:id="rId13"/>
    <sheet xmlns:r="http://schemas.openxmlformats.org/officeDocument/2006/relationships" name="CALC" sheetId="14" state="visible" r:id="rId14"/>
    <sheet xmlns:r="http://schemas.openxmlformats.org/officeDocument/2006/relationships" name="LISTAS DE APOIO" sheetId="15" state="visible" r:id="rId15"/>
    <sheet xmlns:r="http://schemas.openxmlformats.org/officeDocument/2006/relationships" name="DIM_PERIODO" sheetId="16" state="visible" r:id="rId16"/>
    <sheet xmlns:r="http://schemas.openxmlformats.org/officeDocument/2006/relationships" name="DIM_MES" sheetId="17" state="visible" r:id="rId17"/>
  </sheets>
  <definedNames>
    <definedName name="LST_CURSOS">CURSOS!$A$5:$A$13</definedName>
    <definedName name="LST_CURSOS_FOCO">'LISTAS DE APOIO'!$H$5:$H$14</definedName>
    <definedName name="LST_DISCIPLINAS">DISCIPLINAS!$B$5:$B$300</definedName>
    <definedName name="LST_DISCIPLINAS_FOCO">'LISTAS DE APOIO'!$I$5:$I$305</definedName>
    <definedName name="LST_SEMESTRES">DIM_PERIODO!$A$5:$A$30</definedName>
    <definedName name="LST_MESES">DIM_MES!$B$5:$B$160</definedName>
    <definedName name="_xlnm._FilterDatabase" localSheetId="3" hidden="1">'QUALIDADE E GOVERNANÇA'!$A$5:$F$8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0.0"/>
    <numFmt numFmtId="166" formatCode="\+0.0;\-0.0;0.0"/>
    <numFmt numFmtId="167" formatCode="0.0%"/>
    <numFmt numFmtId="168" formatCode="\+0.0%;\-0.0%;0.0%"/>
    <numFmt numFmtId="169" formatCode="dd/mm/yyyy"/>
    <numFmt numFmtId="170" formatCode="0.0&quot;%&quot;"/>
    <numFmt numFmtId="171" formatCode="mmm/yyyy"/>
    <numFmt numFmtId="172" formatCode="yyyy-mm-dd"/>
  </numFmts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45233"/>
      <sz val="15"/>
    </font>
    <font>
      <name val="Arial"/>
      <charset val="1"/>
      <family val="0"/>
      <i val="1"/>
      <color rgb="FF5A5A5A"/>
      <sz val="9"/>
    </font>
    <font>
      <name val="Arial"/>
      <charset val="1"/>
      <family val="0"/>
      <b val="1"/>
      <color rgb="FF045233"/>
      <sz val="11"/>
    </font>
    <font>
      <name val="Arial"/>
      <charset val="1"/>
      <family val="0"/>
      <color rgb="FF000000"/>
      <sz val="10"/>
    </font>
    <font>
      <name val="Cambria"/>
      <charset val="1"/>
      <family val="0"/>
      <b val="1"/>
      <color rgb="FF1F1F1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A8A8A8"/>
      <sz val="8"/>
    </font>
    <font>
      <name val="Arial"/>
      <charset val="1"/>
      <family val="0"/>
      <color rgb="FFA8A8A8"/>
      <sz val="8"/>
    </font>
    <font>
      <name val="Arial"/>
      <charset val="1"/>
      <family val="0"/>
      <b val="1"/>
      <color rgb="FF5A5A5A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00563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045233"/>
      <sz val="12"/>
    </font>
    <font>
      <name val="Arial"/>
      <charset val="1"/>
      <family val="0"/>
      <color rgb="FF000000"/>
      <sz val="8"/>
    </font>
    <font>
      <name val="Arial"/>
      <charset val="1"/>
      <family val="0"/>
      <color rgb="FF5A5A5A"/>
      <sz val="9"/>
    </font>
    <font>
      <name val="Arial"/>
      <charset val="1"/>
      <family val="0"/>
      <b val="1"/>
      <i val="1"/>
      <color rgb="FF000000"/>
      <sz val="10"/>
    </font>
    <font>
      <name val="Cambria"/>
      <charset val="1"/>
      <family val="0"/>
      <color rgb="FF006100"/>
      <sz val="11"/>
    </font>
    <font>
      <name val="Arial"/>
      <charset val="1"/>
      <family val="0"/>
      <color rgb="FFA8A8A8"/>
      <sz val="9"/>
    </font>
    <font>
      <name val="Arial"/>
      <charset val="1"/>
      <family val="0"/>
      <b val="1"/>
      <color rgb="FF0B7A54"/>
      <sz val="10"/>
    </font>
    <font>
      <name val="Arial"/>
      <b val="1"/>
      <color rgb="00FFFFFF"/>
      <sz val="18"/>
    </font>
    <font>
      <name val="Arial"/>
      <i val="1"/>
      <color rgb="005F6F68"/>
      <sz val="10"/>
    </font>
    <font>
      <name val="Arial"/>
      <b val="1"/>
      <color rgb="000B5D3B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b val="1"/>
      <color rgb="00333333"/>
      <sz val="10"/>
    </font>
    <font>
      <name val="Arial"/>
      <b val="1"/>
      <color rgb="00666666"/>
      <sz val="10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0000"/>
      <sz val="9"/>
    </font>
    <font>
      <name val="Arial"/>
      <b val="1"/>
      <color rgb="000B5D3B"/>
      <sz val="10"/>
    </font>
    <font>
      <name val="Arial"/>
      <b val="1"/>
      <color rgb="000B5D3B"/>
      <sz val="18"/>
    </font>
  </fonts>
  <fills count="16">
    <fill>
      <patternFill/>
    </fill>
    <fill>
      <patternFill patternType="gray125"/>
    </fill>
    <fill>
      <patternFill patternType="solid">
        <fgColor rgb="FFFFF2CC"/>
        <bgColor rgb="FFFFEBD2"/>
      </patternFill>
    </fill>
    <fill>
      <patternFill patternType="solid">
        <fgColor rgb="FFF5F6F5"/>
        <bgColor rgb="FFEAF2FA"/>
      </patternFill>
    </fill>
    <fill>
      <patternFill patternType="solid">
        <fgColor rgb="FFFFF6DC"/>
        <bgColor rgb="FFFFF2CC"/>
      </patternFill>
    </fill>
    <fill>
      <patternFill patternType="solid">
        <fgColor rgb="FFE8F1ED"/>
        <bgColor rgb="FFEAF2FA"/>
      </patternFill>
    </fill>
    <fill>
      <patternFill patternType="solid">
        <fgColor rgb="FFEAF2FA"/>
        <bgColor rgb="FFE8F1ED"/>
      </patternFill>
    </fill>
    <fill>
      <patternFill patternType="solid">
        <fgColor rgb="FF045233"/>
        <bgColor rgb="FF00563F"/>
      </patternFill>
    </fill>
    <fill>
      <patternFill patternType="solid">
        <fgColor rgb="FF0B7A54"/>
        <bgColor rgb="FF146B4A"/>
      </patternFill>
    </fill>
    <fill>
      <patternFill patternType="solid">
        <fgColor rgb="FF00563F"/>
        <bgColor rgb="FF045233"/>
      </patternFill>
    </fill>
    <fill>
      <patternFill patternType="solid">
        <fgColor rgb="FFF4CCCC"/>
        <bgColor rgb="FFFBDDDD"/>
      </patternFill>
    </fill>
    <fill>
      <patternFill patternType="solid">
        <fgColor rgb="FFE2F0D9"/>
        <bgColor rgb="FFE8F1ED"/>
      </patternFill>
    </fill>
    <fill>
      <patternFill patternType="solid">
        <fgColor rgb="000B5D3B"/>
      </patternFill>
    </fill>
    <fill>
      <patternFill patternType="solid">
        <fgColor rgb="001F3B32"/>
      </patternFill>
    </fill>
    <fill>
      <patternFill patternType="solid">
        <fgColor rgb="00FFF2CC"/>
      </patternFill>
    </fill>
    <fill>
      <patternFill patternType="solid">
        <fgColor rgb="00F7F9F8"/>
      </patternFill>
    </fill>
  </fills>
  <borders count="14">
    <border>
      <left/>
      <right/>
      <top/>
      <bottom/>
      <diagonal/>
    </border>
    <border>
      <left style="thin">
        <color rgb="FFD2D8D5"/>
      </left>
      <right style="thin">
        <color rgb="FFD2D8D5"/>
      </right>
      <top style="thin">
        <color rgb="FFD2D8D5"/>
      </top>
      <bottom style="thin">
        <color rgb="FFD2D8D5"/>
      </bottom>
      <diagonal/>
    </border>
    <border>
      <left style="thin">
        <color rgb="FF9BB3A8"/>
      </left>
      <right style="thin">
        <color rgb="FF9BB3A8"/>
      </right>
      <top style="thin">
        <color rgb="FF9BB3A8"/>
      </top>
      <bottom style="thin">
        <color rgb="FF9BB3A8"/>
      </bottom>
      <diagonal/>
    </border>
    <border>
      <left style="thin">
        <color rgb="FF9BB3A8"/>
      </left>
      <right style="thin">
        <color rgb="FFD2D8D5"/>
      </right>
      <top style="thin">
        <color rgb="FF9BB3A8"/>
      </top>
      <bottom style="thin">
        <color rgb="FF9BB3A8"/>
      </bottom>
      <diagonal/>
    </border>
    <border>
      <left style="thin">
        <color rgb="FFD2D8D5"/>
      </left>
      <right/>
      <top style="thin">
        <color rgb="FFD2D8D5"/>
      </top>
      <bottom style="thin">
        <color rgb="FFD2D8D5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D2D8D5"/>
      </top>
      <bottom/>
      <diagonal/>
    </border>
    <border>
      <left/>
      <right style="thin">
        <color rgb="FFD2D8D5"/>
      </right>
      <top style="thin">
        <color rgb="FFD2D8D5"/>
      </top>
      <bottom/>
      <diagonal/>
    </border>
    <border>
      <left/>
      <right/>
      <top style="thin">
        <color rgb="FFD2D8D5"/>
      </top>
      <bottom style="thin">
        <color rgb="FFD2D8D5"/>
      </bottom>
      <diagonal/>
    </border>
    <border>
      <left/>
      <right style="thin">
        <color rgb="FFD2D8D5"/>
      </right>
      <top style="thin">
        <color rgb="FFD2D8D5"/>
      </top>
      <bottom style="thin">
        <color rgb="FFD2D8D5"/>
      </bottom>
      <diagonal/>
    </border>
    <border>
      <left/>
      <right/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 style="thin">
        <color rgb="FF9BB3A8"/>
      </bottom>
      <diagonal/>
    </border>
    <border>
      <bottom style="thin">
        <color rgb="00D9E0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37" fillId="12" borderId="0" applyAlignment="1" pivotButton="0" quotePrefix="0" xfId="0">
      <alignment vertical="center"/>
    </xf>
    <xf numFmtId="0" fontId="38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vertical="top" wrapText="1"/>
    </xf>
    <xf numFmtId="0" fontId="40" fillId="2" borderId="0" applyAlignment="1" pivotButton="0" quotePrefix="0" xfId="0">
      <alignment vertical="top" wrapText="1"/>
    </xf>
    <xf numFmtId="0" fontId="41" fillId="13" borderId="0" applyAlignment="1" pivotButton="0" quotePrefix="0" xfId="0">
      <alignment vertical="center"/>
    </xf>
    <xf numFmtId="0" fontId="45" fillId="0" borderId="1" applyAlignment="1" pivotButton="0" quotePrefix="0" xfId="0">
      <alignment horizontal="general" vertical="center" wrapText="1"/>
    </xf>
    <xf numFmtId="0" fontId="46" fillId="3" borderId="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general" vertical="center" wrapText="1"/>
    </xf>
    <xf numFmtId="0" fontId="42" fillId="14" borderId="0" pivotButton="0" quotePrefix="0" xfId="0"/>
    <xf numFmtId="0" fontId="42" fillId="14" borderId="2" applyAlignment="1" pivotButton="0" quotePrefix="0" xfId="0">
      <alignment horizontal="center" vertical="center" wrapText="1"/>
    </xf>
    <xf numFmtId="0" fontId="41" fillId="13" borderId="1" applyAlignment="1" pivotButton="0" quotePrefix="0" xfId="0">
      <alignment vertical="center"/>
    </xf>
    <xf numFmtId="0" fontId="43" fillId="5" borderId="1" applyAlignment="1" pivotButton="0" quotePrefix="0" xfId="0">
      <alignment horizontal="center" vertical="center" wrapText="1"/>
    </xf>
    <xf numFmtId="0" fontId="43" fillId="0" borderId="0" pivotButton="0" quotePrefix="0" xfId="0"/>
    <xf numFmtId="0" fontId="47" fillId="0" borderId="0" applyAlignment="1" pivotButton="0" quotePrefix="0" xfId="0">
      <alignment wrapText="1"/>
    </xf>
    <xf numFmtId="164" fontId="41" fillId="13" borderId="1" applyAlignment="1" pivotButton="0" quotePrefix="0" xfId="0">
      <alignment vertical="center"/>
    </xf>
    <xf numFmtId="1" fontId="43" fillId="0" borderId="1" applyAlignment="1" pivotButton="0" quotePrefix="0" xfId="0">
      <alignment horizontal="center" vertical="center" wrapText="1"/>
    </xf>
    <xf numFmtId="0" fontId="43" fillId="6" borderId="1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general" vertical="center" wrapText="1"/>
    </xf>
    <xf numFmtId="0" fontId="41" fillId="13" borderId="4" applyAlignment="1" pivotButton="0" quotePrefix="0" xfId="0">
      <alignment vertical="center"/>
    </xf>
    <xf numFmtId="0" fontId="41" fillId="13" borderId="13" applyAlignment="1" pivotButton="0" quotePrefix="0" xfId="0">
      <alignment horizontal="center" vertical="center" wrapText="1"/>
    </xf>
    <xf numFmtId="165" fontId="43" fillId="5" borderId="1" applyAlignment="1" pivotButton="0" quotePrefix="0" xfId="0">
      <alignment horizontal="center" vertical="center" wrapText="1"/>
    </xf>
    <xf numFmtId="165" fontId="43" fillId="0" borderId="1" applyAlignment="1" pivotButton="0" quotePrefix="0" xfId="0">
      <alignment horizontal="center" vertical="center" wrapText="1"/>
    </xf>
    <xf numFmtId="165" fontId="43" fillId="6" borderId="1" applyAlignment="1" pivotButton="0" quotePrefix="0" xfId="0">
      <alignment horizontal="center" vertical="center" wrapText="1"/>
    </xf>
    <xf numFmtId="0" fontId="50" fillId="0" borderId="0" pivotButton="0" quotePrefix="0" xfId="0"/>
    <xf numFmtId="165" fontId="43" fillId="8" borderId="1" applyAlignment="1" pivotButton="0" quotePrefix="0" xfId="0">
      <alignment horizontal="center" vertical="center" wrapText="1"/>
    </xf>
    <xf numFmtId="2" fontId="43" fillId="8" borderId="1" applyAlignment="1" pivotButton="0" quotePrefix="0" xfId="0">
      <alignment horizontal="center" vertical="center" wrapText="1"/>
    </xf>
    <xf numFmtId="170" fontId="43" fillId="8" borderId="1" applyAlignment="1" pivotButton="0" quotePrefix="0" xfId="0">
      <alignment horizontal="center" vertical="center" wrapText="1"/>
    </xf>
    <xf numFmtId="1" fontId="43" fillId="8" borderId="1" applyAlignment="1" pivotButton="0" quotePrefix="0" xfId="0">
      <alignment horizontal="center" vertical="center" wrapText="1"/>
    </xf>
    <xf numFmtId="1" fontId="43" fillId="0" borderId="0" pivotButton="0" quotePrefix="0" xfId="0"/>
    <xf numFmtId="2" fontId="43" fillId="0" borderId="1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general" vertical="center" wrapText="1"/>
    </xf>
    <xf numFmtId="3" fontId="41" fillId="13" borderId="1" applyAlignment="1" pivotButton="0" quotePrefix="0" xfId="0">
      <alignment vertical="center"/>
    </xf>
    <xf numFmtId="167" fontId="41" fillId="13" borderId="1" applyAlignment="1" pivotButton="0" quotePrefix="0" xfId="0">
      <alignment vertical="center"/>
    </xf>
    <xf numFmtId="3" fontId="41" fillId="13" borderId="13" applyAlignment="1" pivotButton="0" quotePrefix="0" xfId="0">
      <alignment horizontal="center" vertical="center" wrapText="1"/>
    </xf>
    <xf numFmtId="167" fontId="41" fillId="13" borderId="13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general" vertical="center" wrapText="1"/>
    </xf>
    <xf numFmtId="170" fontId="43" fillId="5" borderId="1" applyAlignment="1" pivotButton="0" quotePrefix="0" xfId="0">
      <alignment horizontal="center" vertical="center" wrapText="1"/>
    </xf>
    <xf numFmtId="1" fontId="43" fillId="6" borderId="1" applyAlignment="1" pivotButton="0" quotePrefix="0" xfId="0">
      <alignment horizontal="center" vertical="center" wrapText="1"/>
    </xf>
    <xf numFmtId="2" fontId="43" fillId="0" borderId="0" pivotButton="0" quotePrefix="0" xfId="0"/>
    <xf numFmtId="0" fontId="50" fillId="0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general" vertical="center" wrapText="1"/>
    </xf>
    <xf numFmtId="1" fontId="51" fillId="0" borderId="1" applyAlignment="1" pivotButton="0" quotePrefix="0" xfId="0">
      <alignment horizontal="general" vertical="center" wrapText="1"/>
    </xf>
    <xf numFmtId="3" fontId="46" fillId="0" borderId="1" applyAlignment="1" pivotButton="0" quotePrefix="0" xfId="0">
      <alignment horizontal="center" vertical="center" wrapText="1"/>
    </xf>
    <xf numFmtId="1" fontId="51" fillId="5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 wrapText="1"/>
    </xf>
    <xf numFmtId="1" fontId="51" fillId="0" borderId="0" pivotButton="0" quotePrefix="0" xfId="0"/>
    <xf numFmtId="0" fontId="46" fillId="0" borderId="0" pivotButton="0" quotePrefix="0" xfId="0"/>
    <xf numFmtId="2" fontId="51" fillId="0" borderId="0" pivotButton="0" quotePrefix="0" xfId="0"/>
    <xf numFmtId="1" fontId="43" fillId="5" borderId="1" applyAlignment="1" pivotButton="0" quotePrefix="0" xfId="0">
      <alignment horizontal="center" vertical="center" wrapText="1"/>
    </xf>
    <xf numFmtId="1" fontId="43" fillId="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vertical="top" wrapText="1"/>
    </xf>
    <xf numFmtId="0" fontId="0" fillId="0" borderId="5" pivotButton="0" quotePrefix="0" xfId="0"/>
    <xf numFmtId="170" fontId="43" fillId="7" borderId="1" applyAlignment="1" pivotButton="0" quotePrefix="0" xfId="0">
      <alignment horizontal="center" vertical="center" wrapText="1"/>
    </xf>
    <xf numFmtId="170" fontId="43" fillId="0" borderId="0" pivotButton="0" quotePrefix="0" xfId="0"/>
    <xf numFmtId="168" fontId="41" fillId="13" borderId="1" applyAlignment="1" pivotButton="0" quotePrefix="0" xfId="0">
      <alignment vertical="center"/>
    </xf>
    <xf numFmtId="170" fontId="43" fillId="0" borderId="0" applyAlignment="1" pivotButton="0" quotePrefix="0" xfId="0">
      <alignment horizontal="general" vertical="center" wrapText="1"/>
    </xf>
    <xf numFmtId="0" fontId="42" fillId="14" borderId="1" applyAlignment="1" pivotButton="0" quotePrefix="0" xfId="0">
      <alignment horizontal="center" vertical="center" wrapText="1"/>
    </xf>
    <xf numFmtId="0" fontId="42" fillId="14" borderId="1" applyAlignment="1" pivotButton="0" quotePrefix="0" xfId="0">
      <alignment horizontal="center" vertical="top" wrapText="1"/>
    </xf>
    <xf numFmtId="0" fontId="42" fillId="14" borderId="1" applyAlignment="1" pivotButton="0" quotePrefix="0" xfId="0">
      <alignment horizontal="left" vertical="top" wrapText="1"/>
    </xf>
    <xf numFmtId="0" fontId="42" fillId="14" borderId="1" applyAlignment="1" pivotButton="0" quotePrefix="0" xfId="0">
      <alignment horizontal="left" vertical="center" wrapText="1"/>
    </xf>
    <xf numFmtId="169" fontId="42" fillId="14" borderId="1" applyAlignment="1" pivotButton="0" quotePrefix="0" xfId="0">
      <alignment horizontal="center" vertical="center" wrapText="1"/>
    </xf>
    <xf numFmtId="0" fontId="43" fillId="11" borderId="0" applyAlignment="1" pivotButton="0" quotePrefix="0" xfId="0">
      <alignment horizontal="general" vertical="center" wrapText="1"/>
    </xf>
    <xf numFmtId="3" fontId="42" fillId="14" borderId="1" applyAlignment="1" pivotButton="0" quotePrefix="0" xfId="0">
      <alignment horizontal="center" vertical="center" wrapText="1"/>
    </xf>
    <xf numFmtId="0" fontId="42" fillId="14" borderId="0" applyAlignment="1" pivotButton="0" quotePrefix="0" xfId="0">
      <alignment horizontal="general" vertical="center" wrapText="1"/>
    </xf>
    <xf numFmtId="1" fontId="42" fillId="14" borderId="1" applyAlignment="1" pivotButton="0" quotePrefix="0" xfId="0">
      <alignment horizontal="center" vertical="center" wrapText="1"/>
    </xf>
    <xf numFmtId="1" fontId="43" fillId="4" borderId="1" applyAlignment="1" pivotButton="0" quotePrefix="0" xfId="0">
      <alignment horizontal="center" vertical="center" wrapText="1"/>
    </xf>
    <xf numFmtId="1" fontId="42" fillId="14" borderId="0" applyAlignment="1" pivotButton="0" quotePrefix="0" xfId="0">
      <alignment horizontal="general" vertical="center" wrapText="1"/>
    </xf>
    <xf numFmtId="1" fontId="42" fillId="14" borderId="0" pivotButton="0" quotePrefix="0" xfId="0"/>
    <xf numFmtId="2" fontId="42" fillId="14" borderId="0" pivotButton="0" quotePrefix="0" xfId="0"/>
    <xf numFmtId="0" fontId="42" fillId="14" borderId="1" applyAlignment="1" pivotButton="0" quotePrefix="0" xfId="0">
      <alignment horizontal="general" vertical="center" wrapText="1"/>
    </xf>
    <xf numFmtId="165" fontId="42" fillId="14" borderId="1" applyAlignment="1" pivotButton="0" quotePrefix="0" xfId="0">
      <alignment horizontal="center" vertical="center" wrapText="1"/>
    </xf>
    <xf numFmtId="167" fontId="42" fillId="14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general" vertical="center" wrapText="1"/>
    </xf>
    <xf numFmtId="0" fontId="44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center" vertical="center" wrapText="1"/>
    </xf>
    <xf numFmtId="0" fontId="49" fillId="15" borderId="1" applyAlignment="1" pivotButton="0" quotePrefix="0" xfId="0">
      <alignment horizontal="center" vertical="center" wrapText="1"/>
    </xf>
    <xf numFmtId="0" fontId="48" fillId="5" borderId="1" applyAlignment="1" pivotButton="0" quotePrefix="0" xfId="0">
      <alignment horizontal="center" vertical="center" wrapText="1"/>
    </xf>
    <xf numFmtId="0" fontId="49" fillId="15" borderId="0" applyAlignment="1" pivotButton="0" quotePrefix="0" xfId="0">
      <alignment horizontal="general" vertical="center" wrapText="1"/>
    </xf>
    <xf numFmtId="0" fontId="49" fillId="15" borderId="0" pivotButton="0" quotePrefix="0" xfId="0"/>
    <xf numFmtId="0" fontId="48" fillId="0" borderId="0" pivotButton="0" quotePrefix="0" xfId="0"/>
    <xf numFmtId="165" fontId="41" fillId="13" borderId="13" applyAlignment="1" pivotButton="0" quotePrefix="0" xfId="0">
      <alignment horizontal="center" vertical="center" wrapText="1"/>
    </xf>
    <xf numFmtId="165" fontId="49" fillId="15" borderId="1" applyAlignment="1" pivotButton="0" quotePrefix="0" xfId="0">
      <alignment horizontal="center" vertical="center" wrapText="1"/>
    </xf>
    <xf numFmtId="1" fontId="49" fillId="15" borderId="0" pivotButton="0" quotePrefix="0" xfId="0"/>
    <xf numFmtId="2" fontId="49" fillId="15" borderId="1" applyAlignment="1" pivotButton="0" quotePrefix="0" xfId="0">
      <alignment horizontal="center" vertical="center" wrapText="1"/>
    </xf>
    <xf numFmtId="170" fontId="49" fillId="15" borderId="1" applyAlignment="1" pivotButton="0" quotePrefix="0" xfId="0">
      <alignment horizontal="center" vertical="center" wrapText="1"/>
    </xf>
    <xf numFmtId="1" fontId="49" fillId="15" borderId="1" applyAlignment="1" pivotButton="0" quotePrefix="0" xfId="0">
      <alignment horizontal="center" vertical="center" wrapText="1"/>
    </xf>
    <xf numFmtId="2" fontId="49" fillId="15" borderId="0" pivotButton="0" quotePrefix="0" xfId="0"/>
    <xf numFmtId="165" fontId="41" fillId="13" borderId="1" applyAlignment="1" pivotButton="0" quotePrefix="0" xfId="0">
      <alignment vertical="center"/>
    </xf>
    <xf numFmtId="165" fontId="49" fillId="15" borderId="0" pivotButton="0" quotePrefix="0" xfId="0"/>
    <xf numFmtId="170" fontId="49" fillId="15" borderId="0" pivotButton="0" quotePrefix="0" xfId="0"/>
    <xf numFmtId="1" fontId="49" fillId="15" borderId="0" applyAlignment="1" pivotButton="0" quotePrefix="0" xfId="0">
      <alignment horizontal="general" vertical="center" wrapText="1"/>
    </xf>
    <xf numFmtId="0" fontId="49" fillId="15" borderId="1" applyAlignment="1" pivotButton="0" quotePrefix="0" xfId="0">
      <alignment horizontal="general" vertical="center" wrapText="1"/>
    </xf>
    <xf numFmtId="3" fontId="49" fillId="15" borderId="1" applyAlignment="1" pivotButton="0" quotePrefix="0" xfId="0">
      <alignment horizontal="center" vertical="center" wrapText="1"/>
    </xf>
    <xf numFmtId="167" fontId="49" fillId="15" borderId="1" applyAlignment="1" pivotButton="0" quotePrefix="0" xfId="0">
      <alignment horizontal="center" vertical="center" wrapText="1"/>
    </xf>
    <xf numFmtId="165" fontId="49" fillId="15" borderId="1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center" vertical="center" wrapText="1"/>
    </xf>
    <xf numFmtId="171" fontId="19" fillId="0" borderId="1" applyAlignment="1" pivotButton="0" quotePrefix="0" xfId="0">
      <alignment horizontal="center" vertical="center" wrapText="1"/>
    </xf>
    <xf numFmtId="17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b val="1"/>
        <color rgb="FFA21C1C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</font>
      <fill>
        <patternFill>
          <bgColor rgb="FFE8F1ED"/>
        </patternFill>
      </fill>
    </dxf>
    <dxf>
      <font>
        <name val="Arial"/>
        <charset val="1"/>
        <family val="0"/>
        <b val="1"/>
        <color rgb="FF9A5000"/>
      </font>
      <fill>
        <patternFill>
          <bgColor rgb="FFFFEBD2"/>
        </patternFill>
      </fill>
    </dxf>
    <dxf>
      <fill>
        <patternFill patternType="solid">
          <fgColor rgb="FF0056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name val="Arial"/>
        <charset val="1"/>
        <family val="0"/>
        <b val="1"/>
        <color rgb="FFA21C1C"/>
        <sz val="10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  <sz val="10"/>
      </font>
      <fill>
        <patternFill>
          <bgColor rgb="FFE8F1ED"/>
        </patternFill>
      </fill>
    </dxf>
    <dxf>
      <fill>
        <patternFill patternType="solid">
          <fgColor rgb="FF045233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D2"/>
      <rgbColor rgb="FFFF00FF"/>
      <rgbColor rgb="FF00FFFF"/>
      <rgbColor rgb="FF9C0006"/>
      <rgbColor rgb="FF006100"/>
      <rgbColor rgb="FF000080"/>
      <rgbColor rgb="FF9A5000"/>
      <rgbColor rgb="FF800080"/>
      <rgbColor rgb="FF0B7A54"/>
      <rgbColor rgb="FFB7B7B7"/>
      <rgbColor rgb="FF878787"/>
      <rgbColor rgb="FFA8A8A8"/>
      <rgbColor rgb="FFC0392B"/>
      <rgbColor rgb="FFFFF6DC"/>
      <rgbColor rgb="FFEAF2FA"/>
      <rgbColor rgb="FF660066"/>
      <rgbColor rgb="FFFF8080"/>
      <rgbColor rgb="FF0066CC"/>
      <rgbColor rgb="FFD2D8D5"/>
      <rgbColor rgb="FF000080"/>
      <rgbColor rgb="FFFF00FF"/>
      <rgbColor rgb="FFF5F6F5"/>
      <rgbColor rgb="FF00FFFF"/>
      <rgbColor rgb="FF800080"/>
      <rgbColor rgb="FF800000"/>
      <rgbColor rgb="FF146B4A"/>
      <rgbColor rgb="FF0000FF"/>
      <rgbColor rgb="FF00CCFF"/>
      <rgbColor rgb="FFE8F1ED"/>
      <rgbColor rgb="FFE2F0D9"/>
      <rgbColor rgb="FFFFF2CC"/>
      <rgbColor rgb="FF9BB3A8"/>
      <rgbColor rgb="FFFBDDDD"/>
      <rgbColor rgb="FFD9D9D9"/>
      <rgbColor rgb="FFF4CCCC"/>
      <rgbColor rgb="FF3366FF"/>
      <rgbColor rgb="FF33CCCC"/>
      <rgbColor rgb="FFC6E0B4"/>
      <rgbColor rgb="FFFFCC00"/>
      <rgbColor rgb="FFFF9900"/>
      <rgbColor rgb="FFFF6600"/>
      <rgbColor rgb="FF5A5A5A"/>
      <rgbColor rgb="FFA5A5A5"/>
      <rgbColor rgb="FF045233"/>
      <rgbColor rgb="FF6FA88F"/>
      <rgbColor rgb="FF00563F"/>
      <rgbColor rgb="FF333300"/>
      <rgbColor rgb="FFA21C1C"/>
      <rgbColor rgb="FF993366"/>
      <rgbColor rgb="FF555555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NPS discente</a:t>
            </a:r>
          </a:p>
        </rich>
      </tx>
    </title>
    <plotArea>
      <lineChart>
        <grouping val="standard"/>
        <ser>
          <idx val="0"/>
          <order val="0"/>
          <tx>
            <strRef>
              <f>'CALC'!B156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'CALC'!$B$157:$B$180</f>
            </numRef>
          </val>
        </ser>
        <ser>
          <idx val="1"/>
          <order val="1"/>
          <tx>
            <strRef>
              <f>'CALC'!I156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'CALC'!$I$157:$I$180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-1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Avaliação docente pelo aluno</a:t>
            </a:r>
          </a:p>
        </rich>
      </tx>
    </title>
    <plotArea>
      <lineChart>
        <grouping val="standard"/>
        <ser>
          <idx val="0"/>
          <order val="0"/>
          <tx>
            <strRef>
              <f>'CALC'!C156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'CALC'!$C$157:$C$180</f>
            </numRef>
          </val>
        </ser>
        <ser>
          <idx val="1"/>
          <order val="1"/>
          <tx>
            <strRef>
              <f>'CALC'!J156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'CALC'!$J$157:$J$180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0–10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aprovação</a:t>
            </a:r>
          </a:p>
        </rich>
      </tx>
    </title>
    <plotArea>
      <lineChart>
        <grouping val="standard"/>
        <ser>
          <idx val="0"/>
          <order val="0"/>
          <tx>
            <strRef>
              <f>'CALC'!D156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'CALC'!$D$157:$D$180</f>
            </numRef>
          </val>
        </ser>
        <ser>
          <idx val="1"/>
          <order val="1"/>
          <tx>
            <strRef>
              <f>'CALC'!K156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'CALC'!$K$157:$K$180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688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5688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108</row>
      <rowOff>0</rowOff>
    </from>
    <ext cx="5688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NPS" displayName="TabelaNPS" ref="A4:J1200" headerRowCount="1">
  <autoFilter ref="A4:J1200"/>
  <tableColumns count="10">
    <tableColumn id="1" name="Período"/>
    <tableColumn id="2" name="Curso"/>
    <tableColumn id="3" name="Respondentes"/>
    <tableColumn id="4" name="Promotores (9-10)"/>
    <tableColumn id="5" name="Neutros (7-8)"/>
    <tableColumn id="6" name="Detratores (0-6)"/>
    <tableColumn id="7" name="Valor da Linha"/>
    <tableColumn id="8" name="Data do lançamento"/>
    <tableColumn id="9" name="Lançado por"/>
    <tableColumn id="10" name="Validação da linh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elaAvaliacaoDocente" displayName="TabelaAvaliacaoDocente" ref="A4:I1200" headerRowCount="1">
  <autoFilter ref="A4:I1200"/>
  <tableColumns count="9">
    <tableColumn id="1" name="Período"/>
    <tableColumn id="2" name="Curso"/>
    <tableColumn id="3" name="Disciplina"/>
    <tableColumn id="4" name="Professor"/>
    <tableColumn id="5" name="Respondentes"/>
    <tableColumn id="6" name="Nota Média (0-10)"/>
    <tableColumn id="7" name="Data do lançamento"/>
    <tableColumn id="8" name="Lançado por"/>
    <tableColumn id="9" name="Validação da linh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elaResultadosAcademicos" displayName="TabelaResultadosAcademicos" ref="A4:P600" headerRowCount="1">
  <autoFilter ref="A4:P600"/>
  <tableColumns count="16">
    <tableColumn id="1" name="Período"/>
    <tableColumn id="2" name="Curso"/>
    <tableColumn id="3" name="Disciplina"/>
    <tableColumn id="4" name="Total"/>
    <tableColumn id="5" name="Finalizados"/>
    <tableColumn id="6" name="Aprovados"/>
    <tableColumn id="7" name="Reprovados"/>
    <tableColumn id="8" name="Reprovados por nota"/>
    <tableColumn id="9" name="Reprovados por falta"/>
    <tableColumn id="10" name="Reprovados outros"/>
    <tableColumn id="11" name="Em andamento"/>
    <tableColumn id="12" name="Quantidade de notas"/>
    <tableColumn id="13" name="Soma das notas"/>
    <tableColumn id="14" name="Média"/>
    <tableColumn id="15" name="Taxa de aprovação"/>
    <tableColumn id="16" name="Validação da linh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B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0" min="1" max="1"/>
    <col width="118" customWidth="1" style="130" min="2" max="2"/>
  </cols>
  <sheetData>
    <row r="1" ht="24" customHeight="1" s="131">
      <c r="A1" s="262" t="inlineStr">
        <is>
          <t>PAINEL DE GESTÃO POR DADOS — DTNH · v0.5.8</t>
        </is>
      </c>
    </row>
    <row r="2" ht="30" customHeight="1" s="131">
      <c r="A2" s="263" t="inlineStr">
        <is>
          <t>NPS discente · avaliação docente · aprovação, notas e motivos de reprovação</t>
        </is>
      </c>
    </row>
    <row r="3"/>
    <row r="4" ht="21.75" customHeight="1" s="131">
      <c r="B4" s="264" t="inlineStr">
        <is>
          <t>1. O arquivo segue o mesmo padrão do painel institucional</t>
        </is>
      </c>
    </row>
    <row r="5" ht="42" customHeight="1" s="131">
      <c r="B5" s="265" t="inlineStr">
        <is>
          <t>As mesmas páginas do modelo-base foram preservadas. As três bases acadêmicas agora são NPS DISCENTES, AVALIAÇÃO DOCENTE e RESULTADOS ACADÊMICOS.</t>
        </is>
      </c>
    </row>
    <row r="6" ht="27.75" customHeight="1" s="131">
      <c r="B6" s="135" t="n"/>
    </row>
    <row r="7" ht="27.75" customHeight="1" s="131">
      <c r="B7" s="135" t="n"/>
    </row>
    <row r="8" ht="27.75" customHeight="1" s="131">
      <c r="B8" s="264" t="inlineStr">
        <is>
          <t>2. Visualização Semestral ou Mensal</t>
        </is>
      </c>
    </row>
    <row r="9" ht="42" customHeight="1" s="131">
      <c r="B9" s="266" t="inlineStr">
        <is>
          <t>Em PARAMETROS, escolha Semestral ou Mensal. Avaliação docente e resultados acadêmicos são semestrais; na visão mensal o valor do semestre é repetido em seus seis meses (SEM1 = janeiro a junho; SEM2 = julho a dezembro).</t>
        </is>
      </c>
    </row>
    <row r="10" ht="51.75" customHeight="1" s="131">
      <c r="B10" s="136" t="n"/>
    </row>
    <row r="11" ht="40.5" customHeight="1" s="131">
      <c r="B11" s="135" t="n"/>
    </row>
    <row r="12" ht="15" customHeight="1" s="131">
      <c r="B12" s="264" t="inlineStr">
        <is>
          <t>3. NPS aceita origem mensal ou semestral</t>
        </is>
      </c>
    </row>
    <row r="13" ht="42" customHeight="1" s="131">
      <c r="B13" s="265" t="inlineStr">
        <is>
          <t>Se houver NPS mensal, a visão mensal usa o mês real. Se a base tiver NPS semestral, o valor é projetado para os seis meses. Na visão semestral, um NPS mensal é consolidado no semestre. Não misture origem mensal e semestral para o mesmo curso e semestre.</t>
        </is>
      </c>
    </row>
    <row r="14" ht="27.75" customHeight="1" s="131">
      <c r="B14" s="135" t="n"/>
    </row>
    <row r="15" ht="27.75" customHeight="1" s="131">
      <c r="B15" s="135" t="n"/>
    </row>
    <row r="16" ht="27.75" customHeight="1" s="131">
      <c r="B16" s="135" t="n"/>
    </row>
    <row r="17" ht="54" customHeight="1" s="131">
      <c r="B17" s="264" t="inlineStr">
        <is>
          <t>4. Resultados acadêmicos preservam a situação oficial</t>
        </is>
      </c>
    </row>
    <row r="18" ht="42" customHeight="1" s="131">
      <c r="B18" s="265" t="inlineStr">
        <is>
          <t>A nota média é analítica. Aprovado/Reprovado é derivado da situação oficial registrada; Reprovado Falta é separado de reprovação por nota.</t>
        </is>
      </c>
    </row>
    <row r="19" ht="21.75" customHeight="1" s="131">
      <c r="B19" s="134" t="n"/>
    </row>
    <row r="20" ht="54" customHeight="1" s="131">
      <c r="B20" s="135" t="n"/>
    </row>
    <row r="21" ht="40.5" customHeight="1" s="131">
      <c r="B21" s="264" t="inlineStr">
        <is>
          <t>5. Recortes</t>
        </is>
      </c>
    </row>
    <row r="22" ht="42" customHeight="1" s="131">
      <c r="B22" s="265" t="inlineStr">
        <is>
          <t>O painel permite leitura consolidada, por curso e por disciplina. NPS é por curso; avaliação docente e resultados podem ser filtrados por curso e disciplina.</t>
        </is>
      </c>
    </row>
    <row r="23" ht="15" customHeight="1" s="131">
      <c r="B23" s="135" t="n"/>
    </row>
    <row r="24" ht="21.75" customHeight="1" s="131">
      <c r="B24" s="134" t="n"/>
    </row>
    <row r="25" ht="27.75" customHeight="1" s="131">
      <c r="B25" s="264" t="inlineStr">
        <is>
          <t>6. Dados e fórmulas</t>
        </is>
      </c>
    </row>
    <row r="26" ht="42" customHeight="1" s="131">
      <c r="B26" s="265" t="inlineStr">
        <is>
          <t>Células amarelas/azuis são entradas. Fórmulas são pretas. Dados exportados do banco aparecem em verde. O Excel está configurado para recalcular ao abrir.</t>
        </is>
      </c>
    </row>
    <row r="27" ht="40.5" customHeight="1" s="131">
      <c r="B27" s="135" t="n"/>
    </row>
    <row r="28" ht="27.75" customHeight="1" s="131">
      <c r="B28" s="135" t="n"/>
    </row>
    <row r="29" ht="15" customHeight="1" s="131">
      <c r="B29" s="264" t="inlineStr">
        <is>
          <t>7. Integração Data UNIVC</t>
        </is>
      </c>
    </row>
    <row r="30" ht="42" customHeight="1" s="131">
      <c r="B30" s="265" t="inlineStr">
        <is>
          <t>O site e o Excel usam a mesma lógica de visualização. O banco continua sendo a fonte oficial; a planilha é ferramenta de entrada, auditoria e exportação.</t>
        </is>
      </c>
    </row>
    <row r="31" ht="79.5" customHeight="1" s="131">
      <c r="B31" s="135" t="n"/>
    </row>
    <row r="32" ht="15" customHeight="1" s="131">
      <c r="B32" s="135" t="n"/>
    </row>
    <row r="33" ht="21.75" customHeight="1" s="131">
      <c r="B33" s="134" t="n"/>
    </row>
    <row r="34" ht="27.75" customHeight="1" s="131">
      <c r="B34" s="135" t="n"/>
    </row>
    <row r="35" ht="27.75" customHeight="1" s="131">
      <c r="B35" s="135" t="n"/>
    </row>
    <row r="36" ht="27.75" customHeight="1" s="131">
      <c r="B36" s="135" t="n"/>
    </row>
    <row r="37" ht="15" customHeight="1" s="131">
      <c r="B37" s="135" t="n"/>
    </row>
    <row r="38" ht="21.75" customHeight="1" s="131">
      <c r="B38" s="134" t="n"/>
    </row>
    <row r="39" ht="27.75" customHeight="1" s="131">
      <c r="B39" s="135" t="n"/>
    </row>
    <row r="40" ht="40.5" customHeight="1" s="131">
      <c r="B40" s="135" t="n"/>
    </row>
    <row r="41" ht="27.75" customHeight="1" s="131">
      <c r="B41" s="135" t="n"/>
    </row>
    <row r="42" ht="27.75" customHeight="1" s="131">
      <c r="B42" s="135" t="n"/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30" min="1" max="1"/>
    <col width="27" customWidth="1" style="130" min="2" max="2"/>
    <col width="4" customWidth="1" style="130" min="3" max="3"/>
    <col width="25" customWidth="1" style="130" min="4" max="4"/>
    <col width="32" customWidth="1" style="130" min="5" max="5"/>
    <col width="62" customWidth="1" style="130" min="6" max="6"/>
  </cols>
  <sheetData>
    <row r="1" ht="24" customHeight="1" s="131">
      <c r="A1" s="262" t="inlineStr">
        <is>
          <t>PARÂMETROS DO PAINEL</t>
        </is>
      </c>
    </row>
    <row r="2" ht="30" customHeight="1" s="131">
      <c r="A2" s="263" t="inlineStr">
        <is>
          <t>Células amarelas são editáveis. Visualização e períodos controlam todo o arquivo.</t>
        </is>
      </c>
    </row>
    <row r="3"/>
    <row r="4" ht="22" customHeight="1" s="131">
      <c r="A4" s="267" t="inlineStr">
        <is>
          <t>SELEÇÃO</t>
        </is>
      </c>
      <c r="B4" s="267" t="n"/>
      <c r="C4" s="267" t="n"/>
      <c r="D4" s="267" t="n"/>
      <c r="E4" s="267" t="n"/>
      <c r="F4" s="267" t="n"/>
    </row>
    <row r="5" ht="21.75" customHeight="1" s="131">
      <c r="A5" s="268" t="inlineStr">
        <is>
          <t>Diretoria</t>
        </is>
      </c>
      <c r="B5" s="269" t="inlineStr">
        <is>
          <t>DTNH</t>
        </is>
      </c>
      <c r="D5" s="270" t="inlineStr">
        <is>
          <t>Visualização</t>
        </is>
      </c>
      <c r="E5" s="271" t="inlineStr">
        <is>
          <t>Semestral</t>
        </is>
      </c>
    </row>
    <row r="6" ht="21.75" customHeight="1" s="131">
      <c r="A6" s="138" t="n"/>
      <c r="B6" s="141" t="n"/>
      <c r="D6" s="140" t="n"/>
    </row>
    <row r="7" ht="21.75" customHeight="1" s="131">
      <c r="A7" s="268" t="inlineStr">
        <is>
          <t>Período de referência</t>
        </is>
      </c>
      <c r="B7" s="272" t="inlineStr">
        <is>
          <t>2026-SEM2</t>
        </is>
      </c>
      <c r="D7" s="270" t="inlineStr">
        <is>
          <t>Período de comparação</t>
        </is>
      </c>
      <c r="E7" s="271" t="inlineStr">
        <is>
          <t>2026-SEM1</t>
        </is>
      </c>
    </row>
    <row r="8" ht="21.75" customHeight="1" s="131">
      <c r="A8" s="138" t="n"/>
      <c r="B8" s="141" t="n"/>
      <c r="D8" s="140" t="n"/>
    </row>
    <row r="9" ht="21.75" customHeight="1" s="131">
      <c r="A9" s="268" t="inlineStr">
        <is>
          <t>Janela — de</t>
        </is>
      </c>
      <c r="B9" s="272" t="inlineStr">
        <is>
          <t>2026-SEM1</t>
        </is>
      </c>
      <c r="D9" s="270" t="inlineStr">
        <is>
          <t>Janela — até</t>
        </is>
      </c>
      <c r="E9" s="271" t="inlineStr">
        <is>
          <t>2026-SEM2</t>
        </is>
      </c>
    </row>
    <row r="10" ht="21.75" customHeight="1" s="131">
      <c r="A10" s="138" t="n"/>
      <c r="B10" s="141" t="n"/>
      <c r="D10" s="140" t="n"/>
    </row>
    <row r="11" ht="21.75" customHeight="1" s="131">
      <c r="A11" s="268" t="inlineStr">
        <is>
          <t>Curso em foco</t>
        </is>
      </c>
      <c r="B11" s="272" t="inlineStr">
        <is>
          <t>(todos)</t>
        </is>
      </c>
      <c r="D11" s="270" t="inlineStr">
        <is>
          <t>Disciplina em foco</t>
        </is>
      </c>
      <c r="E11" s="271" t="inlineStr">
        <is>
          <t>(todas)</t>
        </is>
      </c>
    </row>
    <row r="12" ht="15" customHeight="1" s="131">
      <c r="A12" s="137" t="n"/>
    </row>
    <row r="13" ht="22" customHeight="1" s="131">
      <c r="A13" s="273" t="inlineStr">
        <is>
          <t>PERÍODO DERIVADO</t>
        </is>
      </c>
      <c r="B13" s="273" t="n"/>
      <c r="C13" s="267" t="n"/>
      <c r="D13" s="267" t="n"/>
      <c r="E13" s="267" t="n"/>
      <c r="F13" s="267" t="n"/>
    </row>
    <row r="14" ht="15" customHeight="1" s="131">
      <c r="A14" s="138" t="inlineStr">
        <is>
          <t>Semestre da referência</t>
        </is>
      </c>
      <c r="B14" s="274">
        <f>IF($B$7="","",IF(ISNUMBER(SEARCH("-SEM",$B$7)),$B$7,LEFT($B$7,4)&amp;"-SEM"&amp;IF(VALUE(RIGHT($B$7,2))&lt;=6,1,2)))</f>
        <v/>
      </c>
      <c r="D14" s="140" t="inlineStr">
        <is>
          <t>Semestre da comparação</t>
        </is>
      </c>
      <c r="E14" s="275">
        <f>IF($E$7="","",IF(ISNUMBER(SEARCH("-SEM",$E$7)),$E$7,LEFT($E$7,4)&amp;"-SEM"&amp;IF(VALUE(RIGHT($E$7,2))&lt;=6,1,2)))</f>
        <v/>
      </c>
    </row>
    <row r="15" ht="15" customHeight="1" s="131">
      <c r="A15" s="138" t="inlineStr">
        <is>
          <t>Meses do semestre</t>
        </is>
      </c>
      <c r="B15" s="274">
        <f>IF($B$14="","",IF(RIGHT($B$14,1)="1",LEFT($B$14,4)&amp;"-01 a "&amp;LEFT($B$14,4)&amp;"-06",LEFT($B$14,4)&amp;"-07 a "&amp;LEFT($B$14,4)&amp;"-12"))</f>
        <v/>
      </c>
      <c r="D15" s="140" t="inlineStr">
        <is>
          <t>Regra mensal</t>
        </is>
      </c>
      <c r="E15" s="276" t="inlineStr">
        <is>
          <t>Dados semestrais são repetidos nos 6 meses</t>
        </is>
      </c>
    </row>
    <row r="16"/>
    <row r="17" ht="15" customHeight="1" s="131">
      <c r="A17" s="143" t="n"/>
      <c r="B17" s="144" t="n"/>
    </row>
    <row r="18" ht="22" customHeight="1" s="131">
      <c r="A18" s="267" t="inlineStr">
        <is>
          <t>DIAGNÓSTICO</t>
        </is>
      </c>
      <c r="B18" s="277" t="n"/>
      <c r="C18" s="267" t="n"/>
      <c r="D18" s="267" t="n"/>
      <c r="E18" s="267" t="n"/>
      <c r="F18" s="267" t="n"/>
    </row>
    <row r="19" ht="15" customHeight="1" s="131">
      <c r="A19" s="143" t="inlineStr">
        <is>
          <t>Linhas com erro — NPS</t>
        </is>
      </c>
      <c r="B19" s="278">
        <f>COUNTIFS(TabelaNPS[Validação da linha],"&lt;&gt;OK",TabelaNPS[Validação da linha],"&lt;&gt;")</f>
        <v/>
      </c>
    </row>
    <row r="20">
      <c r="A20" t="inlineStr">
        <is>
          <t>Linhas com erro — Avaliação</t>
        </is>
      </c>
      <c r="B20" s="275">
        <f>COUNTIFS(TabelaAvaliacaoDocente[Validação da linha],"&lt;&gt;OK",TabelaAvaliacaoDocente[Validação da linha],"&lt;&gt;")</f>
        <v/>
      </c>
    </row>
    <row r="21" ht="21.75" customHeight="1" s="131">
      <c r="A21" s="137" t="inlineStr">
        <is>
          <t>Linhas com erro — Resultados</t>
        </is>
      </c>
      <c r="B21" s="275">
        <f>COUNTIFS(TabelaResultadosAcademicos[Validação da linha],"&lt;&gt;OK",TabelaResultadosAcademicos[Validação da linha],"&lt;&gt;")</f>
        <v/>
      </c>
      <c r="D21" s="140" t="n"/>
    </row>
    <row r="22" ht="15" customHeight="1" s="131">
      <c r="A22" s="146" t="inlineStr">
        <is>
          <t>Status geral</t>
        </is>
      </c>
      <c r="B22" s="279">
        <f>IF(SUM($B$19:$B$21)=0,"OK — bases consistentes","REVISAR — há linhas com erro")</f>
        <v/>
      </c>
    </row>
    <row r="23" ht="15" customHeight="1" s="131">
      <c r="A23" s="146" t="n"/>
      <c r="B23" s="147" t="n"/>
    </row>
    <row r="24" ht="15" customHeight="1" s="131">
      <c r="A24" s="146" t="n"/>
      <c r="B24" s="147" t="n"/>
    </row>
    <row r="25" ht="15" customHeight="1" s="131">
      <c r="A25" s="146" t="n"/>
      <c r="B25" s="147" t="n"/>
    </row>
    <row r="26" ht="15" customHeight="1" s="131">
      <c r="A26" s="146" t="n"/>
      <c r="B26" s="147" t="n"/>
    </row>
    <row r="27" ht="15" customHeight="1" s="131">
      <c r="A27" s="146" t="n"/>
      <c r="B27" s="147" t="n"/>
    </row>
    <row r="28"/>
    <row r="29"/>
    <row r="30" ht="15" customHeight="1" s="131">
      <c r="A30" s="137" t="n"/>
    </row>
    <row r="31" ht="15" customHeight="1" s="131">
      <c r="A31" s="146" t="n"/>
      <c r="B31" s="150" t="n"/>
    </row>
    <row r="32" ht="15" customHeight="1" s="131">
      <c r="A32" s="146" t="n"/>
      <c r="B32" s="150" t="n"/>
    </row>
    <row r="33" ht="15" customHeight="1" s="131">
      <c r="A33" s="146" t="n"/>
      <c r="B33" s="150" t="n"/>
    </row>
    <row r="34" ht="15" customHeight="1" s="131">
      <c r="A34" s="146" t="n"/>
      <c r="B34" s="150" t="n"/>
    </row>
    <row r="35" ht="15" customHeight="1" s="131">
      <c r="A35" s="146" t="n"/>
      <c r="B35" s="150" t="n"/>
    </row>
    <row r="36" ht="15" customHeight="1" s="131">
      <c r="A36" s="146" t="n"/>
      <c r="B36" s="150" t="n"/>
    </row>
    <row r="37" ht="15" customHeight="1" s="131">
      <c r="A37" s="146" t="n"/>
      <c r="B37" s="150" t="n"/>
    </row>
  </sheetData>
  <mergeCells count="2">
    <mergeCell ref="A2:F2"/>
    <mergeCell ref="A1:F1"/>
  </mergeCells>
  <dataValidations count="4">
    <dataValidation sqref="E5" showDropDown="0" showInputMessage="0" showErrorMessage="0" allowBlank="0" type="list">
      <formula1>"Semestral,Mensal"</formula1>
    </dataValidation>
    <dataValidation sqref="B7 B9 E7 E9" showDropDown="0" showInputMessage="0" showErrorMessage="0" allowBlank="0" type="list">
      <formula1>INDIRECT(IF($E$5="Mensal","LST_MESES","LST_SEMESTRES"))</formula1>
    </dataValidation>
    <dataValidation sqref="B11" showDropDown="0" showInputMessage="0" showErrorMessage="0" allowBlank="0" type="list">
      <formula1>LST_CURSOS_FOCO</formula1>
    </dataValidation>
    <dataValidation sqref="E11" showDropDown="0" showInputMessage="0" showErrorMessage="0" allowBlank="0" type="list">
      <formula1>LST_DISCIPLINAS_FOCO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K1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6" topLeftCell="A7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0" min="1" max="1"/>
    <col width="18" customWidth="1" style="130" min="2" max="3"/>
    <col width="18" customWidth="1" style="131" min="3" max="3"/>
    <col width="18" customWidth="1" style="130" min="4" max="7"/>
    <col width="18" customWidth="1" style="131" min="5" max="5"/>
    <col width="15" customWidth="1" style="131" min="6" max="6"/>
    <col width="15" customWidth="1" style="131" min="7" max="7"/>
    <col width="15" customWidth="1" style="130" min="8" max="8"/>
    <col width="15" customWidth="1" style="130" min="9" max="9"/>
    <col width="18" customWidth="1" style="130" min="10" max="10"/>
    <col width="18" customWidth="1" style="130" min="11" max="11"/>
  </cols>
  <sheetData>
    <row r="1" ht="24" customHeight="1" s="131">
      <c r="A1" s="262" t="inlineStr">
        <is>
          <t>PAINEL DE GESTÃO — DTNH</t>
        </is>
      </c>
    </row>
    <row r="2" ht="30" customHeight="1" s="131">
      <c r="A2" s="263" t="inlineStr">
        <is>
          <t>A mesma visão pode ser alternada entre Semestral e Mensal em PARAMETROS.</t>
        </is>
      </c>
    </row>
    <row r="3"/>
    <row r="4" ht="21.75" customHeight="1" s="131">
      <c r="A4" s="280" t="inlineStr">
        <is>
          <t>Visualização</t>
        </is>
      </c>
      <c r="B4" s="275">
        <f>PARAMETROS!$E$5</f>
        <v/>
      </c>
      <c r="D4" s="280" t="inlineStr">
        <is>
          <t>Referência</t>
        </is>
      </c>
      <c r="E4" s="275">
        <f>PARAMETROS!$B$7</f>
        <v/>
      </c>
      <c r="G4" s="280" t="inlineStr">
        <is>
          <t>Comparação</t>
        </is>
      </c>
      <c r="H4" s="275">
        <f>PARAMETROS!$E$7</f>
        <v/>
      </c>
      <c r="J4" s="280" t="inlineStr">
        <is>
          <t>Curso / disciplina</t>
        </is>
      </c>
      <c r="K4" s="275">
        <f>PARAMETROS!$B$11&amp;IF(PARAMETROS!$E$11="(todas)",""," · "&amp;PARAMETROS!$E$11)</f>
        <v/>
      </c>
    </row>
    <row r="5" ht="24" customHeight="1" s="131">
      <c r="A5" s="152" t="n"/>
      <c r="D5" s="152" t="n"/>
      <c r="G5" s="152" t="n"/>
      <c r="J5" s="152" t="n"/>
    </row>
    <row r="6"/>
    <row r="7" ht="22" customHeight="1" s="131">
      <c r="A7" s="281" t="inlineStr">
        <is>
          <t>DTNH-01 · NPS Discente</t>
        </is>
      </c>
      <c r="B7" s="267" t="n"/>
      <c r="C7" s="267" t="n"/>
      <c r="D7" s="267" t="n"/>
      <c r="E7" s="267" t="n"/>
      <c r="F7" s="267" t="n"/>
      <c r="G7" s="267" t="n"/>
      <c r="H7" s="267" t="n"/>
      <c r="I7" s="267" t="n"/>
      <c r="J7" s="267" t="n"/>
      <c r="K7" s="267" t="n"/>
    </row>
    <row r="8" ht="30" customHeight="1" s="131">
      <c r="A8" s="282" t="inlineStr">
        <is>
          <t>Valor na referência</t>
        </is>
      </c>
      <c r="B8" s="282" t="inlineStr">
        <is>
          <t>Valor na comparação</t>
        </is>
      </c>
      <c r="C8" s="282" t="inlineStr">
        <is>
          <t>Variação</t>
        </is>
      </c>
      <c r="D8" s="282" t="inlineStr">
        <is>
          <t>Meta vigente</t>
        </is>
      </c>
      <c r="E8" s="282" t="inlineStr">
        <is>
          <t>Limiar de atenção</t>
        </is>
      </c>
      <c r="F8" s="282" t="inlineStr">
        <is>
          <t>Aprovados</t>
        </is>
      </c>
      <c r="G8" s="282" t="inlineStr">
        <is>
          <t>Rep. nota</t>
        </is>
      </c>
      <c r="H8" s="282" t="inlineStr">
        <is>
          <t>Rep. falta</t>
        </is>
      </c>
      <c r="I8" s="282" t="inlineStr">
        <is>
          <t>Média</t>
        </is>
      </c>
      <c r="J8" s="282" t="inlineStr">
        <is>
          <t>Status</t>
        </is>
      </c>
      <c r="K8" s="282" t="inlineStr">
        <is>
          <t>Lançamentos</t>
        </is>
      </c>
    </row>
    <row r="9" ht="30" customHeight="1" s="131">
      <c r="A9" s="283">
        <f>CALC!$B$9</f>
        <v/>
      </c>
      <c r="B9" s="284">
        <f>CALC!$C$9</f>
        <v/>
      </c>
      <c r="C9" s="284">
        <f>CALC!$D$9</f>
        <v/>
      </c>
      <c r="D9" s="285">
        <f>CALC!$E$9</f>
        <v/>
      </c>
      <c r="E9" s="285">
        <f>CALC!$F$9</f>
        <v/>
      </c>
      <c r="F9" s="161" t="inlineStr"/>
      <c r="G9" s="161" t="inlineStr"/>
      <c r="H9" s="162" t="inlineStr"/>
      <c r="I9" s="163" t="inlineStr"/>
      <c r="J9" s="164">
        <f>CALC!$L$9</f>
        <v/>
      </c>
      <c r="K9" s="278">
        <f>CALC!$M$9</f>
        <v/>
      </c>
    </row>
    <row r="10"/>
    <row r="11">
      <c r="A11" s="286" t="inlineStr">
        <is>
          <t>Leitura temporal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 ht="30" customHeight="1" s="131">
      <c r="A25" s="282" t="inlineStr">
        <is>
          <t>Curso</t>
        </is>
      </c>
      <c r="B25" s="282" t="inlineStr">
        <is>
          <t>NPS</t>
        </is>
      </c>
      <c r="C25" s="282" t="inlineStr">
        <is>
          <t>Aval. docente</t>
        </is>
      </c>
      <c r="D25" s="282" t="inlineStr">
        <is>
          <t>Aprovação</t>
        </is>
      </c>
      <c r="E25" s="282" t="inlineStr">
        <is>
          <t>Média</t>
        </is>
      </c>
      <c r="F25" s="282" t="inlineStr">
        <is>
          <t>Rep. nota</t>
        </is>
      </c>
      <c r="G25" s="282" t="inlineStr">
        <is>
          <t>Rep. falta</t>
        </is>
      </c>
    </row>
    <row r="26" ht="25.5" customHeight="1" s="131">
      <c r="A26" s="166">
        <f>CALC!$A$17</f>
        <v/>
      </c>
      <c r="B26" s="287">
        <f>CALC!$E$17</f>
        <v/>
      </c>
      <c r="C26" s="288">
        <f>CALC!$J$17</f>
        <v/>
      </c>
      <c r="D26" s="289">
        <f>CALC!$K$17</f>
        <v/>
      </c>
      <c r="E26" s="288">
        <f>CALC!$L$17</f>
        <v/>
      </c>
      <c r="F26" s="290">
        <f>CALC!$M$17</f>
        <v/>
      </c>
      <c r="G26" s="291">
        <f>CALC!$N$17</f>
        <v/>
      </c>
    </row>
    <row r="27" ht="15" customHeight="1" s="131">
      <c r="A27" s="167">
        <f>CALC!$A$18</f>
        <v/>
      </c>
      <c r="B27" s="284">
        <f>CALC!$E$18</f>
        <v/>
      </c>
      <c r="C27" s="292">
        <f>CALC!$J$18</f>
        <v/>
      </c>
      <c r="D27" s="293">
        <f>CALC!$K$18</f>
        <v/>
      </c>
      <c r="E27" s="292">
        <f>CALC!$L$18</f>
        <v/>
      </c>
      <c r="F27" s="278">
        <f>CALC!$M$18</f>
        <v/>
      </c>
      <c r="G27" s="291">
        <f>CALC!$N$18</f>
        <v/>
      </c>
    </row>
    <row r="28" ht="15" customHeight="1" s="131">
      <c r="A28" s="167">
        <f>CALC!$A$19</f>
        <v/>
      </c>
      <c r="B28" s="284">
        <f>CALC!$E$19</f>
        <v/>
      </c>
      <c r="C28" s="292">
        <f>CALC!$J$19</f>
        <v/>
      </c>
      <c r="D28" s="293">
        <f>CALC!$K$19</f>
        <v/>
      </c>
      <c r="E28" s="292">
        <f>CALC!$L$19</f>
        <v/>
      </c>
      <c r="F28" s="278">
        <f>CALC!$M$19</f>
        <v/>
      </c>
      <c r="G28" s="291">
        <f>CALC!$N$19</f>
        <v/>
      </c>
    </row>
    <row r="29" ht="21.75" customHeight="1" s="131">
      <c r="A29" s="167">
        <f>CALC!$A$20</f>
        <v/>
      </c>
      <c r="B29" s="284">
        <f>CALC!$E$20</f>
        <v/>
      </c>
      <c r="C29" s="292">
        <f>CALC!$J$20</f>
        <v/>
      </c>
      <c r="D29" s="293">
        <f>CALC!$K$20</f>
        <v/>
      </c>
      <c r="E29" s="292">
        <f>CALC!$L$20</f>
        <v/>
      </c>
      <c r="F29" s="278">
        <f>CALC!$M$20</f>
        <v/>
      </c>
      <c r="G29" s="291">
        <f>CALC!$N$20</f>
        <v/>
      </c>
    </row>
    <row r="30" ht="15" customHeight="1" s="131">
      <c r="A30" s="167">
        <f>CALC!$A$21</f>
        <v/>
      </c>
      <c r="B30" s="284">
        <f>CALC!$E$21</f>
        <v/>
      </c>
      <c r="C30" s="292">
        <f>CALC!$J$21</f>
        <v/>
      </c>
      <c r="D30" s="293">
        <f>CALC!$K$21</f>
        <v/>
      </c>
      <c r="E30" s="292">
        <f>CALC!$L$21</f>
        <v/>
      </c>
      <c r="F30" s="278">
        <f>CALC!$M$21</f>
        <v/>
      </c>
      <c r="G30" s="291">
        <f>CALC!$N$21</f>
        <v/>
      </c>
    </row>
    <row r="31" ht="15" customHeight="1" s="131">
      <c r="A31" s="167">
        <f>CALC!$A$22</f>
        <v/>
      </c>
      <c r="B31" s="284">
        <f>CALC!$E$22</f>
        <v/>
      </c>
      <c r="C31" s="292">
        <f>CALC!$J$22</f>
        <v/>
      </c>
      <c r="D31" s="293">
        <f>CALC!$K$22</f>
        <v/>
      </c>
      <c r="E31" s="292">
        <f>CALC!$L$22</f>
        <v/>
      </c>
      <c r="F31" s="278">
        <f>CALC!$M$22</f>
        <v/>
      </c>
      <c r="G31" s="291">
        <f>CALC!$N$22</f>
        <v/>
      </c>
    </row>
    <row r="32" ht="15" customHeight="1" s="131">
      <c r="A32" s="167">
        <f>CALC!$A$23</f>
        <v/>
      </c>
      <c r="B32" s="284">
        <f>CALC!$E$23</f>
        <v/>
      </c>
      <c r="C32" s="292">
        <f>CALC!$J$23</f>
        <v/>
      </c>
      <c r="D32" s="293">
        <f>CALC!$K$23</f>
        <v/>
      </c>
      <c r="E32" s="292">
        <f>CALC!$L$23</f>
        <v/>
      </c>
      <c r="F32" s="278">
        <f>CALC!$M$23</f>
        <v/>
      </c>
      <c r="G32" s="291">
        <f>CALC!$N$23</f>
        <v/>
      </c>
    </row>
    <row r="33" ht="15" customHeight="1" s="131">
      <c r="A33" s="167">
        <f>CALC!$A$24</f>
        <v/>
      </c>
      <c r="B33" s="284">
        <f>CALC!$E$24</f>
        <v/>
      </c>
      <c r="C33" s="292">
        <f>CALC!$J$24</f>
        <v/>
      </c>
      <c r="D33" s="293">
        <f>CALC!$K$24</f>
        <v/>
      </c>
      <c r="E33" s="292">
        <f>CALC!$L$24</f>
        <v/>
      </c>
      <c r="F33" s="278">
        <f>CALC!$M$24</f>
        <v/>
      </c>
      <c r="G33" s="291">
        <f>CALC!$N$24</f>
        <v/>
      </c>
    </row>
    <row r="34" ht="15" customHeight="1" s="131">
      <c r="A34" s="167">
        <f>CALC!$A$25</f>
        <v/>
      </c>
      <c r="B34" s="284">
        <f>CALC!$E$25</f>
        <v/>
      </c>
      <c r="C34" s="292">
        <f>CALC!$J$25</f>
        <v/>
      </c>
      <c r="D34" s="293">
        <f>CALC!$K$25</f>
        <v/>
      </c>
      <c r="E34" s="292">
        <f>CALC!$L$25</f>
        <v/>
      </c>
      <c r="F34" s="278">
        <f>CALC!$M$25</f>
        <v/>
      </c>
      <c r="G34" s="291">
        <f>CALC!$N$25</f>
        <v/>
      </c>
    </row>
    <row r="35" ht="15" customHeight="1" s="131">
      <c r="A35" s="167" t="n"/>
      <c r="B35" s="168" t="n"/>
      <c r="C35" s="169" t="n"/>
      <c r="D35" s="170" t="n"/>
      <c r="E35" s="169" t="n"/>
      <c r="F35" s="171" t="n"/>
    </row>
    <row r="36"/>
    <row r="37"/>
    <row r="38" ht="24" customHeight="1" s="131">
      <c r="A38" s="154" t="n"/>
    </row>
    <row r="39" ht="30" customHeight="1" s="131">
      <c r="A39" s="155" t="n"/>
      <c r="B39" s="155" t="n"/>
      <c r="C39" s="155" t="n"/>
      <c r="D39" s="155" t="n"/>
      <c r="E39" s="155" t="n"/>
      <c r="F39" s="155" t="n"/>
      <c r="G39" s="155" t="n"/>
      <c r="H39" s="155" t="n"/>
      <c r="I39" s="155" t="n"/>
      <c r="J39" s="155" t="n"/>
      <c r="K39" s="155" t="n"/>
    </row>
    <row r="40" ht="30" customHeight="1" s="131">
      <c r="A40" s="172" t="n"/>
      <c r="B40" s="173" t="n"/>
      <c r="C40" s="174" t="n"/>
      <c r="D40" s="175" t="n"/>
      <c r="E40" s="176" t="n"/>
      <c r="F40" s="177" t="n"/>
      <c r="G40" s="177" t="n"/>
      <c r="H40" s="162" t="n"/>
      <c r="I40" s="163" t="n"/>
      <c r="J40" s="164" t="n"/>
      <c r="K40" s="165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 ht="22" customHeight="1" s="131">
      <c r="A55" s="267" t="inlineStr">
        <is>
          <t>DTNH-02 · Avaliação Docente pelo Aluno</t>
        </is>
      </c>
      <c r="B55" s="267" t="n"/>
      <c r="C55" s="267" t="n"/>
      <c r="D55" s="267" t="n"/>
      <c r="E55" s="267" t="n"/>
      <c r="F55" s="267" t="n"/>
      <c r="G55" s="267" t="n"/>
      <c r="H55" s="267" t="n"/>
      <c r="I55" s="267" t="n"/>
      <c r="J55" s="267" t="n"/>
      <c r="K55" s="267" t="n"/>
    </row>
    <row r="56" ht="30" customHeight="1" s="131">
      <c r="A56" s="282" t="inlineStr">
        <is>
          <t>Valor na referência</t>
        </is>
      </c>
      <c r="B56" s="282" t="inlineStr">
        <is>
          <t>Valor na comparação</t>
        </is>
      </c>
      <c r="C56" s="282" t="inlineStr">
        <is>
          <t>Variação</t>
        </is>
      </c>
      <c r="D56" s="282" t="inlineStr">
        <is>
          <t>Meta vigente</t>
        </is>
      </c>
      <c r="E56" s="282" t="inlineStr">
        <is>
          <t>Limiar de atenção</t>
        </is>
      </c>
      <c r="F56" s="282" t="inlineStr">
        <is>
          <t>Aprovados</t>
        </is>
      </c>
      <c r="G56" s="282" t="inlineStr">
        <is>
          <t>Rep. nota</t>
        </is>
      </c>
      <c r="H56" s="282" t="inlineStr">
        <is>
          <t>Rep. falta</t>
        </is>
      </c>
      <c r="I56" s="282" t="inlineStr">
        <is>
          <t>Média</t>
        </is>
      </c>
      <c r="J56" s="282" t="inlineStr">
        <is>
          <t>Status</t>
        </is>
      </c>
      <c r="K56" s="282" t="inlineStr">
        <is>
          <t>Lançamentos</t>
        </is>
      </c>
    </row>
    <row r="57" ht="25.5" customHeight="1" s="131">
      <c r="A57" s="288">
        <f>CALC!$B$10</f>
        <v/>
      </c>
      <c r="B57" s="288">
        <f>CALC!$C$10</f>
        <v/>
      </c>
      <c r="C57" s="288">
        <f>CALC!$D$10</f>
        <v/>
      </c>
      <c r="D57" s="288">
        <f>CALC!$E$10</f>
        <v/>
      </c>
      <c r="E57" s="288">
        <f>CALC!$F$10</f>
        <v/>
      </c>
      <c r="F57" s="166" t="inlineStr"/>
      <c r="G57" t="inlineStr"/>
      <c r="H57" t="inlineStr"/>
      <c r="I57" t="inlineStr"/>
      <c r="J57">
        <f>CALC!$L$10</f>
        <v/>
      </c>
      <c r="K57" s="291">
        <f>CALC!$M$10</f>
        <v/>
      </c>
    </row>
    <row r="58" ht="15" customHeight="1" s="131">
      <c r="A58" s="167" t="n"/>
      <c r="B58" s="178" t="n"/>
      <c r="C58" s="179" t="n"/>
      <c r="D58" s="180" t="n"/>
      <c r="E58" s="181" t="n"/>
      <c r="F58" s="171" t="n"/>
    </row>
    <row r="59" ht="15" customHeight="1" s="131">
      <c r="A59" s="294" t="inlineStr">
        <is>
          <t>Leitura temporal</t>
        </is>
      </c>
      <c r="B59" s="178" t="n"/>
      <c r="C59" s="179" t="n"/>
      <c r="D59" s="180" t="n"/>
      <c r="E59" s="181" t="n"/>
      <c r="F59" s="171" t="n"/>
    </row>
    <row r="60" ht="21.75" customHeight="1" s="131">
      <c r="A60" s="167" t="n"/>
      <c r="B60" s="178" t="n"/>
      <c r="C60" s="179" t="n"/>
      <c r="D60" s="180" t="n"/>
      <c r="E60" s="181" t="n"/>
      <c r="F60" s="171" t="n"/>
    </row>
    <row r="61" ht="15" customHeight="1" s="131">
      <c r="A61" s="167" t="n"/>
      <c r="B61" s="178" t="n"/>
      <c r="C61" s="179" t="n"/>
      <c r="D61" s="180" t="n"/>
      <c r="E61" s="181" t="n"/>
      <c r="F61" s="171" t="n"/>
    </row>
    <row r="62" ht="15" customHeight="1" s="131">
      <c r="A62" s="167" t="n"/>
      <c r="B62" s="178" t="n"/>
      <c r="C62" s="179" t="n"/>
      <c r="D62" s="180" t="n"/>
      <c r="E62" s="181" t="n"/>
      <c r="F62" s="171" t="n"/>
    </row>
    <row r="63" ht="15" customHeight="1" s="131">
      <c r="A63" s="167" t="n"/>
      <c r="B63" s="178" t="n"/>
      <c r="C63" s="179" t="n"/>
      <c r="D63" s="180" t="n"/>
      <c r="E63" s="181" t="n"/>
      <c r="F63" s="171" t="n"/>
    </row>
    <row r="64" ht="15" customHeight="1" s="131">
      <c r="A64" s="167" t="n"/>
      <c r="B64" s="178" t="n"/>
      <c r="C64" s="179" t="n"/>
      <c r="D64" s="180" t="n"/>
      <c r="E64" s="181" t="n"/>
      <c r="F64" s="171" t="n"/>
    </row>
    <row r="65" ht="15" customHeight="1" s="131">
      <c r="A65" s="167" t="n"/>
      <c r="B65" s="178" t="n"/>
      <c r="C65" s="179" t="n"/>
      <c r="D65" s="180" t="n"/>
      <c r="E65" s="181" t="n"/>
      <c r="F65" s="171" t="n"/>
    </row>
    <row r="66" ht="15" customHeight="1" s="131">
      <c r="A66" s="167" t="n"/>
      <c r="B66" s="178" t="n"/>
      <c r="C66" s="179" t="n"/>
      <c r="D66" s="180" t="n"/>
      <c r="E66" s="181" t="n"/>
      <c r="F66" s="171" t="n"/>
    </row>
    <row r="67"/>
    <row r="68"/>
    <row r="69" ht="24" customHeight="1" s="131">
      <c r="A69" s="154" t="n"/>
    </row>
    <row r="70" ht="30" customHeight="1" s="131">
      <c r="A70" s="155" t="n"/>
      <c r="B70" s="155" t="n"/>
      <c r="C70" s="155" t="n"/>
      <c r="D70" s="155" t="n"/>
      <c r="E70" s="155" t="n"/>
      <c r="F70" s="155" t="n"/>
      <c r="G70" s="155" t="n"/>
      <c r="H70" s="155" t="n"/>
      <c r="I70" s="155" t="n"/>
      <c r="J70" s="155" t="n"/>
      <c r="K70" s="155" t="n"/>
    </row>
    <row r="71" ht="30" customHeight="1" s="131">
      <c r="A71" s="182" t="n"/>
      <c r="B71" s="183" t="n"/>
      <c r="C71" s="174" t="n"/>
      <c r="D71" s="175" t="n"/>
      <c r="E71" s="176" t="n"/>
      <c r="F71" s="177" t="n"/>
      <c r="G71" s="177" t="n"/>
      <c r="H71" s="162" t="n"/>
      <c r="I71" s="163" t="n"/>
      <c r="J71" s="164" t="n"/>
      <c r="K71" s="165" t="n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 ht="25.5" customHeight="1" s="131">
      <c r="A88" s="166" t="n"/>
      <c r="B88" s="166" t="n"/>
      <c r="C88" s="166" t="n"/>
      <c r="D88" s="166" t="n"/>
      <c r="E88" s="166" t="n"/>
      <c r="F88" s="166" t="n"/>
    </row>
    <row r="89" ht="15" customHeight="1" s="131">
      <c r="A89" s="167" t="n"/>
      <c r="B89" s="184" t="n"/>
      <c r="C89" s="181" t="n"/>
      <c r="D89" s="180" t="n"/>
      <c r="E89" s="181" t="n"/>
      <c r="F89" s="171" t="n"/>
    </row>
    <row r="90" ht="15" customHeight="1" s="131">
      <c r="A90" s="167" t="n"/>
      <c r="B90" s="184" t="n"/>
      <c r="C90" s="181" t="n"/>
      <c r="D90" s="180" t="n"/>
      <c r="E90" s="181" t="n"/>
      <c r="F90" s="171" t="n"/>
    </row>
    <row r="91" ht="21.75" customHeight="1" s="131">
      <c r="A91" s="167" t="n"/>
      <c r="B91" s="184" t="n"/>
      <c r="C91" s="181" t="n"/>
      <c r="D91" s="180" t="n"/>
      <c r="E91" s="181" t="n"/>
      <c r="F91" s="171" t="n"/>
    </row>
    <row r="92" ht="15" customHeight="1" s="131">
      <c r="A92" s="167" t="n"/>
      <c r="B92" s="184" t="n"/>
      <c r="C92" s="181" t="n"/>
      <c r="D92" s="180" t="n"/>
      <c r="E92" s="181" t="n"/>
      <c r="F92" s="171" t="n"/>
    </row>
    <row r="93" ht="15" customHeight="1" s="131">
      <c r="A93" s="167" t="n"/>
      <c r="B93" s="184" t="n"/>
      <c r="C93" s="181" t="n"/>
      <c r="D93" s="180" t="n"/>
      <c r="E93" s="181" t="n"/>
      <c r="F93" s="171" t="n"/>
    </row>
    <row r="94" ht="15" customHeight="1" s="131">
      <c r="A94" s="167" t="n"/>
      <c r="B94" s="184" t="n"/>
      <c r="C94" s="181" t="n"/>
      <c r="D94" s="180" t="n"/>
      <c r="E94" s="181" t="n"/>
      <c r="F94" s="171" t="n"/>
    </row>
    <row r="95" ht="15" customHeight="1" s="131">
      <c r="A95" s="167" t="n"/>
      <c r="B95" s="184" t="n"/>
      <c r="C95" s="181" t="n"/>
      <c r="D95" s="180" t="n"/>
      <c r="E95" s="181" t="n"/>
      <c r="F95" s="171" t="n"/>
    </row>
    <row r="96" ht="15" customHeight="1" s="131">
      <c r="A96" s="167" t="n"/>
      <c r="B96" s="184" t="n"/>
      <c r="C96" s="181" t="n"/>
      <c r="D96" s="180" t="n"/>
      <c r="E96" s="181" t="n"/>
      <c r="F96" s="171" t="n"/>
    </row>
    <row r="97" ht="15" customHeight="1" s="131">
      <c r="A97" s="167" t="n"/>
      <c r="B97" s="184" t="n"/>
      <c r="C97" s="181" t="n"/>
      <c r="D97" s="180" t="n"/>
      <c r="E97" s="181" t="n"/>
      <c r="F97" s="171" t="n"/>
    </row>
    <row r="98"/>
    <row r="99"/>
    <row r="100" ht="63.75" customHeight="1" s="131">
      <c r="A100" s="137" t="n"/>
      <c r="D100" s="140" t="n"/>
    </row>
    <row r="101" ht="25.5" customHeight="1" s="131">
      <c r="A101" s="166" t="n"/>
      <c r="B101" s="166" t="n"/>
      <c r="C101" s="166" t="n"/>
      <c r="D101" s="166" t="n"/>
      <c r="E101" s="166" t="n"/>
      <c r="F101" s="166" t="n"/>
      <c r="G101" s="166" t="n"/>
    </row>
    <row r="102" ht="15" customHeight="1" s="131">
      <c r="A102" s="164" t="n"/>
      <c r="B102" s="167" t="n"/>
      <c r="C102" s="179" t="n"/>
      <c r="D102" s="179" t="n"/>
      <c r="E102" s="185" t="n"/>
      <c r="F102" s="186" t="n"/>
      <c r="G102" s="187" t="n"/>
    </row>
    <row r="103" ht="22" customHeight="1" s="131">
      <c r="A103" s="273" t="inlineStr">
        <is>
          <t>DTNH-03 · Aprovação e Desempenho Acadêmico</t>
        </is>
      </c>
      <c r="B103" s="273" t="n"/>
      <c r="C103" s="295" t="n"/>
      <c r="D103" s="295" t="n"/>
      <c r="E103" s="296" t="n"/>
      <c r="F103" s="273" t="n"/>
      <c r="G103" s="296" t="n"/>
      <c r="H103" s="267" t="n"/>
      <c r="I103" s="267" t="n"/>
      <c r="J103" s="267" t="n"/>
      <c r="K103" s="267" t="n"/>
    </row>
    <row r="104" ht="30" customHeight="1" s="131">
      <c r="A104" s="282" t="inlineStr">
        <is>
          <t>Valor na referência</t>
        </is>
      </c>
      <c r="B104" s="282" t="inlineStr">
        <is>
          <t>Valor na comparação</t>
        </is>
      </c>
      <c r="C104" s="297" t="inlineStr">
        <is>
          <t>Variação</t>
        </is>
      </c>
      <c r="D104" s="297" t="inlineStr">
        <is>
          <t>Meta vigente</t>
        </is>
      </c>
      <c r="E104" s="298" t="inlineStr">
        <is>
          <t>Limiar de atenção</t>
        </is>
      </c>
      <c r="F104" s="282" t="inlineStr">
        <is>
          <t>Aprovados</t>
        </is>
      </c>
      <c r="G104" s="298" t="inlineStr">
        <is>
          <t>Rep. nota</t>
        </is>
      </c>
      <c r="H104" s="282" t="inlineStr">
        <is>
          <t>Rep. falta</t>
        </is>
      </c>
      <c r="I104" s="282" t="inlineStr">
        <is>
          <t>Média</t>
        </is>
      </c>
      <c r="J104" s="282" t="inlineStr">
        <is>
          <t>Status</t>
        </is>
      </c>
      <c r="K104" s="282" t="inlineStr">
        <is>
          <t>Lançamentos</t>
        </is>
      </c>
    </row>
    <row r="105" ht="15" customHeight="1" s="131">
      <c r="A105" s="293">
        <f>CALC!$B$11</f>
        <v/>
      </c>
      <c r="B105" s="299">
        <f>CALC!$C$11</f>
        <v/>
      </c>
      <c r="C105" s="293">
        <f>CALC!$D$11</f>
        <v/>
      </c>
      <c r="D105" s="293">
        <f>CALC!$E$11</f>
        <v/>
      </c>
      <c r="E105" s="300">
        <f>CALC!$F$11</f>
        <v/>
      </c>
      <c r="F105" s="278">
        <f>CALC!$G$11</f>
        <v/>
      </c>
      <c r="G105" s="301">
        <f>CALC!$H$11</f>
        <v/>
      </c>
      <c r="H105" s="291">
        <f>CALC!$I$11</f>
        <v/>
      </c>
      <c r="I105" s="302">
        <f>CALC!$K$11</f>
        <v/>
      </c>
      <c r="J105">
        <f>CALC!$L$11</f>
        <v/>
      </c>
      <c r="K105" s="291">
        <f>CALC!$M$11</f>
        <v/>
      </c>
    </row>
    <row r="106" ht="15" customHeight="1" s="131">
      <c r="A106" s="164" t="n"/>
      <c r="B106" s="167" t="n"/>
      <c r="C106" s="179" t="n"/>
      <c r="D106" s="179" t="n"/>
      <c r="E106" s="185" t="n"/>
      <c r="F106" s="186" t="n"/>
      <c r="G106" s="187" t="n"/>
    </row>
    <row r="107" ht="15" customHeight="1" s="131">
      <c r="A107" s="303" t="inlineStr">
        <is>
          <t>Leitura temporal</t>
        </is>
      </c>
      <c r="B107" s="167" t="n"/>
      <c r="C107" s="179" t="n"/>
      <c r="D107" s="179" t="n"/>
      <c r="E107" s="185" t="n"/>
      <c r="F107" s="186" t="n"/>
      <c r="G107" s="187" t="n"/>
    </row>
    <row r="108" ht="15" customHeight="1" s="131">
      <c r="A108" s="164" t="n"/>
      <c r="B108" s="167" t="n"/>
      <c r="C108" s="179" t="n"/>
      <c r="D108" s="179" t="n"/>
      <c r="E108" s="185" t="n"/>
      <c r="F108" s="186" t="n"/>
      <c r="G108" s="187" t="n"/>
    </row>
    <row r="109" ht="15" customHeight="1" s="131">
      <c r="A109" s="164" t="n"/>
      <c r="B109" s="167" t="n"/>
      <c r="C109" s="179" t="n"/>
      <c r="D109" s="179" t="n"/>
      <c r="E109" s="185" t="n"/>
      <c r="F109" s="186" t="n"/>
      <c r="G109" s="187" t="n"/>
    </row>
    <row r="110" ht="21.75" customHeight="1" s="131">
      <c r="A110" s="164" t="n"/>
      <c r="B110" s="167" t="n"/>
      <c r="C110" s="179" t="n"/>
      <c r="D110" s="179" t="n"/>
      <c r="E110" s="185" t="n"/>
      <c r="F110" s="186" t="n"/>
      <c r="G110" s="187" t="n"/>
    </row>
    <row r="111"/>
    <row r="112" ht="15" customHeight="1" s="131">
      <c r="A112" s="140" t="n"/>
    </row>
    <row r="113"/>
    <row r="114" ht="42.75" customHeight="1" s="131">
      <c r="A114" s="137" t="n"/>
      <c r="D114" s="140" t="n"/>
    </row>
    <row r="115" ht="25.5" customHeight="1" s="131">
      <c r="A115" s="166" t="n"/>
      <c r="B115" s="166" t="n"/>
      <c r="C115" s="166" t="n"/>
      <c r="D115" s="166" t="n"/>
      <c r="E115" s="166" t="n"/>
      <c r="F115" s="166" t="n"/>
      <c r="G115" s="166" t="n"/>
    </row>
    <row r="116" ht="21.75" customHeight="1" s="131">
      <c r="A116" s="304" t="inlineStr">
        <is>
          <t>Aprovações</t>
        </is>
      </c>
      <c r="B116" s="305">
        <f>CALC!$G$11</f>
        <v/>
      </c>
      <c r="C116" s="179" t="n"/>
      <c r="D116" s="306" t="inlineStr">
        <is>
          <t>Reprovação por nota</t>
        </is>
      </c>
      <c r="E116" s="307">
        <f>CALC!$H$11</f>
        <v/>
      </c>
      <c r="F116" s="181" t="n"/>
      <c r="G116" s="308" t="inlineStr">
        <is>
          <t>Reprovação por falta</t>
        </is>
      </c>
      <c r="H116" s="309">
        <f>CALC!$I$11</f>
        <v/>
      </c>
      <c r="J116" s="310" t="inlineStr">
        <is>
          <t>Média das notas</t>
        </is>
      </c>
      <c r="K116" s="311">
        <f>CALC!$K$11</f>
        <v/>
      </c>
    </row>
    <row r="117" ht="15" customHeight="1" s="131">
      <c r="A117" s="167" t="n"/>
      <c r="B117" s="167" t="n"/>
      <c r="C117" s="179" t="n"/>
      <c r="D117" s="179" t="n"/>
      <c r="E117" s="185" t="n"/>
      <c r="F117" s="181" t="n"/>
      <c r="G117" s="171" t="n"/>
    </row>
    <row r="118" ht="15" customHeight="1" s="131">
      <c r="A118" s="167" t="n"/>
      <c r="B118" s="167" t="n"/>
      <c r="C118" s="179" t="n"/>
      <c r="D118" s="179" t="n"/>
      <c r="E118" s="185" t="n"/>
      <c r="F118" s="181" t="n"/>
      <c r="G118" s="171" t="n"/>
    </row>
    <row r="119" ht="21.75" customHeight="1" s="131">
      <c r="A119" s="167" t="n"/>
      <c r="B119" s="167" t="n"/>
      <c r="C119" s="179" t="n"/>
      <c r="D119" s="179" t="n"/>
      <c r="E119" s="185" t="n"/>
      <c r="F119" s="181" t="n"/>
      <c r="G119" s="171" t="n"/>
    </row>
    <row r="120" ht="15" customHeight="1" s="131">
      <c r="A120" s="167" t="n"/>
      <c r="B120" s="167" t="n"/>
      <c r="C120" s="179" t="n"/>
      <c r="D120" s="179" t="n"/>
      <c r="E120" s="185" t="n"/>
      <c r="F120" s="181" t="n"/>
      <c r="G120" s="171" t="n"/>
    </row>
    <row r="121" ht="21.75" customHeight="1" s="131">
      <c r="A121" s="167" t="n"/>
      <c r="B121" s="167" t="n"/>
      <c r="C121" s="179" t="n"/>
      <c r="D121" s="179" t="n"/>
      <c r="E121" s="185" t="n"/>
      <c r="F121" s="181" t="n"/>
      <c r="G121" s="171" t="n"/>
    </row>
    <row r="122" ht="30" customHeight="1" s="131">
      <c r="A122" s="282" t="inlineStr">
        <is>
          <t>Curso</t>
        </is>
      </c>
      <c r="B122" s="282" t="inlineStr">
        <is>
          <t>Disciplina</t>
        </is>
      </c>
      <c r="C122" s="297" t="inlineStr">
        <is>
          <t>Aprovados</t>
        </is>
      </c>
      <c r="D122" s="297" t="inlineStr">
        <is>
          <t>Rep. nota</t>
        </is>
      </c>
      <c r="E122" s="298" t="inlineStr">
        <is>
          <t>Rep. falta</t>
        </is>
      </c>
      <c r="F122" s="298" t="inlineStr">
        <is>
          <t>Outros</t>
        </is>
      </c>
      <c r="G122" s="282" t="inlineStr">
        <is>
          <t>Taxa</t>
        </is>
      </c>
      <c r="H122" s="282" t="inlineStr">
        <is>
          <t>Média</t>
        </is>
      </c>
      <c r="I122" s="282" t="inlineStr">
        <is>
          <t>Total</t>
        </is>
      </c>
    </row>
    <row r="123" ht="21.75" customHeight="1" s="131">
      <c r="A123" s="167">
        <f>CALC!$A$32</f>
        <v/>
      </c>
      <c r="B123" s="167">
        <f>CALC!$B$32</f>
        <v/>
      </c>
      <c r="C123" s="278">
        <f>CALC!$C$32</f>
        <v/>
      </c>
      <c r="D123" s="278">
        <f>CALC!$D$32</f>
        <v/>
      </c>
      <c r="E123" s="312">
        <f>CALC!$E$32</f>
        <v/>
      </c>
      <c r="F123" s="278">
        <f>CALC!$F$32</f>
        <v/>
      </c>
      <c r="G123" s="293">
        <f>CALC!$G$32</f>
        <v/>
      </c>
      <c r="H123" s="302">
        <f>CALC!$H$32</f>
        <v/>
      </c>
      <c r="I123" s="291">
        <f>CALC!$I$32</f>
        <v/>
      </c>
    </row>
    <row r="124" ht="32.25" customHeight="1" s="131">
      <c r="A124" s="167">
        <f>CALC!$A$33</f>
        <v/>
      </c>
      <c r="B124" s="167">
        <f>CALC!$B$33</f>
        <v/>
      </c>
      <c r="C124" s="278">
        <f>CALC!$C$33</f>
        <v/>
      </c>
      <c r="D124" s="278">
        <f>CALC!$D$33</f>
        <v/>
      </c>
      <c r="E124" s="312">
        <f>CALC!$E$33</f>
        <v/>
      </c>
      <c r="F124" s="278">
        <f>CALC!$F$33</f>
        <v/>
      </c>
      <c r="G124" s="293">
        <f>CALC!$G$33</f>
        <v/>
      </c>
      <c r="H124" s="302">
        <f>CALC!$H$33</f>
        <v/>
      </c>
      <c r="I124" s="291">
        <f>CALC!$I$33</f>
        <v/>
      </c>
    </row>
    <row r="125" ht="21.75" customHeight="1" s="131">
      <c r="A125" s="167">
        <f>CALC!$A$34</f>
        <v/>
      </c>
      <c r="B125" s="167">
        <f>CALC!$B$34</f>
        <v/>
      </c>
      <c r="C125" s="278">
        <f>CALC!$C$34</f>
        <v/>
      </c>
      <c r="D125" s="278">
        <f>CALC!$D$34</f>
        <v/>
      </c>
      <c r="E125" s="312">
        <f>CALC!$E$34</f>
        <v/>
      </c>
      <c r="F125" s="278">
        <f>CALC!$F$34</f>
        <v/>
      </c>
      <c r="G125" s="293">
        <f>CALC!$G$34</f>
        <v/>
      </c>
      <c r="H125" s="302">
        <f>CALC!$H$34</f>
        <v/>
      </c>
      <c r="I125" s="291">
        <f>CALC!$I$34</f>
        <v/>
      </c>
    </row>
    <row r="126" ht="21.75" customHeight="1" s="131">
      <c r="A126" s="167">
        <f>CALC!$A$35</f>
        <v/>
      </c>
      <c r="B126" s="167">
        <f>CALC!$B$35</f>
        <v/>
      </c>
      <c r="C126" s="278">
        <f>CALC!$C$35</f>
        <v/>
      </c>
      <c r="D126" s="278">
        <f>CALC!$D$35</f>
        <v/>
      </c>
      <c r="E126" s="312">
        <f>CALC!$E$35</f>
        <v/>
      </c>
      <c r="F126" s="278">
        <f>CALC!$F$35</f>
        <v/>
      </c>
      <c r="G126" s="293">
        <f>CALC!$G$35</f>
        <v/>
      </c>
      <c r="H126" s="302">
        <f>CALC!$H$35</f>
        <v/>
      </c>
      <c r="I126" s="291">
        <f>CALC!$I$35</f>
        <v/>
      </c>
    </row>
    <row r="127" ht="21.75" customHeight="1" s="131">
      <c r="A127" s="167">
        <f>CALC!$A$36</f>
        <v/>
      </c>
      <c r="B127" s="167">
        <f>CALC!$B$36</f>
        <v/>
      </c>
      <c r="C127" s="278">
        <f>CALC!$C$36</f>
        <v/>
      </c>
      <c r="D127" s="278">
        <f>CALC!$D$36</f>
        <v/>
      </c>
      <c r="E127" s="312">
        <f>CALC!$E$36</f>
        <v/>
      </c>
      <c r="F127" s="278">
        <f>CALC!$F$36</f>
        <v/>
      </c>
      <c r="G127" s="293">
        <f>CALC!$G$36</f>
        <v/>
      </c>
      <c r="H127" s="302">
        <f>CALC!$H$36</f>
        <v/>
      </c>
      <c r="I127" s="291">
        <f>CALC!$I$36</f>
        <v/>
      </c>
    </row>
    <row r="128" ht="21.75" customHeight="1" s="131">
      <c r="A128" s="167">
        <f>CALC!$A$37</f>
        <v/>
      </c>
      <c r="B128" s="167">
        <f>CALC!$B$37</f>
        <v/>
      </c>
      <c r="C128" s="278">
        <f>CALC!$C$37</f>
        <v/>
      </c>
      <c r="D128" s="278">
        <f>CALC!$D$37</f>
        <v/>
      </c>
      <c r="E128" s="312">
        <f>CALC!$E$37</f>
        <v/>
      </c>
      <c r="F128" s="278">
        <f>CALC!$F$37</f>
        <v/>
      </c>
      <c r="G128" s="293">
        <f>CALC!$G$37</f>
        <v/>
      </c>
      <c r="H128" s="302">
        <f>CALC!$H$37</f>
        <v/>
      </c>
      <c r="I128" s="291">
        <f>CALC!$I$37</f>
        <v/>
      </c>
    </row>
    <row r="129" ht="21.75" customHeight="1" s="131">
      <c r="A129" s="167">
        <f>CALC!$A$38</f>
        <v/>
      </c>
      <c r="B129" s="167">
        <f>CALC!$B$38</f>
        <v/>
      </c>
      <c r="C129" s="278">
        <f>CALC!$C$38</f>
        <v/>
      </c>
      <c r="D129" s="278">
        <f>CALC!$D$38</f>
        <v/>
      </c>
      <c r="E129" s="312">
        <f>CALC!$E$38</f>
        <v/>
      </c>
      <c r="F129" s="278">
        <f>CALC!$F$38</f>
        <v/>
      </c>
      <c r="G129" s="293">
        <f>CALC!$G$38</f>
        <v/>
      </c>
      <c r="H129" s="302">
        <f>CALC!$H$38</f>
        <v/>
      </c>
      <c r="I129" s="291">
        <f>CALC!$I$38</f>
        <v/>
      </c>
    </row>
    <row r="130" ht="15" customHeight="1" s="131">
      <c r="A130" s="167">
        <f>CALC!$A$39</f>
        <v/>
      </c>
      <c r="B130" s="167">
        <f>CALC!$B$39</f>
        <v/>
      </c>
      <c r="C130" s="278">
        <f>CALC!$C$39</f>
        <v/>
      </c>
      <c r="D130" s="278">
        <f>CALC!$D$39</f>
        <v/>
      </c>
      <c r="E130" s="312">
        <f>CALC!$E$39</f>
        <v/>
      </c>
      <c r="F130" s="278">
        <f>CALC!$F$39</f>
        <v/>
      </c>
      <c r="G130" s="293">
        <f>CALC!$G$39</f>
        <v/>
      </c>
      <c r="H130" s="302">
        <f>CALC!$H$39</f>
        <v/>
      </c>
      <c r="I130" s="291">
        <f>CALC!$I$39</f>
        <v/>
      </c>
    </row>
    <row r="131" ht="15" customHeight="1" s="131">
      <c r="A131" s="167">
        <f>CALC!$A$40</f>
        <v/>
      </c>
      <c r="B131" s="167">
        <f>CALC!$B$40</f>
        <v/>
      </c>
      <c r="C131" s="278">
        <f>CALC!$C$40</f>
        <v/>
      </c>
      <c r="D131" s="278">
        <f>CALC!$D$40</f>
        <v/>
      </c>
      <c r="E131" s="312">
        <f>CALC!$E$40</f>
        <v/>
      </c>
      <c r="F131" s="278">
        <f>CALC!$F$40</f>
        <v/>
      </c>
      <c r="G131" s="293">
        <f>CALC!$G$40</f>
        <v/>
      </c>
      <c r="H131" s="302">
        <f>CALC!$H$40</f>
        <v/>
      </c>
      <c r="I131" s="291">
        <f>CALC!$I$40</f>
        <v/>
      </c>
    </row>
    <row r="132" ht="21.75" customHeight="1" s="131">
      <c r="A132" s="167">
        <f>CALC!$A$41</f>
        <v/>
      </c>
      <c r="B132" s="167">
        <f>CALC!$B$41</f>
        <v/>
      </c>
      <c r="C132" s="278">
        <f>CALC!$C$41</f>
        <v/>
      </c>
      <c r="D132" s="278">
        <f>CALC!$D$41</f>
        <v/>
      </c>
      <c r="E132" s="312">
        <f>CALC!$E$41</f>
        <v/>
      </c>
      <c r="F132" s="278">
        <f>CALC!$F$41</f>
        <v/>
      </c>
      <c r="G132" s="293">
        <f>CALC!$G$41</f>
        <v/>
      </c>
      <c r="H132" s="302">
        <f>CALC!$H$41</f>
        <v/>
      </c>
      <c r="I132" s="291">
        <f>CALC!$I$41</f>
        <v/>
      </c>
    </row>
    <row r="133" ht="21.75" customHeight="1" s="131">
      <c r="A133" s="167">
        <f>CALC!$A$42</f>
        <v/>
      </c>
      <c r="B133" s="167">
        <f>CALC!$B$42</f>
        <v/>
      </c>
      <c r="C133" s="278">
        <f>CALC!$C$42</f>
        <v/>
      </c>
      <c r="D133" s="278">
        <f>CALC!$D$42</f>
        <v/>
      </c>
      <c r="E133" s="312">
        <f>CALC!$E$42</f>
        <v/>
      </c>
      <c r="F133" s="278">
        <f>CALC!$F$42</f>
        <v/>
      </c>
      <c r="G133" s="293">
        <f>CALC!$G$42</f>
        <v/>
      </c>
      <c r="H133" s="302">
        <f>CALC!$H$42</f>
        <v/>
      </c>
      <c r="I133" s="291">
        <f>CALC!$I$42</f>
        <v/>
      </c>
    </row>
    <row r="134" ht="15" customHeight="1" s="131">
      <c r="A134" s="167">
        <f>CALC!$A$43</f>
        <v/>
      </c>
      <c r="B134" s="167">
        <f>CALC!$B$43</f>
        <v/>
      </c>
      <c r="C134" s="278">
        <f>CALC!$C$43</f>
        <v/>
      </c>
      <c r="D134" s="278">
        <f>CALC!$D$43</f>
        <v/>
      </c>
      <c r="E134" s="312">
        <f>CALC!$E$43</f>
        <v/>
      </c>
      <c r="F134" s="278">
        <f>CALC!$F$43</f>
        <v/>
      </c>
      <c r="G134" s="293">
        <f>CALC!$G$43</f>
        <v/>
      </c>
      <c r="H134" s="302">
        <f>CALC!$H$43</f>
        <v/>
      </c>
      <c r="I134" s="291">
        <f>CALC!$I$43</f>
        <v/>
      </c>
    </row>
    <row r="135" ht="21.75" customHeight="1" s="131">
      <c r="A135" s="167">
        <f>CALC!$A$44</f>
        <v/>
      </c>
      <c r="B135" s="167">
        <f>CALC!$B$44</f>
        <v/>
      </c>
      <c r="C135" s="278">
        <f>CALC!$C$44</f>
        <v/>
      </c>
      <c r="D135" s="278">
        <f>CALC!$D$44</f>
        <v/>
      </c>
      <c r="E135" s="312">
        <f>CALC!$E$44</f>
        <v/>
      </c>
      <c r="F135" s="278">
        <f>CALC!$F$44</f>
        <v/>
      </c>
      <c r="G135" s="293">
        <f>CALC!$G$44</f>
        <v/>
      </c>
      <c r="H135" s="302">
        <f>CALC!$H$44</f>
        <v/>
      </c>
      <c r="I135" s="291">
        <f>CALC!$I$44</f>
        <v/>
      </c>
    </row>
    <row r="136" ht="21.75" customHeight="1" s="131">
      <c r="A136" s="167">
        <f>CALC!$A$45</f>
        <v/>
      </c>
      <c r="B136" s="167">
        <f>CALC!$B$45</f>
        <v/>
      </c>
      <c r="C136" s="278">
        <f>CALC!$C$45</f>
        <v/>
      </c>
      <c r="D136" s="278">
        <f>CALC!$D$45</f>
        <v/>
      </c>
      <c r="E136" s="312">
        <f>CALC!$E$45</f>
        <v/>
      </c>
      <c r="F136" s="278">
        <f>CALC!$F$45</f>
        <v/>
      </c>
      <c r="G136" s="293">
        <f>CALC!$G$45</f>
        <v/>
      </c>
      <c r="H136" s="302">
        <f>CALC!$H$45</f>
        <v/>
      </c>
      <c r="I136" s="291">
        <f>CALC!$I$45</f>
        <v/>
      </c>
    </row>
    <row r="137" ht="21.75" customHeight="1" s="131">
      <c r="A137" s="167">
        <f>CALC!$A$46</f>
        <v/>
      </c>
      <c r="B137" s="167">
        <f>CALC!$B$46</f>
        <v/>
      </c>
      <c r="C137" s="278">
        <f>CALC!$C$46</f>
        <v/>
      </c>
      <c r="D137" s="278">
        <f>CALC!$D$46</f>
        <v/>
      </c>
      <c r="E137" s="312">
        <f>CALC!$E$46</f>
        <v/>
      </c>
      <c r="F137" s="278">
        <f>CALC!$F$46</f>
        <v/>
      </c>
      <c r="G137" s="293">
        <f>CALC!$G$46</f>
        <v/>
      </c>
      <c r="H137" s="302">
        <f>CALC!$H$46</f>
        <v/>
      </c>
      <c r="I137" s="291">
        <f>CALC!$I$46</f>
        <v/>
      </c>
    </row>
    <row r="138" ht="21.75" customHeight="1" s="131">
      <c r="A138" s="167">
        <f>CALC!$A$47</f>
        <v/>
      </c>
      <c r="B138" s="167">
        <f>CALC!$B$47</f>
        <v/>
      </c>
      <c r="C138" s="278">
        <f>CALC!$C$47</f>
        <v/>
      </c>
      <c r="D138" s="278">
        <f>CALC!$D$47</f>
        <v/>
      </c>
      <c r="E138" s="312">
        <f>CALC!$E$47</f>
        <v/>
      </c>
      <c r="F138" s="278">
        <f>CALC!$F$47</f>
        <v/>
      </c>
      <c r="G138" s="293">
        <f>CALC!$G$47</f>
        <v/>
      </c>
      <c r="H138" s="302">
        <f>CALC!$H$47</f>
        <v/>
      </c>
      <c r="I138" s="291">
        <f>CALC!$I$47</f>
        <v/>
      </c>
    </row>
    <row r="139" ht="21.75" customHeight="1" s="131">
      <c r="A139" s="167">
        <f>CALC!$A$48</f>
        <v/>
      </c>
      <c r="B139" s="167">
        <f>CALC!$B$48</f>
        <v/>
      </c>
      <c r="C139" s="278">
        <f>CALC!$C$48</f>
        <v/>
      </c>
      <c r="D139" s="278">
        <f>CALC!$D$48</f>
        <v/>
      </c>
      <c r="E139" s="312">
        <f>CALC!$E$48</f>
        <v/>
      </c>
      <c r="F139" s="278">
        <f>CALC!$F$48</f>
        <v/>
      </c>
      <c r="G139" s="293">
        <f>CALC!$G$48</f>
        <v/>
      </c>
      <c r="H139" s="302">
        <f>CALC!$H$48</f>
        <v/>
      </c>
      <c r="I139" s="291">
        <f>CALC!$I$48</f>
        <v/>
      </c>
    </row>
    <row r="140" ht="21.75" customHeight="1" s="131">
      <c r="A140" s="167">
        <f>CALC!$A$49</f>
        <v/>
      </c>
      <c r="B140" s="167">
        <f>CALC!$B$49</f>
        <v/>
      </c>
      <c r="C140" s="278">
        <f>CALC!$C$49</f>
        <v/>
      </c>
      <c r="D140" s="278">
        <f>CALC!$D$49</f>
        <v/>
      </c>
      <c r="E140" s="312">
        <f>CALC!$E$49</f>
        <v/>
      </c>
      <c r="F140" s="278">
        <f>CALC!$F$49</f>
        <v/>
      </c>
      <c r="G140" s="293">
        <f>CALC!$G$49</f>
        <v/>
      </c>
      <c r="H140" s="302">
        <f>CALC!$H$49</f>
        <v/>
      </c>
      <c r="I140" s="291">
        <f>CALC!$I$49</f>
        <v/>
      </c>
    </row>
    <row r="141" ht="15" customHeight="1" s="131">
      <c r="A141" s="167">
        <f>CALC!$A$50</f>
        <v/>
      </c>
      <c r="B141" s="167">
        <f>CALC!$B$50</f>
        <v/>
      </c>
      <c r="C141" s="278">
        <f>CALC!$C$50</f>
        <v/>
      </c>
      <c r="D141" s="278">
        <f>CALC!$D$50</f>
        <v/>
      </c>
      <c r="E141" s="312">
        <f>CALC!$E$50</f>
        <v/>
      </c>
      <c r="F141" s="278">
        <f>CALC!$F$50</f>
        <v/>
      </c>
      <c r="G141" s="293">
        <f>CALC!$G$50</f>
        <v/>
      </c>
      <c r="H141" s="302">
        <f>CALC!$H$50</f>
        <v/>
      </c>
      <c r="I141" s="291">
        <f>CALC!$I$50</f>
        <v/>
      </c>
    </row>
    <row r="142" ht="15" customHeight="1" s="131">
      <c r="A142" s="167">
        <f>CALC!$A$51</f>
        <v/>
      </c>
      <c r="B142" s="167">
        <f>CALC!$B$51</f>
        <v/>
      </c>
      <c r="C142" s="278">
        <f>CALC!$C$51</f>
        <v/>
      </c>
      <c r="D142" s="278">
        <f>CALC!$D$51</f>
        <v/>
      </c>
      <c r="E142" s="312">
        <f>CALC!$E$51</f>
        <v/>
      </c>
      <c r="F142" s="278">
        <f>CALC!$F$51</f>
        <v/>
      </c>
      <c r="G142" s="293">
        <f>CALC!$G$51</f>
        <v/>
      </c>
      <c r="H142" s="302">
        <f>CALC!$H$51</f>
        <v/>
      </c>
      <c r="I142" s="291">
        <f>CALC!$I$51</f>
        <v/>
      </c>
    </row>
    <row r="143" ht="21.75" customHeight="1" s="131">
      <c r="A143" s="167">
        <f>CALC!$A$52</f>
        <v/>
      </c>
      <c r="B143" s="167">
        <f>CALC!$B$52</f>
        <v/>
      </c>
      <c r="C143" s="278">
        <f>CALC!$C$52</f>
        <v/>
      </c>
      <c r="D143" s="278">
        <f>CALC!$D$52</f>
        <v/>
      </c>
      <c r="E143" s="312">
        <f>CALC!$E$52</f>
        <v/>
      </c>
      <c r="F143" s="278">
        <f>CALC!$F$52</f>
        <v/>
      </c>
      <c r="G143" s="293">
        <f>CALC!$G$52</f>
        <v/>
      </c>
      <c r="H143" s="302">
        <f>CALC!$H$52</f>
        <v/>
      </c>
      <c r="I143" s="291">
        <f>CALC!$I$52</f>
        <v/>
      </c>
    </row>
    <row r="144" ht="15" customHeight="1" s="131">
      <c r="A144" s="167">
        <f>CALC!$A$53</f>
        <v/>
      </c>
      <c r="B144" s="167">
        <f>CALC!$B$53</f>
        <v/>
      </c>
      <c r="C144" s="278">
        <f>CALC!$C$53</f>
        <v/>
      </c>
      <c r="D144" s="278">
        <f>CALC!$D$53</f>
        <v/>
      </c>
      <c r="E144" s="312">
        <f>CALC!$E$53</f>
        <v/>
      </c>
      <c r="F144" s="278">
        <f>CALC!$F$53</f>
        <v/>
      </c>
      <c r="G144" s="293">
        <f>CALC!$G$53</f>
        <v/>
      </c>
      <c r="H144" s="302">
        <f>CALC!$H$53</f>
        <v/>
      </c>
      <c r="I144" s="291">
        <f>CALC!$I$53</f>
        <v/>
      </c>
    </row>
    <row r="145" ht="21.75" customHeight="1" s="131">
      <c r="A145" s="167">
        <f>CALC!$A$54</f>
        <v/>
      </c>
      <c r="B145" s="167">
        <f>CALC!$B$54</f>
        <v/>
      </c>
      <c r="C145" s="278">
        <f>CALC!$C$54</f>
        <v/>
      </c>
      <c r="D145" s="278">
        <f>CALC!$D$54</f>
        <v/>
      </c>
      <c r="E145" s="312">
        <f>CALC!$E$54</f>
        <v/>
      </c>
      <c r="F145" s="278">
        <f>CALC!$F$54</f>
        <v/>
      </c>
      <c r="G145" s="293">
        <f>CALC!$G$54</f>
        <v/>
      </c>
      <c r="H145" s="302">
        <f>CALC!$H$54</f>
        <v/>
      </c>
      <c r="I145" s="291">
        <f>CALC!$I$54</f>
        <v/>
      </c>
    </row>
    <row r="146" ht="32.25" customHeight="1" s="131">
      <c r="A146" s="167">
        <f>CALC!$A$55</f>
        <v/>
      </c>
      <c r="B146" s="167">
        <f>CALC!$B$55</f>
        <v/>
      </c>
      <c r="C146" s="278">
        <f>CALC!$C$55</f>
        <v/>
      </c>
      <c r="D146" s="278">
        <f>CALC!$D$55</f>
        <v/>
      </c>
      <c r="E146" s="312">
        <f>CALC!$E$55</f>
        <v/>
      </c>
      <c r="F146" s="278">
        <f>CALC!$F$55</f>
        <v/>
      </c>
      <c r="G146" s="293">
        <f>CALC!$G$55</f>
        <v/>
      </c>
      <c r="H146" s="302">
        <f>CALC!$H$55</f>
        <v/>
      </c>
      <c r="I146" s="291">
        <f>CALC!$I$55</f>
        <v/>
      </c>
    </row>
    <row r="147" ht="21.75" customHeight="1" s="131">
      <c r="A147" s="167" t="n"/>
      <c r="B147" s="167" t="n"/>
      <c r="C147" s="179" t="n"/>
      <c r="D147" s="179" t="n"/>
      <c r="E147" s="185" t="n"/>
      <c r="F147" s="181" t="n"/>
      <c r="G147" s="171" t="n"/>
    </row>
    <row r="148" ht="15" customHeight="1" s="131">
      <c r="A148" s="167" t="n"/>
      <c r="B148" s="167" t="n"/>
      <c r="C148" s="179" t="n"/>
      <c r="D148" s="179" t="n"/>
      <c r="E148" s="185" t="n"/>
      <c r="F148" s="181" t="n"/>
      <c r="G148" s="171" t="n"/>
    </row>
    <row r="149" ht="21.75" customHeight="1" s="131">
      <c r="A149" s="167" t="n"/>
      <c r="B149" s="167" t="n"/>
      <c r="C149" s="179" t="n"/>
      <c r="D149" s="179" t="n"/>
      <c r="E149" s="185" t="n"/>
      <c r="F149" s="181" t="n"/>
      <c r="G149" s="171" t="n"/>
    </row>
    <row r="150" ht="15" customHeight="1" s="131">
      <c r="A150" s="167" t="n"/>
      <c r="B150" s="167" t="n"/>
      <c r="C150" s="179" t="n"/>
      <c r="D150" s="179" t="n"/>
      <c r="E150" s="185" t="n"/>
      <c r="F150" s="181" t="n"/>
      <c r="G150" s="171" t="n"/>
    </row>
    <row r="151" ht="15" customHeight="1" s="131">
      <c r="A151" s="167" t="n"/>
      <c r="B151" s="167" t="n"/>
      <c r="C151" s="179" t="n"/>
      <c r="D151" s="179" t="n"/>
      <c r="E151" s="185" t="n"/>
      <c r="F151" s="181" t="n"/>
      <c r="G151" s="171" t="n"/>
    </row>
    <row r="152" ht="21.75" customHeight="1" s="131">
      <c r="A152" s="167" t="n"/>
      <c r="B152" s="167" t="n"/>
      <c r="C152" s="179" t="n"/>
      <c r="D152" s="179" t="n"/>
      <c r="E152" s="185" t="n"/>
      <c r="F152" s="181" t="n"/>
      <c r="G152" s="171" t="n"/>
    </row>
    <row r="153" ht="15" customHeight="1" s="131">
      <c r="A153" s="167" t="n"/>
      <c r="B153" s="167" t="n"/>
      <c r="C153" s="179" t="n"/>
      <c r="D153" s="179" t="n"/>
      <c r="E153" s="185" t="n"/>
      <c r="F153" s="181" t="n"/>
      <c r="G153" s="171" t="n"/>
    </row>
    <row r="154" ht="27.75" customHeight="1" s="131">
      <c r="A154" s="188" t="n"/>
    </row>
    <row r="155"/>
    <row r="156" ht="42.75" customHeight="1" s="131">
      <c r="A156" s="140" t="n"/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130" min="1" max="1"/>
    <col width="18" customWidth="1" style="130" min="2" max="2"/>
    <col width="18" customWidth="1" style="130" min="3" max="3"/>
    <col width="18" customWidth="1" style="130" min="4" max="4"/>
    <col width="58" customWidth="1" style="130" min="5" max="5"/>
    <col width="30" customWidth="1" style="130" min="6" max="6"/>
  </cols>
  <sheetData>
    <row r="1" ht="30" customHeight="1" s="131">
      <c r="A1" s="262" t="inlineStr">
        <is>
          <t>QUALIDADE E GOVERNANÇA</t>
        </is>
      </c>
    </row>
    <row r="2" ht="15" customHeight="1" s="131">
      <c r="A2" s="263" t="inlineStr">
        <is>
          <t>Os cálculos abaixo ajudam a localizar erros de entrada antes da reunião de gestão.</t>
        </is>
      </c>
    </row>
    <row r="3"/>
    <row r="4" ht="22" customHeight="1" s="131">
      <c r="A4" s="267" t="inlineStr">
        <is>
          <t>RESUMO DE QUALIDADE</t>
        </is>
      </c>
      <c r="B4" s="267" t="n"/>
      <c r="C4" s="267" t="n"/>
      <c r="D4" s="267" t="n"/>
      <c r="E4" s="267" t="n"/>
      <c r="F4" s="267" t="n"/>
    </row>
    <row r="5" ht="30" customHeight="1" s="131">
      <c r="A5" s="282" t="inlineStr">
        <is>
          <t>Base</t>
        </is>
      </c>
      <c r="B5" s="282" t="inlineStr">
        <is>
          <t>Linhas preenchidas</t>
        </is>
      </c>
      <c r="C5" s="282" t="inlineStr">
        <is>
          <t>Linhas OK</t>
        </is>
      </c>
      <c r="D5" s="282" t="inlineStr">
        <is>
          <t>Linhas com erro</t>
        </is>
      </c>
      <c r="E5" s="282" t="inlineStr">
        <is>
          <t>Regra principal</t>
        </is>
      </c>
      <c r="F5" s="282" t="inlineStr">
        <is>
          <t>Ação</t>
        </is>
      </c>
    </row>
    <row r="6" ht="36" customHeight="1" s="131">
      <c r="A6" s="193" t="inlineStr">
        <is>
          <t>NPS DISCENTES</t>
        </is>
      </c>
      <c r="B6" s="313">
        <f>COUNTIF(TabelaNPS[Período],"&lt;&gt;")</f>
        <v/>
      </c>
      <c r="C6" s="313">
        <f>COUNTIF(TabelaNPS[Validação da linha],"OK")</f>
        <v/>
      </c>
      <c r="D6" s="313">
        <f>COUNTIFS(TabelaNPS[Validação da linha],"&lt;&gt;OK",TabelaNPS[Validação da linha],"&lt;&gt;")</f>
        <v/>
      </c>
      <c r="E6" s="193" t="inlineStr">
        <is>
          <t>Respondentes = promotores + neutros + detratores</t>
        </is>
      </c>
      <c r="F6" s="195" t="inlineStr">
        <is>
          <t>Corrigir linha sinalizada</t>
        </is>
      </c>
    </row>
    <row r="7" ht="36" customHeight="1" s="131">
      <c r="A7" s="193" t="inlineStr">
        <is>
          <t>AVALIAÇÃO DOCENTE</t>
        </is>
      </c>
      <c r="B7" s="313">
        <f>COUNTIF(TabelaAvaliacaoDocente[Período],"&lt;&gt;")</f>
        <v/>
      </c>
      <c r="C7" s="313">
        <f>COUNTIF(TabelaAvaliacaoDocente[Validação da linha],"OK")</f>
        <v/>
      </c>
      <c r="D7" s="313">
        <f>COUNTIFS(TabelaAvaliacaoDocente[Validação da linha],"&lt;&gt;OK",TabelaAvaliacaoDocente[Validação da linha],"&lt;&gt;")</f>
        <v/>
      </c>
      <c r="E7" s="193" t="inlineStr">
        <is>
          <t>Nota entre 0 e 10; chave única por professor</t>
        </is>
      </c>
      <c r="F7" s="195" t="inlineStr">
        <is>
          <t>Corrigir linha sinalizada</t>
        </is>
      </c>
    </row>
    <row r="8" ht="36" customHeight="1" s="131">
      <c r="A8" s="193" t="inlineStr">
        <is>
          <t>RESULTADOS ACADÊMICOS</t>
        </is>
      </c>
      <c r="B8" s="313">
        <f>COUNTIF(TabelaResultadosAcademicos[Período],"&lt;&gt;")</f>
        <v/>
      </c>
      <c r="C8" s="313">
        <f>COUNTIF(TabelaResultadosAcademicos[Validação da linha],"OK")</f>
        <v/>
      </c>
      <c r="D8" s="313">
        <f>COUNTIFS(TabelaResultadosAcademicos[Validação da linha],"&lt;&gt;OK",TabelaResultadosAcademicos[Validação da linha],"&lt;&gt;")</f>
        <v/>
      </c>
      <c r="E8" s="193" t="inlineStr">
        <is>
          <t>Consolidação por semestre, curso e disciplina</t>
        </is>
      </c>
      <c r="F8" s="195" t="inlineStr">
        <is>
          <t>Revisar consolidação sinalizada</t>
        </is>
      </c>
    </row>
    <row r="9" ht="36" customHeight="1" s="131"/>
    <row r="10" ht="36" customHeight="1" s="131"/>
    <row r="11" ht="36" customHeight="1" s="131">
      <c r="A11" s="191" t="inlineStr">
        <is>
          <t>Total de pendências</t>
        </is>
      </c>
      <c r="B11" s="291">
        <f>SUM(D6:D8)</f>
        <v/>
      </c>
    </row>
    <row r="12" ht="36" customHeight="1" s="131">
      <c r="A12" s="192" t="n"/>
      <c r="B12" s="192" t="n"/>
      <c r="C12" s="192" t="n"/>
      <c r="D12" s="192" t="n"/>
      <c r="E12" s="192" t="n"/>
      <c r="F12" s="192" t="n"/>
    </row>
    <row r="13" ht="36" customHeight="1" s="131">
      <c r="A13" s="196" t="inlineStr">
        <is>
          <t>Regra mensal/semestral</t>
        </is>
      </c>
      <c r="B13" s="314" t="inlineStr">
        <is>
          <t>SEM1 corresponde a jan-jun; SEM2 a jul-dez. Na visão mensal, dados semestrais se repetem em cada mês do semestre.</t>
        </is>
      </c>
    </row>
    <row r="14" ht="36" customHeight="1" s="131">
      <c r="A14" s="196" t="n"/>
    </row>
    <row r="15" ht="36" customHeight="1" s="131">
      <c r="A15" s="196" t="n"/>
      <c r="B15" s="315" t="n"/>
      <c r="C15" s="315" t="n"/>
      <c r="D15" s="315" t="n"/>
      <c r="E15" s="315" t="n"/>
      <c r="F15" s="315" t="n"/>
    </row>
    <row r="16" ht="36" customHeight="1" s="131">
      <c r="A16" s="196" t="n"/>
      <c r="B16" s="196" t="n"/>
      <c r="C16" s="196" t="n"/>
      <c r="D16" s="196" t="n"/>
      <c r="E16" s="196" t="n"/>
      <c r="F16" s="196" t="n"/>
    </row>
    <row r="17" ht="36" customHeight="1" s="131">
      <c r="A17" s="196" t="n"/>
      <c r="B17" s="196" t="n"/>
      <c r="C17" s="196" t="n"/>
      <c r="D17" s="196" t="n"/>
      <c r="E17" s="196" t="n"/>
      <c r="F17" s="196" t="n"/>
    </row>
    <row r="18" ht="36" customHeight="1" s="131">
      <c r="A18" s="196" t="n"/>
      <c r="B18" s="196" t="n"/>
      <c r="C18" s="196" t="n"/>
      <c r="D18" s="196" t="n"/>
      <c r="E18" s="196" t="n"/>
      <c r="F18" s="196" t="n"/>
    </row>
    <row r="19" ht="36" customHeight="1" s="131">
      <c r="A19" s="196" t="n"/>
      <c r="B19" s="196" t="n"/>
      <c r="C19" s="196" t="n"/>
      <c r="D19" s="196" t="n"/>
      <c r="E19" s="196" t="n"/>
      <c r="F19" s="196" t="n"/>
    </row>
    <row r="20" ht="36" customHeight="1" s="131">
      <c r="A20" s="196" t="n"/>
      <c r="B20" s="196" t="n"/>
      <c r="C20" s="196" t="n"/>
      <c r="D20" s="196" t="n"/>
      <c r="E20" s="196" t="n"/>
      <c r="F20" s="196" t="n"/>
    </row>
    <row r="21" ht="36" customHeight="1" s="131"/>
    <row r="22" ht="36" customHeight="1" s="131"/>
    <row r="23" ht="36" customHeight="1" s="131">
      <c r="A23" s="191" t="n"/>
    </row>
    <row r="24" ht="36" customHeight="1" s="131">
      <c r="A24" s="130" t="n"/>
      <c r="B24" s="197" t="n"/>
    </row>
    <row r="25" ht="36" customHeight="1" s="131">
      <c r="A25" s="130" t="n"/>
      <c r="B25" s="197" t="n"/>
    </row>
    <row r="26" ht="36" customHeight="1" s="131">
      <c r="A26" s="130" t="n"/>
      <c r="B26" s="197" t="n"/>
    </row>
    <row r="27" ht="36" customHeight="1" s="131">
      <c r="A27" s="130" t="n"/>
      <c r="B27" s="197" t="n"/>
    </row>
    <row r="28" ht="36" customHeight="1" s="131">
      <c r="A28" s="130" t="n"/>
      <c r="B28" s="197" t="n"/>
    </row>
    <row r="29" ht="36" customHeight="1" s="131">
      <c r="A29" s="130" t="n"/>
      <c r="B29" s="197" t="n"/>
    </row>
  </sheetData>
  <autoFilter ref="A5:F8"/>
  <mergeCells count="3">
    <mergeCell ref="A2:F2"/>
    <mergeCell ref="B13:F15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AD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46" customWidth="1" style="130" min="1" max="1"/>
    <col width="13" customWidth="1" style="130" min="2" max="2"/>
    <col width="13" customWidth="1" style="130" min="3" max="30"/>
    <col width="13" customWidth="1" style="131" min="4" max="4"/>
    <col width="13" customWidth="1" style="131" min="5" max="5"/>
    <col width="13" customWidth="1" style="131" min="6" max="6"/>
    <col width="13" customWidth="1" style="131" min="7" max="7"/>
    <col width="13" customWidth="1" style="131" min="8" max="8"/>
    <col width="13" customWidth="1" style="131" min="9" max="9"/>
    <col width="13" customWidth="1" style="131" min="10" max="10"/>
    <col width="13" customWidth="1" style="131" min="11" max="11"/>
    <col width="13" customWidth="1" style="131" min="12" max="12"/>
    <col width="13" customWidth="1" style="131" min="13" max="13"/>
    <col width="13" customWidth="1" style="131" min="14" max="14"/>
    <col width="13" customWidth="1" style="131" min="15" max="15"/>
    <col width="13" customWidth="1" style="131" min="16" max="16"/>
    <col width="13" customWidth="1" style="131" min="17" max="17"/>
    <col width="13" customWidth="1" style="131" min="18" max="18"/>
    <col width="13" customWidth="1" style="131" min="19" max="19"/>
    <col width="13" customWidth="1" style="131" min="20" max="20"/>
    <col width="13" customWidth="1" style="131" min="21" max="21"/>
    <col width="13" customWidth="1" style="131" min="22" max="22"/>
    <col width="13" customWidth="1" style="131" min="23" max="23"/>
    <col width="13" customWidth="1" style="131" min="24" max="24"/>
    <col width="13" customWidth="1" style="131" min="25" max="25"/>
  </cols>
  <sheetData>
    <row r="1" ht="24" customHeight="1" s="131">
      <c r="A1" s="262" t="inlineStr">
        <is>
          <t>MATRIZ DE DESEMPENHO — DTNH</t>
        </is>
      </c>
    </row>
    <row r="2" ht="30" customHeight="1" s="131">
      <c r="A2" s="263" t="inlineStr">
        <is>
          <t>Curso × período para a taxa de aprovação; abaixo, disciplinas do curso em foco.</t>
        </is>
      </c>
    </row>
    <row r="3"/>
    <row r="4" ht="15" customHeight="1" s="131">
      <c r="A4" s="198" t="inlineStr">
        <is>
          <t>Curso</t>
        </is>
      </c>
      <c r="B4" s="275">
        <f>CALC!$A$157</f>
        <v/>
      </c>
      <c r="C4" s="275">
        <f>CALC!$A$158</f>
        <v/>
      </c>
      <c r="D4" s="275">
        <f>CALC!$A$159</f>
        <v/>
      </c>
      <c r="E4" s="275">
        <f>CALC!$A$160</f>
        <v/>
      </c>
      <c r="F4" s="275">
        <f>CALC!$A$161</f>
        <v/>
      </c>
      <c r="G4" s="275">
        <f>CALC!$A$162</f>
        <v/>
      </c>
      <c r="H4" s="275">
        <f>CALC!$A$163</f>
        <v/>
      </c>
      <c r="I4" s="275">
        <f>CALC!$A$164</f>
        <v/>
      </c>
      <c r="J4" s="275">
        <f>CALC!$A$165</f>
        <v/>
      </c>
      <c r="K4" s="275">
        <f>CALC!$A$166</f>
        <v/>
      </c>
      <c r="L4" s="275">
        <f>CALC!$A$167</f>
        <v/>
      </c>
      <c r="M4" s="275">
        <f>CALC!$A$168</f>
        <v/>
      </c>
      <c r="N4" s="275">
        <f>CALC!$A$169</f>
        <v/>
      </c>
      <c r="O4" s="275">
        <f>CALC!$A$170</f>
        <v/>
      </c>
      <c r="P4" s="275">
        <f>CALC!$A$171</f>
        <v/>
      </c>
      <c r="Q4" s="275">
        <f>CALC!$A$172</f>
        <v/>
      </c>
      <c r="R4" s="275">
        <f>CALC!$A$173</f>
        <v/>
      </c>
      <c r="S4" s="275">
        <f>CALC!$A$174</f>
        <v/>
      </c>
      <c r="T4" s="275">
        <f>CALC!$A$175</f>
        <v/>
      </c>
      <c r="U4" s="275">
        <f>CALC!$A$176</f>
        <v/>
      </c>
      <c r="V4" s="275">
        <f>CALC!$A$177</f>
        <v/>
      </c>
      <c r="W4" s="275">
        <f>CALC!$A$178</f>
        <v/>
      </c>
      <c r="X4" s="275">
        <f>CALC!$A$179</f>
        <v/>
      </c>
      <c r="Y4" s="275">
        <f>CALC!$A$180</f>
        <v/>
      </c>
    </row>
    <row r="5" ht="30" customHeight="1" s="131">
      <c r="A5" s="199" t="inlineStr">
        <is>
          <t>Administração</t>
        </is>
      </c>
      <c r="B5" s="316">
        <f>IF(B4="","",IFERROR((SUMIFS(TabelaResultadosAcademicos[A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)*100,""))</f>
        <v/>
      </c>
      <c r="C5" s="316">
        <f>IF(C4="","",IFERROR((SUMIFS(TabelaResultadosAcademicos[A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)*100,""))</f>
        <v/>
      </c>
      <c r="D5" s="316">
        <f>IF(D4="","",IFERROR((SUMIFS(TabelaResultadosAcademicos[A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)*100,""))</f>
        <v/>
      </c>
      <c r="E5" s="316">
        <f>IF(E4="","",IFERROR((SUMIFS(TabelaResultadosAcademicos[A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)*100,""))</f>
        <v/>
      </c>
      <c r="F5" s="316">
        <f>IF(F4="","",IFERROR((SUMIFS(TabelaResultadosAcademicos[A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)*100,""))</f>
        <v/>
      </c>
      <c r="G5" s="316">
        <f>IF(G4="","",IFERROR((SUMIFS(TabelaResultadosAcademicos[A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)*100,""))</f>
        <v/>
      </c>
      <c r="H5" s="316">
        <f>IF(H4="","",IFERROR((SUMIFS(TabelaResultadosAcademicos[A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)*100,""))</f>
        <v/>
      </c>
      <c r="I5" s="316">
        <f>IF(I4="","",IFERROR((SUMIFS(TabelaResultadosAcademicos[A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)*100,""))</f>
        <v/>
      </c>
      <c r="J5" s="316">
        <f>IF(J4="","",IFERROR((SUMIFS(TabelaResultadosAcademicos[A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)*100,""))</f>
        <v/>
      </c>
      <c r="K5" s="316">
        <f>IF(K4="","",IFERROR((SUMIFS(TabelaResultadosAcademicos[A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)*100,""))</f>
        <v/>
      </c>
      <c r="L5" s="316">
        <f>IF(L4="","",IFERROR((SUMIFS(TabelaResultadosAcademicos[A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)*100,""))</f>
        <v/>
      </c>
      <c r="M5" s="316">
        <f>IF(M4="","",IFERROR((SUMIFS(TabelaResultadosAcademicos[A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)*100,""))</f>
        <v/>
      </c>
      <c r="N5" s="289">
        <f>IF(N4="","",IFERROR((SUMIFS(TabelaResultadosAcademicos[A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)*100,""))</f>
        <v/>
      </c>
      <c r="O5" s="289">
        <f>IF(O4="","",IFERROR((SUMIFS(TabelaResultadosAcademicos[A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)*100,""))</f>
        <v/>
      </c>
      <c r="P5" s="289">
        <f>IF(P4="","",IFERROR((SUMIFS(TabelaResultadosAcademicos[A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)*100,""))</f>
        <v/>
      </c>
      <c r="Q5" s="289">
        <f>IF(Q4="","",IFERROR((SUMIFS(TabelaResultadosAcademicos[A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)*100,""))</f>
        <v/>
      </c>
      <c r="R5" s="289">
        <f>IF(R4="","",IFERROR((SUMIFS(TabelaResultadosAcademicos[A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)*100,""))</f>
        <v/>
      </c>
      <c r="S5" s="317">
        <f>IF(S4="","",IFERROR((SUMIFS(TabelaResultadosAcademicos[A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)*100,""))</f>
        <v/>
      </c>
      <c r="T5" s="317">
        <f>IF(T4="","",IFERROR((SUMIFS(TabelaResultadosAcademicos[A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)*100,""))</f>
        <v/>
      </c>
      <c r="U5" s="317">
        <f>IF(U4="","",IFERROR((SUMIFS(TabelaResultadosAcademicos[A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)*100,""))</f>
        <v/>
      </c>
      <c r="V5" s="317">
        <f>IF(V4="","",IFERROR((SUMIFS(TabelaResultadosAcademicos[A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)*100,""))</f>
        <v/>
      </c>
      <c r="W5" s="317">
        <f>IF(W4="","",IFERROR((SUMIFS(TabelaResultadosAcademicos[A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)*100,""))</f>
        <v/>
      </c>
      <c r="X5" s="317">
        <f>IF(X4="","",IFERROR((SUMIFS(TabelaResultadosAcademicos[A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)*100,""))</f>
        <v/>
      </c>
      <c r="Y5" s="317">
        <f>IF(Y4="","",IFERROR((SUMIFS(TabelaResultadosAcademicos[A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)*100,""))</f>
        <v/>
      </c>
    </row>
    <row r="6" ht="21.75" customHeight="1" s="131">
      <c r="A6" s="167" t="inlineStr">
        <is>
          <t>Análise e Desenvolvimento de Sistemas</t>
        </is>
      </c>
      <c r="B6" s="293">
        <f>IF(B4="","",IFERROR((SUMIFS(TabelaResultadosAcademicos[A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)*100,""))</f>
        <v/>
      </c>
      <c r="C6" s="293">
        <f>IF(C4="","",IFERROR((SUMIFS(TabelaResultadosAcademicos[A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)*100,""))</f>
        <v/>
      </c>
      <c r="D6" s="293">
        <f>IF(D4="","",IFERROR((SUMIFS(TabelaResultadosAcademicos[A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)*100,""))</f>
        <v/>
      </c>
      <c r="E6" s="293">
        <f>IF(E4="","",IFERROR((SUMIFS(TabelaResultadosAcademicos[A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)*100,""))</f>
        <v/>
      </c>
      <c r="F6" s="293">
        <f>IF(F4="","",IFERROR((SUMIFS(TabelaResultadosAcademicos[A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)*100,""))</f>
        <v/>
      </c>
      <c r="G6" s="293">
        <f>IF(G4="","",IFERROR((SUMIFS(TabelaResultadosAcademicos[A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)*100,""))</f>
        <v/>
      </c>
      <c r="H6" s="293">
        <f>IF(H4="","",IFERROR((SUMIFS(TabelaResultadosAcademicos[A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)*100,""))</f>
        <v/>
      </c>
      <c r="I6" s="293">
        <f>IF(I4="","",IFERROR((SUMIFS(TabelaResultadosAcademicos[A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)*100,""))</f>
        <v/>
      </c>
      <c r="J6" s="293">
        <f>IF(J4="","",IFERROR((SUMIFS(TabelaResultadosAcademicos[A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)*100,""))</f>
        <v/>
      </c>
      <c r="K6" s="293">
        <f>IF(K4="","",IFERROR((SUMIFS(TabelaResultadosAcademicos[A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)*100,""))</f>
        <v/>
      </c>
      <c r="L6" s="293">
        <f>IF(L4="","",IFERROR((SUMIFS(TabelaResultadosAcademicos[A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)*100,""))</f>
        <v/>
      </c>
      <c r="M6" s="293">
        <f>IF(M4="","",IFERROR((SUMIFS(TabelaResultadosAcademicos[A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)*100,""))</f>
        <v/>
      </c>
      <c r="N6" s="300">
        <f>IF(N4="","",IFERROR((SUMIFS(TabelaResultadosAcademicos[A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)*100,""))</f>
        <v/>
      </c>
      <c r="O6" s="293">
        <f>IF(O4="","",IFERROR((SUMIFS(TabelaResultadosAcademicos[A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)*100,""))</f>
        <v/>
      </c>
      <c r="P6" s="293">
        <f>IF(P4="","",IFERROR((SUMIFS(TabelaResultadosAcademicos[A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)*100,""))</f>
        <v/>
      </c>
      <c r="Q6" s="293">
        <f>IF(Q4="","",IFERROR((SUMIFS(TabelaResultadosAcademicos[A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)*100,""))</f>
        <v/>
      </c>
      <c r="R6" s="293">
        <f>IF(R4="","",IFERROR((SUMIFS(TabelaResultadosAcademicos[A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)*100,""))</f>
        <v/>
      </c>
      <c r="S6" s="317">
        <f>IF(S4="","",IFERROR((SUMIFS(TabelaResultadosAcademicos[A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)*100,""))</f>
        <v/>
      </c>
      <c r="T6" s="317">
        <f>IF(T4="","",IFERROR((SUMIFS(TabelaResultadosAcademicos[A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)*100,""))</f>
        <v/>
      </c>
      <c r="U6" s="317">
        <f>IF(U4="","",IFERROR((SUMIFS(TabelaResultadosAcademicos[A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)*100,""))</f>
        <v/>
      </c>
      <c r="V6" s="317">
        <f>IF(V4="","",IFERROR((SUMIFS(TabelaResultadosAcademicos[A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)*100,""))</f>
        <v/>
      </c>
      <c r="W6" s="317">
        <f>IF(W4="","",IFERROR((SUMIFS(TabelaResultadosAcademicos[A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)*100,""))</f>
        <v/>
      </c>
      <c r="X6" s="317">
        <f>IF(X4="","",IFERROR((SUMIFS(TabelaResultadosAcademicos[A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)*100,""))</f>
        <v/>
      </c>
      <c r="Y6" s="317">
        <f>IF(Y4="","",IFERROR((SUMIFS(TabelaResultadosAcademicos[A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)*100,""))</f>
        <v/>
      </c>
    </row>
    <row r="7" ht="21.75" customHeight="1" s="131">
      <c r="A7" s="167" t="inlineStr">
        <is>
          <t>Agronomia</t>
        </is>
      </c>
      <c r="B7" s="293">
        <f>IF(B4="","",IFERROR((SUMIFS(TabelaResultadosAcademicos[A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)*100,""))</f>
        <v/>
      </c>
      <c r="C7" s="293">
        <f>IF(C4="","",IFERROR((SUMIFS(TabelaResultadosAcademicos[A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)*100,""))</f>
        <v/>
      </c>
      <c r="D7" s="293">
        <f>IF(D4="","",IFERROR((SUMIFS(TabelaResultadosAcademicos[A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)*100,""))</f>
        <v/>
      </c>
      <c r="E7" s="293">
        <f>IF(E4="","",IFERROR((SUMIFS(TabelaResultadosAcademicos[A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)*100,""))</f>
        <v/>
      </c>
      <c r="F7" s="293">
        <f>IF(F4="","",IFERROR((SUMIFS(TabelaResultadosAcademicos[A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)*100,""))</f>
        <v/>
      </c>
      <c r="G7" s="293">
        <f>IF(G4="","",IFERROR((SUMIFS(TabelaResultadosAcademicos[A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)*100,""))</f>
        <v/>
      </c>
      <c r="H7" s="293">
        <f>IF(H4="","",IFERROR((SUMIFS(TabelaResultadosAcademicos[A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)*100,""))</f>
        <v/>
      </c>
      <c r="I7" s="293">
        <f>IF(I4="","",IFERROR((SUMIFS(TabelaResultadosAcademicos[A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)*100,""))</f>
        <v/>
      </c>
      <c r="J7" s="293">
        <f>IF(J4="","",IFERROR((SUMIFS(TabelaResultadosAcademicos[A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)*100,""))</f>
        <v/>
      </c>
      <c r="K7" s="293">
        <f>IF(K4="","",IFERROR((SUMIFS(TabelaResultadosAcademicos[A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)*100,""))</f>
        <v/>
      </c>
      <c r="L7" s="293">
        <f>IF(L4="","",IFERROR((SUMIFS(TabelaResultadosAcademicos[A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)*100,""))</f>
        <v/>
      </c>
      <c r="M7" s="293">
        <f>IF(M4="","",IFERROR((SUMIFS(TabelaResultadosAcademicos[A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)*100,""))</f>
        <v/>
      </c>
      <c r="N7" s="300">
        <f>IF(N4="","",IFERROR((SUMIFS(TabelaResultadosAcademicos[A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)*100,""))</f>
        <v/>
      </c>
      <c r="O7" s="293">
        <f>IF(O4="","",IFERROR((SUMIFS(TabelaResultadosAcademicos[A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)*100,""))</f>
        <v/>
      </c>
      <c r="P7" s="293">
        <f>IF(P4="","",IFERROR((SUMIFS(TabelaResultadosAcademicos[A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)*100,""))</f>
        <v/>
      </c>
      <c r="Q7" s="293">
        <f>IF(Q4="","",IFERROR((SUMIFS(TabelaResultadosAcademicos[A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)*100,""))</f>
        <v/>
      </c>
      <c r="R7" s="293">
        <f>IF(R4="","",IFERROR((SUMIFS(TabelaResultadosAcademicos[A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)*100,""))</f>
        <v/>
      </c>
      <c r="S7" s="317">
        <f>IF(S4="","",IFERROR((SUMIFS(TabelaResultadosAcademicos[A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)*100,""))</f>
        <v/>
      </c>
      <c r="T7" s="317">
        <f>IF(T4="","",IFERROR((SUMIFS(TabelaResultadosAcademicos[A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)*100,""))</f>
        <v/>
      </c>
      <c r="U7" s="317">
        <f>IF(U4="","",IFERROR((SUMIFS(TabelaResultadosAcademicos[A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)*100,""))</f>
        <v/>
      </c>
      <c r="V7" s="317">
        <f>IF(V4="","",IFERROR((SUMIFS(TabelaResultadosAcademicos[A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)*100,""))</f>
        <v/>
      </c>
      <c r="W7" s="317">
        <f>IF(W4="","",IFERROR((SUMIFS(TabelaResultadosAcademicos[A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)*100,""))</f>
        <v/>
      </c>
      <c r="X7" s="317">
        <f>IF(X4="","",IFERROR((SUMIFS(TabelaResultadosAcademicos[A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)*100,""))</f>
        <v/>
      </c>
      <c r="Y7" s="317">
        <f>IF(Y4="","",IFERROR((SUMIFS(TabelaResultadosAcademicos[A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)*100,""))</f>
        <v/>
      </c>
    </row>
    <row r="8" ht="15" customHeight="1" s="131">
      <c r="A8" s="167" t="inlineStr">
        <is>
          <t>Arquitetura e Urbanismo</t>
        </is>
      </c>
      <c r="B8" s="293">
        <f>IF(B4="","",IFERROR((SUMIFS(TabelaResultadosAcademicos[A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)*100,""))</f>
        <v/>
      </c>
      <c r="C8" s="293">
        <f>IF(C4="","",IFERROR((SUMIFS(TabelaResultadosAcademicos[A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)*100,""))</f>
        <v/>
      </c>
      <c r="D8" s="293">
        <f>IF(D4="","",IFERROR((SUMIFS(TabelaResultadosAcademicos[A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)*100,""))</f>
        <v/>
      </c>
      <c r="E8" s="293">
        <f>IF(E4="","",IFERROR((SUMIFS(TabelaResultadosAcademicos[A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)*100,""))</f>
        <v/>
      </c>
      <c r="F8" s="293">
        <f>IF(F4="","",IFERROR((SUMIFS(TabelaResultadosAcademicos[A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)*100,""))</f>
        <v/>
      </c>
      <c r="G8" s="293">
        <f>IF(G4="","",IFERROR((SUMIFS(TabelaResultadosAcademicos[A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)*100,""))</f>
        <v/>
      </c>
      <c r="H8" s="293">
        <f>IF(H4="","",IFERROR((SUMIFS(TabelaResultadosAcademicos[A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)*100,""))</f>
        <v/>
      </c>
      <c r="I8" s="293">
        <f>IF(I4="","",IFERROR((SUMIFS(TabelaResultadosAcademicos[A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)*100,""))</f>
        <v/>
      </c>
      <c r="J8" s="293">
        <f>IF(J4="","",IFERROR((SUMIFS(TabelaResultadosAcademicos[A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)*100,""))</f>
        <v/>
      </c>
      <c r="K8" s="293">
        <f>IF(K4="","",IFERROR((SUMIFS(TabelaResultadosAcademicos[A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)*100,""))</f>
        <v/>
      </c>
      <c r="L8" s="293">
        <f>IF(L4="","",IFERROR((SUMIFS(TabelaResultadosAcademicos[A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)*100,""))</f>
        <v/>
      </c>
      <c r="M8" s="293">
        <f>IF(M4="","",IFERROR((SUMIFS(TabelaResultadosAcademicos[A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)*100,""))</f>
        <v/>
      </c>
      <c r="N8" s="300">
        <f>IF(N4="","",IFERROR((SUMIFS(TabelaResultadosAcademicos[A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)*100,""))</f>
        <v/>
      </c>
      <c r="O8" s="293">
        <f>IF(O4="","",IFERROR((SUMIFS(TabelaResultadosAcademicos[A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)*100,""))</f>
        <v/>
      </c>
      <c r="P8" s="293">
        <f>IF(P4="","",IFERROR((SUMIFS(TabelaResultadosAcademicos[A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)*100,""))</f>
        <v/>
      </c>
      <c r="Q8" s="293">
        <f>IF(Q4="","",IFERROR((SUMIFS(TabelaResultadosAcademicos[A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)*100,""))</f>
        <v/>
      </c>
      <c r="R8" s="293">
        <f>IF(R4="","",IFERROR((SUMIFS(TabelaResultadosAcademicos[A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)*100,""))</f>
        <v/>
      </c>
      <c r="S8" s="317">
        <f>IF(S4="","",IFERROR((SUMIFS(TabelaResultadosAcademicos[A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)*100,""))</f>
        <v/>
      </c>
      <c r="T8" s="317">
        <f>IF(T4="","",IFERROR((SUMIFS(TabelaResultadosAcademicos[A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)*100,""))</f>
        <v/>
      </c>
      <c r="U8" s="317">
        <f>IF(U4="","",IFERROR((SUMIFS(TabelaResultadosAcademicos[A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)*100,""))</f>
        <v/>
      </c>
      <c r="V8" s="317">
        <f>IF(V4="","",IFERROR((SUMIFS(TabelaResultadosAcademicos[A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)*100,""))</f>
        <v/>
      </c>
      <c r="W8" s="317">
        <f>IF(W4="","",IFERROR((SUMIFS(TabelaResultadosAcademicos[A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)*100,""))</f>
        <v/>
      </c>
      <c r="X8" s="317">
        <f>IF(X4="","",IFERROR((SUMIFS(TabelaResultadosAcademicos[A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)*100,""))</f>
        <v/>
      </c>
      <c r="Y8" s="317">
        <f>IF(Y4="","",IFERROR((SUMIFS(TabelaResultadosAcademicos[A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)*100,""))</f>
        <v/>
      </c>
    </row>
    <row r="9" ht="15" customHeight="1" s="131">
      <c r="A9" s="167" t="inlineStr">
        <is>
          <t>Ciências Contábeis</t>
        </is>
      </c>
      <c r="B9" s="293">
        <f>IF(B4="","",IFERROR((SUMIFS(TabelaResultadosAcademicos[A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)*100,""))</f>
        <v/>
      </c>
      <c r="C9" s="293">
        <f>IF(C4="","",IFERROR((SUMIFS(TabelaResultadosAcademicos[A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)*100,""))</f>
        <v/>
      </c>
      <c r="D9" s="293">
        <f>IF(D4="","",IFERROR((SUMIFS(TabelaResultadosAcademicos[A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)*100,""))</f>
        <v/>
      </c>
      <c r="E9" s="293">
        <f>IF(E4="","",IFERROR((SUMIFS(TabelaResultadosAcademicos[A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)*100,""))</f>
        <v/>
      </c>
      <c r="F9" s="293">
        <f>IF(F4="","",IFERROR((SUMIFS(TabelaResultadosAcademicos[A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)*100,""))</f>
        <v/>
      </c>
      <c r="G9" s="293">
        <f>IF(G4="","",IFERROR((SUMIFS(TabelaResultadosAcademicos[A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)*100,""))</f>
        <v/>
      </c>
      <c r="H9" s="293">
        <f>IF(H4="","",IFERROR((SUMIFS(TabelaResultadosAcademicos[A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)*100,""))</f>
        <v/>
      </c>
      <c r="I9" s="293">
        <f>IF(I4="","",IFERROR((SUMIFS(TabelaResultadosAcademicos[A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)*100,""))</f>
        <v/>
      </c>
      <c r="J9" s="293">
        <f>IF(J4="","",IFERROR((SUMIFS(TabelaResultadosAcademicos[A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)*100,""))</f>
        <v/>
      </c>
      <c r="K9" s="293">
        <f>IF(K4="","",IFERROR((SUMIFS(TabelaResultadosAcademicos[A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)*100,""))</f>
        <v/>
      </c>
      <c r="L9" s="293">
        <f>IF(L4="","",IFERROR((SUMIFS(TabelaResultadosAcademicos[A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)*100,""))</f>
        <v/>
      </c>
      <c r="M9" s="293">
        <f>IF(M4="","",IFERROR((SUMIFS(TabelaResultadosAcademicos[A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)*100,""))</f>
        <v/>
      </c>
      <c r="N9" s="300">
        <f>IF(N4="","",IFERROR((SUMIFS(TabelaResultadosAcademicos[A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)*100,""))</f>
        <v/>
      </c>
      <c r="O9" s="293">
        <f>IF(O4="","",IFERROR((SUMIFS(TabelaResultadosAcademicos[A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)*100,""))</f>
        <v/>
      </c>
      <c r="P9" s="293">
        <f>IF(P4="","",IFERROR((SUMIFS(TabelaResultadosAcademicos[A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)*100,""))</f>
        <v/>
      </c>
      <c r="Q9" s="293">
        <f>IF(Q4="","",IFERROR((SUMIFS(TabelaResultadosAcademicos[A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)*100,""))</f>
        <v/>
      </c>
      <c r="R9" s="293">
        <f>IF(R4="","",IFERROR((SUMIFS(TabelaResultadosAcademicos[A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)*100,""))</f>
        <v/>
      </c>
      <c r="S9" s="317">
        <f>IF(S4="","",IFERROR((SUMIFS(TabelaResultadosAcademicos[A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)*100,""))</f>
        <v/>
      </c>
      <c r="T9" s="317">
        <f>IF(T4="","",IFERROR((SUMIFS(TabelaResultadosAcademicos[A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)*100,""))</f>
        <v/>
      </c>
      <c r="U9" s="317">
        <f>IF(U4="","",IFERROR((SUMIFS(TabelaResultadosAcademicos[A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)*100,""))</f>
        <v/>
      </c>
      <c r="V9" s="317">
        <f>IF(V4="","",IFERROR((SUMIFS(TabelaResultadosAcademicos[A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)*100,""))</f>
        <v/>
      </c>
      <c r="W9" s="317">
        <f>IF(W4="","",IFERROR((SUMIFS(TabelaResultadosAcademicos[A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)*100,""))</f>
        <v/>
      </c>
      <c r="X9" s="317">
        <f>IF(X4="","",IFERROR((SUMIFS(TabelaResultadosAcademicos[A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)*100,""))</f>
        <v/>
      </c>
      <c r="Y9" s="317">
        <f>IF(Y4="","",IFERROR((SUMIFS(TabelaResultadosAcademicos[A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)*100,""))</f>
        <v/>
      </c>
    </row>
    <row r="10" ht="15" customHeight="1" s="131">
      <c r="A10" s="167" t="inlineStr">
        <is>
          <t>Direito</t>
        </is>
      </c>
      <c r="B10" s="293">
        <f>IF(B4="","",IFERROR((SUMIFS(TabelaResultadosAcademicos[A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)*100,""))</f>
        <v/>
      </c>
      <c r="C10" s="293">
        <f>IF(C4="","",IFERROR((SUMIFS(TabelaResultadosAcademicos[A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)*100,""))</f>
        <v/>
      </c>
      <c r="D10" s="293">
        <f>IF(D4="","",IFERROR((SUMIFS(TabelaResultadosAcademicos[A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)*100,""))</f>
        <v/>
      </c>
      <c r="E10" s="293">
        <f>IF(E4="","",IFERROR((SUMIFS(TabelaResultadosAcademicos[A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)*100,""))</f>
        <v/>
      </c>
      <c r="F10" s="293">
        <f>IF(F4="","",IFERROR((SUMIFS(TabelaResultadosAcademicos[A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)*100,""))</f>
        <v/>
      </c>
      <c r="G10" s="293">
        <f>IF(G4="","",IFERROR((SUMIFS(TabelaResultadosAcademicos[A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)*100,""))</f>
        <v/>
      </c>
      <c r="H10" s="293">
        <f>IF(H4="","",IFERROR((SUMIFS(TabelaResultadosAcademicos[A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)*100,""))</f>
        <v/>
      </c>
      <c r="I10" s="293">
        <f>IF(I4="","",IFERROR((SUMIFS(TabelaResultadosAcademicos[A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)*100,""))</f>
        <v/>
      </c>
      <c r="J10" s="293">
        <f>IF(J4="","",IFERROR((SUMIFS(TabelaResultadosAcademicos[A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)*100,""))</f>
        <v/>
      </c>
      <c r="K10" s="293">
        <f>IF(K4="","",IFERROR((SUMIFS(TabelaResultadosAcademicos[A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)*100,""))</f>
        <v/>
      </c>
      <c r="L10" s="293">
        <f>IF(L4="","",IFERROR((SUMIFS(TabelaResultadosAcademicos[A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)*100,""))</f>
        <v/>
      </c>
      <c r="M10" s="293">
        <f>IF(M4="","",IFERROR((SUMIFS(TabelaResultadosAcademicos[A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)*100,""))</f>
        <v/>
      </c>
      <c r="N10" s="300">
        <f>IF(N4="","",IFERROR((SUMIFS(TabelaResultadosAcademicos[A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)*100,""))</f>
        <v/>
      </c>
      <c r="O10" s="293">
        <f>IF(O4="","",IFERROR((SUMIFS(TabelaResultadosAcademicos[A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)*100,""))</f>
        <v/>
      </c>
      <c r="P10" s="293">
        <f>IF(P4="","",IFERROR((SUMIFS(TabelaResultadosAcademicos[A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)*100,""))</f>
        <v/>
      </c>
      <c r="Q10" s="293">
        <f>IF(Q4="","",IFERROR((SUMIFS(TabelaResultadosAcademicos[A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)*100,""))</f>
        <v/>
      </c>
      <c r="R10" s="293">
        <f>IF(R4="","",IFERROR((SUMIFS(TabelaResultadosAcademicos[A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)*100,""))</f>
        <v/>
      </c>
      <c r="S10" s="317">
        <f>IF(S4="","",IFERROR((SUMIFS(TabelaResultadosAcademicos[A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)*100,""))</f>
        <v/>
      </c>
      <c r="T10" s="317">
        <f>IF(T4="","",IFERROR((SUMIFS(TabelaResultadosAcademicos[A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)*100,""))</f>
        <v/>
      </c>
      <c r="U10" s="317">
        <f>IF(U4="","",IFERROR((SUMIFS(TabelaResultadosAcademicos[A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)*100,""))</f>
        <v/>
      </c>
      <c r="V10" s="317">
        <f>IF(V4="","",IFERROR((SUMIFS(TabelaResultadosAcademicos[A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)*100,""))</f>
        <v/>
      </c>
      <c r="W10" s="317">
        <f>IF(W4="","",IFERROR((SUMIFS(TabelaResultadosAcademicos[A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)*100,""))</f>
        <v/>
      </c>
      <c r="X10" s="317">
        <f>IF(X4="","",IFERROR((SUMIFS(TabelaResultadosAcademicos[A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)*100,""))</f>
        <v/>
      </c>
      <c r="Y10" s="317">
        <f>IF(Y4="","",IFERROR((SUMIFS(TabelaResultadosAcademicos[A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)*100,""))</f>
        <v/>
      </c>
    </row>
    <row r="11" ht="15" customHeight="1" s="131">
      <c r="A11" s="167" t="inlineStr">
        <is>
          <t>Engenharia de Produção</t>
        </is>
      </c>
      <c r="B11" s="293">
        <f>IF(B4="","",IFERROR((SUMIFS(TabelaResultadosAcademicos[A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)*100,""))</f>
        <v/>
      </c>
      <c r="C11" s="293">
        <f>IF(C4="","",IFERROR((SUMIFS(TabelaResultadosAcademicos[A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)*100,""))</f>
        <v/>
      </c>
      <c r="D11" s="293">
        <f>IF(D4="","",IFERROR((SUMIFS(TabelaResultadosAcademicos[A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)*100,""))</f>
        <v/>
      </c>
      <c r="E11" s="293">
        <f>IF(E4="","",IFERROR((SUMIFS(TabelaResultadosAcademicos[A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)*100,""))</f>
        <v/>
      </c>
      <c r="F11" s="293">
        <f>IF(F4="","",IFERROR((SUMIFS(TabelaResultadosAcademicos[A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)*100,""))</f>
        <v/>
      </c>
      <c r="G11" s="293">
        <f>IF(G4="","",IFERROR((SUMIFS(TabelaResultadosAcademicos[A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)*100,""))</f>
        <v/>
      </c>
      <c r="H11" s="293">
        <f>IF(H4="","",IFERROR((SUMIFS(TabelaResultadosAcademicos[A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)*100,""))</f>
        <v/>
      </c>
      <c r="I11" s="293">
        <f>IF(I4="","",IFERROR((SUMIFS(TabelaResultadosAcademicos[A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)*100,""))</f>
        <v/>
      </c>
      <c r="J11" s="293">
        <f>IF(J4="","",IFERROR((SUMIFS(TabelaResultadosAcademicos[A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)*100,""))</f>
        <v/>
      </c>
      <c r="K11" s="293">
        <f>IF(K4="","",IFERROR((SUMIFS(TabelaResultadosAcademicos[A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)*100,""))</f>
        <v/>
      </c>
      <c r="L11" s="293">
        <f>IF(L4="","",IFERROR((SUMIFS(TabelaResultadosAcademicos[A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)*100,""))</f>
        <v/>
      </c>
      <c r="M11" s="293">
        <f>IF(M4="","",IFERROR((SUMIFS(TabelaResultadosAcademicos[A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)*100,""))</f>
        <v/>
      </c>
      <c r="N11" s="300">
        <f>IF(N4="","",IFERROR((SUMIFS(TabelaResultadosAcademicos[A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)*100,""))</f>
        <v/>
      </c>
      <c r="O11" s="293">
        <f>IF(O4="","",IFERROR((SUMIFS(TabelaResultadosAcademicos[A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)*100,""))</f>
        <v/>
      </c>
      <c r="P11" s="293">
        <f>IF(P4="","",IFERROR((SUMIFS(TabelaResultadosAcademicos[A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)*100,""))</f>
        <v/>
      </c>
      <c r="Q11" s="293">
        <f>IF(Q4="","",IFERROR((SUMIFS(TabelaResultadosAcademicos[A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)*100,""))</f>
        <v/>
      </c>
      <c r="R11" s="293">
        <f>IF(R4="","",IFERROR((SUMIFS(TabelaResultadosAcademicos[A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)*100,""))</f>
        <v/>
      </c>
      <c r="S11" s="317">
        <f>IF(S4="","",IFERROR((SUMIFS(TabelaResultadosAcademicos[A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)*100,""))</f>
        <v/>
      </c>
      <c r="T11" s="317">
        <f>IF(T4="","",IFERROR((SUMIFS(TabelaResultadosAcademicos[A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)*100,""))</f>
        <v/>
      </c>
      <c r="U11" s="317">
        <f>IF(U4="","",IFERROR((SUMIFS(TabelaResultadosAcademicos[A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)*100,""))</f>
        <v/>
      </c>
      <c r="V11" s="317">
        <f>IF(V4="","",IFERROR((SUMIFS(TabelaResultadosAcademicos[A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)*100,""))</f>
        <v/>
      </c>
      <c r="W11" s="317">
        <f>IF(W4="","",IFERROR((SUMIFS(TabelaResultadosAcademicos[A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)*100,""))</f>
        <v/>
      </c>
      <c r="X11" s="317">
        <f>IF(X4="","",IFERROR((SUMIFS(TabelaResultadosAcademicos[A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)*100,""))</f>
        <v/>
      </c>
      <c r="Y11" s="317">
        <f>IF(Y4="","",IFERROR((SUMIFS(TabelaResultadosAcademicos[A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)*100,""))</f>
        <v/>
      </c>
    </row>
    <row r="12" ht="21.75" customHeight="1" s="131">
      <c r="A12" s="167" t="inlineStr">
        <is>
          <t>Engenharia Mecânica</t>
        </is>
      </c>
      <c r="B12" s="293">
        <f>IF(B4="","",IFERROR((SUMIFS(TabelaResultadosAcademicos[A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)*100,""))</f>
        <v/>
      </c>
      <c r="C12" s="293">
        <f>IF(C4="","",IFERROR((SUMIFS(TabelaResultadosAcademicos[A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)*100,""))</f>
        <v/>
      </c>
      <c r="D12" s="293">
        <f>IF(D4="","",IFERROR((SUMIFS(TabelaResultadosAcademicos[A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)*100,""))</f>
        <v/>
      </c>
      <c r="E12" s="293">
        <f>IF(E4="","",IFERROR((SUMIFS(TabelaResultadosAcademicos[A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)*100,""))</f>
        <v/>
      </c>
      <c r="F12" s="293">
        <f>IF(F4="","",IFERROR((SUMIFS(TabelaResultadosAcademicos[A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)*100,""))</f>
        <v/>
      </c>
      <c r="G12" s="293">
        <f>IF(G4="","",IFERROR((SUMIFS(TabelaResultadosAcademicos[A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)*100,""))</f>
        <v/>
      </c>
      <c r="H12" s="293">
        <f>IF(H4="","",IFERROR((SUMIFS(TabelaResultadosAcademicos[A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)*100,""))</f>
        <v/>
      </c>
      <c r="I12" s="293">
        <f>IF(I4="","",IFERROR((SUMIFS(TabelaResultadosAcademicos[A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)*100,""))</f>
        <v/>
      </c>
      <c r="J12" s="293">
        <f>IF(J4="","",IFERROR((SUMIFS(TabelaResultadosAcademicos[A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)*100,""))</f>
        <v/>
      </c>
      <c r="K12" s="293">
        <f>IF(K4="","",IFERROR((SUMIFS(TabelaResultadosAcademicos[A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)*100,""))</f>
        <v/>
      </c>
      <c r="L12" s="293">
        <f>IF(L4="","",IFERROR((SUMIFS(TabelaResultadosAcademicos[A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)*100,""))</f>
        <v/>
      </c>
      <c r="M12" s="293">
        <f>IF(M4="","",IFERROR((SUMIFS(TabelaResultadosAcademicos[A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)*100,""))</f>
        <v/>
      </c>
      <c r="N12" s="300">
        <f>IF(N4="","",IFERROR((SUMIFS(TabelaResultadosAcademicos[A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)*100,""))</f>
        <v/>
      </c>
      <c r="O12" s="293">
        <f>IF(O4="","",IFERROR((SUMIFS(TabelaResultadosAcademicos[A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)*100,""))</f>
        <v/>
      </c>
      <c r="P12" s="293">
        <f>IF(P4="","",IFERROR((SUMIFS(TabelaResultadosAcademicos[A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)*100,""))</f>
        <v/>
      </c>
      <c r="Q12" s="293">
        <f>IF(Q4="","",IFERROR((SUMIFS(TabelaResultadosAcademicos[A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)*100,""))</f>
        <v/>
      </c>
      <c r="R12" s="293">
        <f>IF(R4="","",IFERROR((SUMIFS(TabelaResultadosAcademicos[A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)*100,""))</f>
        <v/>
      </c>
      <c r="S12" s="317">
        <f>IF(S4="","",IFERROR((SUMIFS(TabelaResultadosAcademicos[A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)*100,""))</f>
        <v/>
      </c>
      <c r="T12" s="317">
        <f>IF(T4="","",IFERROR((SUMIFS(TabelaResultadosAcademicos[A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)*100,""))</f>
        <v/>
      </c>
      <c r="U12" s="317">
        <f>IF(U4="","",IFERROR((SUMIFS(TabelaResultadosAcademicos[A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)*100,""))</f>
        <v/>
      </c>
      <c r="V12" s="317">
        <f>IF(V4="","",IFERROR((SUMIFS(TabelaResultadosAcademicos[A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)*100,""))</f>
        <v/>
      </c>
      <c r="W12" s="317">
        <f>IF(W4="","",IFERROR((SUMIFS(TabelaResultadosAcademicos[A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)*100,""))</f>
        <v/>
      </c>
      <c r="X12" s="317">
        <f>IF(X4="","",IFERROR((SUMIFS(TabelaResultadosAcademicos[A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)*100,""))</f>
        <v/>
      </c>
      <c r="Y12" s="317">
        <f>IF(Y4="","",IFERROR((SUMIFS(TabelaResultadosAcademicos[A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)*100,""))</f>
        <v/>
      </c>
    </row>
    <row r="13" ht="21.75" customHeight="1" s="131">
      <c r="A13" s="167" t="inlineStr">
        <is>
          <t>Comunicação Social - Publicidade e Propaganda</t>
        </is>
      </c>
      <c r="B13" s="293">
        <f>IF(B4="","",IFERROR((SUMIFS(TabelaResultadosAcademicos[Aprovados],TabelaResultadosAcademicos[Período],(IF(B4="","",IF(ISNUMBER(SEARCH("-SEM",B4)),B4,LEFT(B4,4)&amp;"-SEM"&amp;IF(VALUE(RIGHT(B4,2))&lt;=6,1,2)))),TabelaResultadosAcademicos[Curso],IF($A13="(todos)","*",$A13)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13="(todos)","*",$A13)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13="(todos)","*",$A13),TabelaResultadosAcademicos[Disciplina],IF("(todas)"="(todas)","*","(todas)"))))*100,""))</f>
        <v/>
      </c>
      <c r="C13" s="293">
        <f>IF(C4="","",IFERROR((SUMIFS(TabelaResultadosAcademicos[Aprovados],TabelaResultadosAcademicos[Período],(IF(C4="","",IF(ISNUMBER(SEARCH("-SEM",C4)),C4,LEFT(C4,4)&amp;"-SEM"&amp;IF(VALUE(RIGHT(C4,2))&lt;=6,1,2)))),TabelaResultadosAcademicos[Curso],IF($A13="(todos)","*",$A13)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13="(todos)","*",$A13)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13="(todos)","*",$A13),TabelaResultadosAcademicos[Disciplina],IF("(todas)"="(todas)","*","(todas)"))))*100,""))</f>
        <v/>
      </c>
      <c r="D13" s="293">
        <f>IF(D4="","",IFERROR((SUMIFS(TabelaResultadosAcademicos[Aprovados],TabelaResultadosAcademicos[Período],(IF(D4="","",IF(ISNUMBER(SEARCH("-SEM",D4)),D4,LEFT(D4,4)&amp;"-SEM"&amp;IF(VALUE(RIGHT(D4,2))&lt;=6,1,2)))),TabelaResultadosAcademicos[Curso],IF($A13="(todos)","*",$A13)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13="(todos)","*",$A13)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13="(todos)","*",$A13),TabelaResultadosAcademicos[Disciplina],IF("(todas)"="(todas)","*","(todas)"))))*100,""))</f>
        <v/>
      </c>
      <c r="E13" s="293">
        <f>IF(E4="","",IFERROR((SUMIFS(TabelaResultadosAcademicos[Aprovados],TabelaResultadosAcademicos[Período],(IF(E4="","",IF(ISNUMBER(SEARCH("-SEM",E4)),E4,LEFT(E4,4)&amp;"-SEM"&amp;IF(VALUE(RIGHT(E4,2))&lt;=6,1,2)))),TabelaResultadosAcademicos[Curso],IF($A13="(todos)","*",$A13)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13="(todos)","*",$A13)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13="(todos)","*",$A13),TabelaResultadosAcademicos[Disciplina],IF("(todas)"="(todas)","*","(todas)"))))*100,""))</f>
        <v/>
      </c>
      <c r="F13" s="293">
        <f>IF(F4="","",IFERROR((SUMIFS(TabelaResultadosAcademicos[Aprovados],TabelaResultadosAcademicos[Período],(IF(F4="","",IF(ISNUMBER(SEARCH("-SEM",F4)),F4,LEFT(F4,4)&amp;"-SEM"&amp;IF(VALUE(RIGHT(F4,2))&lt;=6,1,2)))),TabelaResultadosAcademicos[Curso],IF($A13="(todos)","*",$A13)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13="(todos)","*",$A13)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13="(todos)","*",$A13),TabelaResultadosAcademicos[Disciplina],IF("(todas)"="(todas)","*","(todas)"))))*100,""))</f>
        <v/>
      </c>
      <c r="G13" s="293">
        <f>IF(G4="","",IFERROR((SUMIFS(TabelaResultadosAcademicos[Aprovados],TabelaResultadosAcademicos[Período],(IF(G4="","",IF(ISNUMBER(SEARCH("-SEM",G4)),G4,LEFT(G4,4)&amp;"-SEM"&amp;IF(VALUE(RIGHT(G4,2))&lt;=6,1,2)))),TabelaResultadosAcademicos[Curso],IF($A13="(todos)","*",$A13)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13="(todos)","*",$A13)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13="(todos)","*",$A13),TabelaResultadosAcademicos[Disciplina],IF("(todas)"="(todas)","*","(todas)"))))*100,""))</f>
        <v/>
      </c>
      <c r="H13" s="293">
        <f>IF(H4="","",IFERROR((SUMIFS(TabelaResultadosAcademicos[Aprovados],TabelaResultadosAcademicos[Período],(IF(H4="","",IF(ISNUMBER(SEARCH("-SEM",H4)),H4,LEFT(H4,4)&amp;"-SEM"&amp;IF(VALUE(RIGHT(H4,2))&lt;=6,1,2)))),TabelaResultadosAcademicos[Curso],IF($A13="(todos)","*",$A13)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13="(todos)","*",$A13)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13="(todos)","*",$A13),TabelaResultadosAcademicos[Disciplina],IF("(todas)"="(todas)","*","(todas)"))))*100,""))</f>
        <v/>
      </c>
      <c r="I13" s="293">
        <f>IF(I4="","",IFERROR((SUMIFS(TabelaResultadosAcademicos[Aprovados],TabelaResultadosAcademicos[Período],(IF(I4="","",IF(ISNUMBER(SEARCH("-SEM",I4)),I4,LEFT(I4,4)&amp;"-SEM"&amp;IF(VALUE(RIGHT(I4,2))&lt;=6,1,2)))),TabelaResultadosAcademicos[Curso],IF($A13="(todos)","*",$A13)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13="(todos)","*",$A13)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13="(todos)","*",$A13),TabelaResultadosAcademicos[Disciplina],IF("(todas)"="(todas)","*","(todas)"))))*100,""))</f>
        <v/>
      </c>
      <c r="J13" s="293">
        <f>IF(J4="","",IFERROR((SUMIFS(TabelaResultadosAcademicos[Aprovados],TabelaResultadosAcademicos[Período],(IF(J4="","",IF(ISNUMBER(SEARCH("-SEM",J4)),J4,LEFT(J4,4)&amp;"-SEM"&amp;IF(VALUE(RIGHT(J4,2))&lt;=6,1,2)))),TabelaResultadosAcademicos[Curso],IF($A13="(todos)","*",$A13)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13="(todos)","*",$A13)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13="(todos)","*",$A13),TabelaResultadosAcademicos[Disciplina],IF("(todas)"="(todas)","*","(todas)"))))*100,""))</f>
        <v/>
      </c>
      <c r="K13" s="293">
        <f>IF(K4="","",IFERROR((SUMIFS(TabelaResultadosAcademicos[Aprovados],TabelaResultadosAcademicos[Período],(IF(K4="","",IF(ISNUMBER(SEARCH("-SEM",K4)),K4,LEFT(K4,4)&amp;"-SEM"&amp;IF(VALUE(RIGHT(K4,2))&lt;=6,1,2)))),TabelaResultadosAcademicos[Curso],IF($A13="(todos)","*",$A13)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13="(todos)","*",$A13)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13="(todos)","*",$A13),TabelaResultadosAcademicos[Disciplina],IF("(todas)"="(todas)","*","(todas)"))))*100,""))</f>
        <v/>
      </c>
      <c r="L13" s="293">
        <f>IF(L4="","",IFERROR((SUMIFS(TabelaResultadosAcademicos[Aprovados],TabelaResultadosAcademicos[Período],(IF(L4="","",IF(ISNUMBER(SEARCH("-SEM",L4)),L4,LEFT(L4,4)&amp;"-SEM"&amp;IF(VALUE(RIGHT(L4,2))&lt;=6,1,2)))),TabelaResultadosAcademicos[Curso],IF($A13="(todos)","*",$A13)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13="(todos)","*",$A13)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13="(todos)","*",$A13),TabelaResultadosAcademicos[Disciplina],IF("(todas)"="(todas)","*","(todas)"))))*100,""))</f>
        <v/>
      </c>
      <c r="M13" s="293">
        <f>IF(M4="","",IFERROR((SUMIFS(TabelaResultadosAcademicos[Aprovados],TabelaResultadosAcademicos[Período],(IF(M4="","",IF(ISNUMBER(SEARCH("-SEM",M4)),M4,LEFT(M4,4)&amp;"-SEM"&amp;IF(VALUE(RIGHT(M4,2))&lt;=6,1,2)))),TabelaResultadosAcademicos[Curso],IF($A13="(todos)","*",$A13)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13="(todos)","*",$A13)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13="(todos)","*",$A13),TabelaResultadosAcademicos[Disciplina],IF("(todas)"="(todas)","*","(todas)"))))*100,""))</f>
        <v/>
      </c>
      <c r="N13" s="300">
        <f>IF(N4="","",IFERROR((SUMIFS(TabelaResultadosAcademicos[Aprovados],TabelaResultadosAcademicos[Período],(IF(N4="","",IF(ISNUMBER(SEARCH("-SEM",N4)),N4,LEFT(N4,4)&amp;"-SEM"&amp;IF(VALUE(RIGHT(N4,2))&lt;=6,1,2)))),TabelaResultadosAcademicos[Curso],IF($A13="(todos)","*",$A13)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13="(todos)","*",$A13)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13="(todos)","*",$A13),TabelaResultadosAcademicos[Disciplina],IF("(todas)"="(todas)","*","(todas)"))))*100,""))</f>
        <v/>
      </c>
      <c r="O13" s="293">
        <f>IF(O4="","",IFERROR((SUMIFS(TabelaResultadosAcademicos[Aprovados],TabelaResultadosAcademicos[Período],(IF(O4="","",IF(ISNUMBER(SEARCH("-SEM",O4)),O4,LEFT(O4,4)&amp;"-SEM"&amp;IF(VALUE(RIGHT(O4,2))&lt;=6,1,2)))),TabelaResultadosAcademicos[Curso],IF($A13="(todos)","*",$A13)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13="(todos)","*",$A13)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13="(todos)","*",$A13),TabelaResultadosAcademicos[Disciplina],IF("(todas)"="(todas)","*","(todas)"))))*100,""))</f>
        <v/>
      </c>
      <c r="P13" s="293">
        <f>IF(P4="","",IFERROR((SUMIFS(TabelaResultadosAcademicos[Aprovados],TabelaResultadosAcademicos[Período],(IF(P4="","",IF(ISNUMBER(SEARCH("-SEM",P4)),P4,LEFT(P4,4)&amp;"-SEM"&amp;IF(VALUE(RIGHT(P4,2))&lt;=6,1,2)))),TabelaResultadosAcademicos[Curso],IF($A13="(todos)","*",$A13)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13="(todos)","*",$A13)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13="(todos)","*",$A13),TabelaResultadosAcademicos[Disciplina],IF("(todas)"="(todas)","*","(todas)"))))*100,""))</f>
        <v/>
      </c>
      <c r="Q13" s="293">
        <f>IF(Q4="","",IFERROR((SUMIFS(TabelaResultadosAcademicos[Aprovados],TabelaResultadosAcademicos[Período],(IF(Q4="","",IF(ISNUMBER(SEARCH("-SEM",Q4)),Q4,LEFT(Q4,4)&amp;"-SEM"&amp;IF(VALUE(RIGHT(Q4,2))&lt;=6,1,2)))),TabelaResultadosAcademicos[Curso],IF($A13="(todos)","*",$A13)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13="(todos)","*",$A13)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13="(todos)","*",$A13),TabelaResultadosAcademicos[Disciplina],IF("(todas)"="(todas)","*","(todas)"))))*100,""))</f>
        <v/>
      </c>
      <c r="R13" s="293">
        <f>IF(R4="","",IFERROR((SUMIFS(TabelaResultadosAcademicos[Aprovados],TabelaResultadosAcademicos[Período],(IF(R4="","",IF(ISNUMBER(SEARCH("-SEM",R4)),R4,LEFT(R4,4)&amp;"-SEM"&amp;IF(VALUE(RIGHT(R4,2))&lt;=6,1,2)))),TabelaResultadosAcademicos[Curso],IF($A13="(todos)","*",$A13)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13="(todos)","*",$A13)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13="(todos)","*",$A13),TabelaResultadosAcademicos[Disciplina],IF("(todas)"="(todas)","*","(todas)"))))*100,""))</f>
        <v/>
      </c>
      <c r="S13" s="317">
        <f>IF(S4="","",IFERROR((SUMIFS(TabelaResultadosAcademicos[Aprovados],TabelaResultadosAcademicos[Período],(IF(S4="","",IF(ISNUMBER(SEARCH("-SEM",S4)),S4,LEFT(S4,4)&amp;"-SEM"&amp;IF(VALUE(RIGHT(S4,2))&lt;=6,1,2)))),TabelaResultadosAcademicos[Curso],IF($A13="(todos)","*",$A13)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13="(todos)","*",$A13)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13="(todos)","*",$A13),TabelaResultadosAcademicos[Disciplina],IF("(todas)"="(todas)","*","(todas)"))))*100,""))</f>
        <v/>
      </c>
      <c r="T13" s="317">
        <f>IF(T4="","",IFERROR((SUMIFS(TabelaResultadosAcademicos[Aprovados],TabelaResultadosAcademicos[Período],(IF(T4="","",IF(ISNUMBER(SEARCH("-SEM",T4)),T4,LEFT(T4,4)&amp;"-SEM"&amp;IF(VALUE(RIGHT(T4,2))&lt;=6,1,2)))),TabelaResultadosAcademicos[Curso],IF($A13="(todos)","*",$A13)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13="(todos)","*",$A13)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13="(todos)","*",$A13),TabelaResultadosAcademicos[Disciplina],IF("(todas)"="(todas)","*","(todas)"))))*100,""))</f>
        <v/>
      </c>
      <c r="U13" s="317">
        <f>IF(U4="","",IFERROR((SUMIFS(TabelaResultadosAcademicos[Aprovados],TabelaResultadosAcademicos[Período],(IF(U4="","",IF(ISNUMBER(SEARCH("-SEM",U4)),U4,LEFT(U4,4)&amp;"-SEM"&amp;IF(VALUE(RIGHT(U4,2))&lt;=6,1,2)))),TabelaResultadosAcademicos[Curso],IF($A13="(todos)","*",$A13)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13="(todos)","*",$A13)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13="(todos)","*",$A13),TabelaResultadosAcademicos[Disciplina],IF("(todas)"="(todas)","*","(todas)"))))*100,""))</f>
        <v/>
      </c>
      <c r="V13" s="317">
        <f>IF(V4="","",IFERROR((SUMIFS(TabelaResultadosAcademicos[Aprovados],TabelaResultadosAcademicos[Período],(IF(V4="","",IF(ISNUMBER(SEARCH("-SEM",V4)),V4,LEFT(V4,4)&amp;"-SEM"&amp;IF(VALUE(RIGHT(V4,2))&lt;=6,1,2)))),TabelaResultadosAcademicos[Curso],IF($A13="(todos)","*",$A13)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13="(todos)","*",$A13)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13="(todos)","*",$A13),TabelaResultadosAcademicos[Disciplina],IF("(todas)"="(todas)","*","(todas)"))))*100,""))</f>
        <v/>
      </c>
      <c r="W13" s="317">
        <f>IF(W4="","",IFERROR((SUMIFS(TabelaResultadosAcademicos[Aprovados],TabelaResultadosAcademicos[Período],(IF(W4="","",IF(ISNUMBER(SEARCH("-SEM",W4)),W4,LEFT(W4,4)&amp;"-SEM"&amp;IF(VALUE(RIGHT(W4,2))&lt;=6,1,2)))),TabelaResultadosAcademicos[Curso],IF($A13="(todos)","*",$A13)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13="(todos)","*",$A13)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13="(todos)","*",$A13),TabelaResultadosAcademicos[Disciplina],IF("(todas)"="(todas)","*","(todas)"))))*100,""))</f>
        <v/>
      </c>
      <c r="X13" s="317">
        <f>IF(X4="","",IFERROR((SUMIFS(TabelaResultadosAcademicos[Aprovados],TabelaResultadosAcademicos[Período],(IF(X4="","",IF(ISNUMBER(SEARCH("-SEM",X4)),X4,LEFT(X4,4)&amp;"-SEM"&amp;IF(VALUE(RIGHT(X4,2))&lt;=6,1,2)))),TabelaResultadosAcademicos[Curso],IF($A13="(todos)","*",$A13)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13="(todos)","*",$A13)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13="(todos)","*",$A13),TabelaResultadosAcademicos[Disciplina],IF("(todas)"="(todas)","*","(todas)"))))*100,""))</f>
        <v/>
      </c>
      <c r="Y13" s="317">
        <f>IF(Y4="","",IFERROR((SUMIFS(TabelaResultadosAcademicos[Aprovados],TabelaResultadosAcademicos[Período],(IF(Y4="","",IF(ISNUMBER(SEARCH("-SEM",Y4)),Y4,LEFT(Y4,4)&amp;"-SEM"&amp;IF(VALUE(RIGHT(Y4,2))&lt;=6,1,2)))),TabelaResultadosAcademicos[Curso],IF($A13="(todos)","*",$A13)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13="(todos)","*",$A13)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13="(todos)","*",$A13),TabelaResultadosAcademicos[Disciplina],IF("(todas)"="(todas)","*","(todas)"))))*100,""))</f>
        <v/>
      </c>
    </row>
    <row r="14" ht="21.75" customHeight="1" s="131">
      <c r="A14" s="167" t="n"/>
      <c r="B14" s="201" t="n"/>
      <c r="C14" s="201" t="n"/>
      <c r="D14" s="201" t="n"/>
      <c r="E14" s="201" t="n"/>
      <c r="F14" s="201" t="n"/>
      <c r="G14" s="201" t="n"/>
      <c r="H14" s="201" t="n"/>
      <c r="I14" s="201" t="n"/>
      <c r="J14" s="201" t="n"/>
      <c r="K14" s="201" t="n"/>
      <c r="L14" s="201" t="n"/>
      <c r="M14" s="201" t="n"/>
      <c r="N14" s="202" t="n"/>
      <c r="O14" s="169" t="n"/>
      <c r="P14" s="203" t="n"/>
      <c r="Q14" s="169" t="n"/>
      <c r="R14" s="171" t="n"/>
    </row>
    <row r="15"/>
    <row r="16"/>
    <row r="17" ht="26.25" customHeight="1" s="131">
      <c r="A17" s="198" t="n"/>
    </row>
    <row r="18" ht="30" customHeight="1" s="131">
      <c r="A18" s="199" t="n"/>
      <c r="B18" s="200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0" t="n"/>
      <c r="M18" s="200" t="n"/>
      <c r="N18" s="166" t="n"/>
      <c r="O18" s="166" t="n"/>
      <c r="P18" s="166" t="n"/>
      <c r="Q18" s="166" t="n"/>
      <c r="R18" s="166" t="n"/>
    </row>
    <row r="19" ht="15" customHeight="1" s="131">
      <c r="A19" s="167" t="n"/>
      <c r="B19" s="204" t="n"/>
      <c r="C19" s="204" t="n"/>
      <c r="D19" s="204" t="n"/>
      <c r="E19" s="204" t="n"/>
      <c r="F19" s="204" t="n"/>
      <c r="G19" s="204" t="n"/>
      <c r="H19" s="204" t="n"/>
      <c r="I19" s="204" t="n"/>
      <c r="J19" s="204" t="n"/>
      <c r="K19" s="204" t="n"/>
      <c r="L19" s="204" t="n"/>
      <c r="M19" s="204" t="n"/>
      <c r="N19" s="205" t="n"/>
      <c r="O19" s="179" t="n"/>
      <c r="P19" s="206" t="n"/>
      <c r="Q19" s="181" t="n"/>
      <c r="R19" s="171" t="n"/>
    </row>
    <row r="20" ht="22" customHeight="1" s="131">
      <c r="A20" s="273" t="inlineStr">
        <is>
          <t>DISCIPLINAS DO CURSO EM FOCO</t>
        </is>
      </c>
      <c r="B20" s="295" t="n"/>
      <c r="C20" s="295" t="n"/>
      <c r="D20" s="295" t="n"/>
      <c r="E20" s="295" t="n"/>
      <c r="F20" s="295" t="n"/>
      <c r="G20" s="295" t="n"/>
      <c r="H20" s="295" t="n"/>
      <c r="I20" s="295" t="n"/>
      <c r="J20" s="295" t="n"/>
      <c r="K20" s="295" t="n"/>
      <c r="L20" s="295" t="n"/>
      <c r="M20" s="295" t="n"/>
      <c r="N20" s="295" t="n"/>
      <c r="O20" s="295" t="n"/>
      <c r="P20" s="318" t="n"/>
      <c r="Q20" s="296" t="n"/>
      <c r="R20" s="273" t="n"/>
      <c r="S20" s="267" t="n"/>
      <c r="T20" s="267" t="n"/>
      <c r="U20" s="267" t="n"/>
      <c r="V20" s="267" t="n"/>
      <c r="W20" s="267" t="n"/>
      <c r="X20" s="267" t="n"/>
      <c r="Y20" s="267" t="n"/>
      <c r="Z20" s="267" t="n"/>
      <c r="AA20" s="267" t="n"/>
      <c r="AB20" s="267" t="n"/>
      <c r="AC20" s="267" t="n"/>
      <c r="AD20" s="267" t="n"/>
    </row>
    <row r="21" ht="21.75" customHeight="1" s="131">
      <c r="A21" s="167" t="inlineStr">
        <is>
          <t>Disciplina</t>
        </is>
      </c>
      <c r="B21" s="204">
        <f>CALC!$A$157</f>
        <v/>
      </c>
      <c r="C21" s="204">
        <f>CALC!$A$158</f>
        <v/>
      </c>
      <c r="D21" s="204">
        <f>CALC!$A$159</f>
        <v/>
      </c>
      <c r="E21" s="204">
        <f>CALC!$A$160</f>
        <v/>
      </c>
      <c r="F21" s="204">
        <f>CALC!$A$161</f>
        <v/>
      </c>
      <c r="G21" s="204">
        <f>CALC!$A$162</f>
        <v/>
      </c>
      <c r="H21" s="204">
        <f>CALC!$A$163</f>
        <v/>
      </c>
      <c r="I21" s="204">
        <f>CALC!$A$164</f>
        <v/>
      </c>
      <c r="J21" s="204">
        <f>CALC!$A$165</f>
        <v/>
      </c>
      <c r="K21" s="204">
        <f>CALC!$A$166</f>
        <v/>
      </c>
      <c r="L21" s="204">
        <f>CALC!$A$167</f>
        <v/>
      </c>
      <c r="M21" s="204">
        <f>CALC!$A$168</f>
        <v/>
      </c>
      <c r="N21" s="205">
        <f>CALC!$A$169</f>
        <v/>
      </c>
      <c r="O21" s="179">
        <f>CALC!$A$170</f>
        <v/>
      </c>
      <c r="P21" s="206">
        <f>CALC!$A$171</f>
        <v/>
      </c>
      <c r="Q21" s="181">
        <f>CALC!$A$172</f>
        <v/>
      </c>
      <c r="R21" s="171">
        <f>CALC!$A$173</f>
        <v/>
      </c>
      <c r="S21">
        <f>CALC!$A$174</f>
        <v/>
      </c>
      <c r="T21">
        <f>CALC!$A$175</f>
        <v/>
      </c>
      <c r="U21">
        <f>CALC!$A$176</f>
        <v/>
      </c>
      <c r="V21">
        <f>CALC!$A$177</f>
        <v/>
      </c>
      <c r="W21">
        <f>CALC!$A$178</f>
        <v/>
      </c>
      <c r="X21">
        <f>CALC!$A$179</f>
        <v/>
      </c>
      <c r="Y21">
        <f>CALC!$A$180</f>
        <v/>
      </c>
    </row>
    <row r="22" ht="15" customHeight="1" s="131">
      <c r="A22" s="167">
        <f>IF(DISCIPLINAS!$A5=PARAMETROS!$B$11,DISCIPLINAS!$B5,"")</f>
        <v/>
      </c>
      <c r="B22" s="293">
        <f>IF(OR($A22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)*100,""))</f>
        <v/>
      </c>
      <c r="C22" s="293">
        <f>IF(OR($A22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)*100,""))</f>
        <v/>
      </c>
      <c r="D22" s="293">
        <f>IF(OR($A22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)*100,""))</f>
        <v/>
      </c>
      <c r="E22" s="293">
        <f>IF(OR($A22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)*100,""))</f>
        <v/>
      </c>
      <c r="F22" s="293">
        <f>IF(OR($A22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)*100,""))</f>
        <v/>
      </c>
      <c r="G22" s="293">
        <f>IF(OR($A22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)*100,""))</f>
        <v/>
      </c>
      <c r="H22" s="293">
        <f>IF(OR($A22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)*100,""))</f>
        <v/>
      </c>
      <c r="I22" s="293">
        <f>IF(OR($A22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)*100,""))</f>
        <v/>
      </c>
      <c r="J22" s="293">
        <f>IF(OR($A22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)*100,""))</f>
        <v/>
      </c>
      <c r="K22" s="293">
        <f>IF(OR($A22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)*100,""))</f>
        <v/>
      </c>
      <c r="L22" s="293">
        <f>IF(OR($A22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)*100,""))</f>
        <v/>
      </c>
      <c r="M22" s="293">
        <f>IF(OR($A22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)*100,""))</f>
        <v/>
      </c>
      <c r="N22" s="300">
        <f>IF(OR($A22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)*100,""))</f>
        <v/>
      </c>
      <c r="O22" s="293">
        <f>IF(OR($A22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)*100,""))</f>
        <v/>
      </c>
      <c r="P22" s="293">
        <f>IF(OR($A22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)*100,""))</f>
        <v/>
      </c>
      <c r="Q22" s="293">
        <f>IF(OR($A22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)*100,""))</f>
        <v/>
      </c>
      <c r="R22" s="293">
        <f>IF(OR($A22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)*100,""))</f>
        <v/>
      </c>
      <c r="S22" s="317">
        <f>IF(OR($A22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)*100,""))</f>
        <v/>
      </c>
      <c r="T22" s="317">
        <f>IF(OR($A22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)*100,""))</f>
        <v/>
      </c>
      <c r="U22" s="317">
        <f>IF(OR($A22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)*100,""))</f>
        <v/>
      </c>
      <c r="V22" s="317">
        <f>IF(OR($A22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)*100,""))</f>
        <v/>
      </c>
      <c r="W22" s="317">
        <f>IF(OR($A22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)*100,""))</f>
        <v/>
      </c>
      <c r="X22" s="317">
        <f>IF(OR($A22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)*100,""))</f>
        <v/>
      </c>
      <c r="Y22" s="317">
        <f>IF(OR($A22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)*100,""))</f>
        <v/>
      </c>
    </row>
    <row r="23" ht="21.75" customHeight="1" s="131">
      <c r="A23" s="167">
        <f>IF(DISCIPLINAS!$A6=PARAMETROS!$B$11,DISCIPLINAS!$B6,"")</f>
        <v/>
      </c>
      <c r="B23" s="293">
        <f>IF(OR($A23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)*100,""))</f>
        <v/>
      </c>
      <c r="C23" s="293">
        <f>IF(OR($A23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)*100,""))</f>
        <v/>
      </c>
      <c r="D23" s="293">
        <f>IF(OR($A23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)*100,""))</f>
        <v/>
      </c>
      <c r="E23" s="293">
        <f>IF(OR($A23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)*100,""))</f>
        <v/>
      </c>
      <c r="F23" s="293">
        <f>IF(OR($A23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)*100,""))</f>
        <v/>
      </c>
      <c r="G23" s="293">
        <f>IF(OR($A23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)*100,""))</f>
        <v/>
      </c>
      <c r="H23" s="293">
        <f>IF(OR($A23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)*100,""))</f>
        <v/>
      </c>
      <c r="I23" s="293">
        <f>IF(OR($A23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)*100,""))</f>
        <v/>
      </c>
      <c r="J23" s="293">
        <f>IF(OR($A23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)*100,""))</f>
        <v/>
      </c>
      <c r="K23" s="293">
        <f>IF(OR($A23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)*100,""))</f>
        <v/>
      </c>
      <c r="L23" s="293">
        <f>IF(OR($A23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)*100,""))</f>
        <v/>
      </c>
      <c r="M23" s="293">
        <f>IF(OR($A23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)*100,""))</f>
        <v/>
      </c>
      <c r="N23" s="300">
        <f>IF(OR($A23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)*100,""))</f>
        <v/>
      </c>
      <c r="O23" s="293">
        <f>IF(OR($A23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)*100,""))</f>
        <v/>
      </c>
      <c r="P23" s="293">
        <f>IF(OR($A23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)*100,""))</f>
        <v/>
      </c>
      <c r="Q23" s="293">
        <f>IF(OR($A23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)*100,""))</f>
        <v/>
      </c>
      <c r="R23" s="293">
        <f>IF(OR($A23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)*100,""))</f>
        <v/>
      </c>
      <c r="S23" s="317">
        <f>IF(OR($A23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)*100,""))</f>
        <v/>
      </c>
      <c r="T23" s="317">
        <f>IF(OR($A23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)*100,""))</f>
        <v/>
      </c>
      <c r="U23" s="317">
        <f>IF(OR($A23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)*100,""))</f>
        <v/>
      </c>
      <c r="V23" s="317">
        <f>IF(OR($A23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)*100,""))</f>
        <v/>
      </c>
      <c r="W23" s="317">
        <f>IF(OR($A23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)*100,""))</f>
        <v/>
      </c>
      <c r="X23" s="317">
        <f>IF(OR($A23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)*100,""))</f>
        <v/>
      </c>
      <c r="Y23" s="317">
        <f>IF(OR($A23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)*100,""))</f>
        <v/>
      </c>
    </row>
    <row r="24" ht="21.75" customHeight="1" s="131">
      <c r="A24" s="167">
        <f>IF(DISCIPLINAS!$A7=PARAMETROS!$B$11,DISCIPLINAS!$B7,"")</f>
        <v/>
      </c>
      <c r="B24" s="293">
        <f>IF(OR($A24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)*100,""))</f>
        <v/>
      </c>
      <c r="C24" s="293">
        <f>IF(OR($A24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)*100,""))</f>
        <v/>
      </c>
      <c r="D24" s="293">
        <f>IF(OR($A24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)*100,""))</f>
        <v/>
      </c>
      <c r="E24" s="293">
        <f>IF(OR($A24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)*100,""))</f>
        <v/>
      </c>
      <c r="F24" s="293">
        <f>IF(OR($A24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)*100,""))</f>
        <v/>
      </c>
      <c r="G24" s="293">
        <f>IF(OR($A24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)*100,""))</f>
        <v/>
      </c>
      <c r="H24" s="293">
        <f>IF(OR($A24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)*100,""))</f>
        <v/>
      </c>
      <c r="I24" s="293">
        <f>IF(OR($A24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)*100,""))</f>
        <v/>
      </c>
      <c r="J24" s="293">
        <f>IF(OR($A24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)*100,""))</f>
        <v/>
      </c>
      <c r="K24" s="293">
        <f>IF(OR($A24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)*100,""))</f>
        <v/>
      </c>
      <c r="L24" s="293">
        <f>IF(OR($A24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)*100,""))</f>
        <v/>
      </c>
      <c r="M24" s="293">
        <f>IF(OR($A24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)*100,""))</f>
        <v/>
      </c>
      <c r="N24" s="300">
        <f>IF(OR($A24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)*100,""))</f>
        <v/>
      </c>
      <c r="O24" s="293">
        <f>IF(OR($A24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)*100,""))</f>
        <v/>
      </c>
      <c r="P24" s="293">
        <f>IF(OR($A24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)*100,""))</f>
        <v/>
      </c>
      <c r="Q24" s="293">
        <f>IF(OR($A24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)*100,""))</f>
        <v/>
      </c>
      <c r="R24" s="293">
        <f>IF(OR($A24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)*100,""))</f>
        <v/>
      </c>
      <c r="S24" s="317">
        <f>IF(OR($A24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)*100,""))</f>
        <v/>
      </c>
      <c r="T24" s="317">
        <f>IF(OR($A24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)*100,""))</f>
        <v/>
      </c>
      <c r="U24" s="317">
        <f>IF(OR($A24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)*100,""))</f>
        <v/>
      </c>
      <c r="V24" s="317">
        <f>IF(OR($A24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)*100,""))</f>
        <v/>
      </c>
      <c r="W24" s="317">
        <f>IF(OR($A24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)*100,""))</f>
        <v/>
      </c>
      <c r="X24" s="317">
        <f>IF(OR($A24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)*100,""))</f>
        <v/>
      </c>
      <c r="Y24" s="317">
        <f>IF(OR($A24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)*100,""))</f>
        <v/>
      </c>
    </row>
    <row r="25" ht="21.75" customHeight="1" s="131">
      <c r="A25" s="167">
        <f>IF(DISCIPLINAS!$A8=PARAMETROS!$B$11,DISCIPLINAS!$B8,"")</f>
        <v/>
      </c>
      <c r="B25" s="293">
        <f>IF(OR($A25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)*100,""))</f>
        <v/>
      </c>
      <c r="C25" s="293">
        <f>IF(OR($A25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)*100,""))</f>
        <v/>
      </c>
      <c r="D25" s="293">
        <f>IF(OR($A25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)*100,""))</f>
        <v/>
      </c>
      <c r="E25" s="293">
        <f>IF(OR($A25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)*100,""))</f>
        <v/>
      </c>
      <c r="F25" s="293">
        <f>IF(OR($A25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)*100,""))</f>
        <v/>
      </c>
      <c r="G25" s="293">
        <f>IF(OR($A25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)*100,""))</f>
        <v/>
      </c>
      <c r="H25" s="293">
        <f>IF(OR($A25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)*100,""))</f>
        <v/>
      </c>
      <c r="I25" s="293">
        <f>IF(OR($A25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)*100,""))</f>
        <v/>
      </c>
      <c r="J25" s="293">
        <f>IF(OR($A25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)*100,""))</f>
        <v/>
      </c>
      <c r="K25" s="293">
        <f>IF(OR($A25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)*100,""))</f>
        <v/>
      </c>
      <c r="L25" s="293">
        <f>IF(OR($A25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)*100,""))</f>
        <v/>
      </c>
      <c r="M25" s="293">
        <f>IF(OR($A25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)*100,""))</f>
        <v/>
      </c>
      <c r="N25" s="300">
        <f>IF(OR($A25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)*100,""))</f>
        <v/>
      </c>
      <c r="O25" s="293">
        <f>IF(OR($A25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)*100,""))</f>
        <v/>
      </c>
      <c r="P25" s="293">
        <f>IF(OR($A25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)*100,""))</f>
        <v/>
      </c>
      <c r="Q25" s="293">
        <f>IF(OR($A25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)*100,""))</f>
        <v/>
      </c>
      <c r="R25" s="293">
        <f>IF(OR($A25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)*100,""))</f>
        <v/>
      </c>
      <c r="S25" s="317">
        <f>IF(OR($A25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)*100,""))</f>
        <v/>
      </c>
      <c r="T25" s="317">
        <f>IF(OR($A25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)*100,""))</f>
        <v/>
      </c>
      <c r="U25" s="317">
        <f>IF(OR($A25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)*100,""))</f>
        <v/>
      </c>
      <c r="V25" s="317">
        <f>IF(OR($A25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)*100,""))</f>
        <v/>
      </c>
      <c r="W25" s="317">
        <f>IF(OR($A25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)*100,""))</f>
        <v/>
      </c>
      <c r="X25" s="317">
        <f>IF(OR($A25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)*100,""))</f>
        <v/>
      </c>
      <c r="Y25" s="317">
        <f>IF(OR($A25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)*100,""))</f>
        <v/>
      </c>
    </row>
    <row r="26" ht="15" customHeight="1" s="131">
      <c r="A26" s="167">
        <f>IF(DISCIPLINAS!$A9=PARAMETROS!$B$11,DISCIPLINAS!$B9,"")</f>
        <v/>
      </c>
      <c r="B26" s="293">
        <f>IF(OR($A26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)*100,""))</f>
        <v/>
      </c>
      <c r="C26" s="293">
        <f>IF(OR($A26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)*100,""))</f>
        <v/>
      </c>
      <c r="D26" s="293">
        <f>IF(OR($A26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)*100,""))</f>
        <v/>
      </c>
      <c r="E26" s="293">
        <f>IF(OR($A26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)*100,""))</f>
        <v/>
      </c>
      <c r="F26" s="293">
        <f>IF(OR($A26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)*100,""))</f>
        <v/>
      </c>
      <c r="G26" s="293">
        <f>IF(OR($A26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)*100,""))</f>
        <v/>
      </c>
      <c r="H26" s="293">
        <f>IF(OR($A26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)*100,""))</f>
        <v/>
      </c>
      <c r="I26" s="293">
        <f>IF(OR($A26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)*100,""))</f>
        <v/>
      </c>
      <c r="J26" s="293">
        <f>IF(OR($A26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)*100,""))</f>
        <v/>
      </c>
      <c r="K26" s="293">
        <f>IF(OR($A26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)*100,""))</f>
        <v/>
      </c>
      <c r="L26" s="293">
        <f>IF(OR($A26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)*100,""))</f>
        <v/>
      </c>
      <c r="M26" s="293">
        <f>IF(OR($A26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)*100,""))</f>
        <v/>
      </c>
      <c r="N26" s="300">
        <f>IF(OR($A26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)*100,""))</f>
        <v/>
      </c>
      <c r="O26" s="293">
        <f>IF(OR($A26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)*100,""))</f>
        <v/>
      </c>
      <c r="P26" s="293">
        <f>IF(OR($A26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)*100,""))</f>
        <v/>
      </c>
      <c r="Q26" s="293">
        <f>IF(OR($A26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)*100,""))</f>
        <v/>
      </c>
      <c r="R26" s="293">
        <f>IF(OR($A26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)*100,""))</f>
        <v/>
      </c>
      <c r="S26" s="317">
        <f>IF(OR($A26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)*100,""))</f>
        <v/>
      </c>
      <c r="T26" s="317">
        <f>IF(OR($A26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)*100,""))</f>
        <v/>
      </c>
      <c r="U26" s="317">
        <f>IF(OR($A26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)*100,""))</f>
        <v/>
      </c>
      <c r="V26" s="317">
        <f>IF(OR($A26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)*100,""))</f>
        <v/>
      </c>
      <c r="W26" s="317">
        <f>IF(OR($A26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)*100,""))</f>
        <v/>
      </c>
      <c r="X26" s="317">
        <f>IF(OR($A26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)*100,""))</f>
        <v/>
      </c>
      <c r="Y26" s="317">
        <f>IF(OR($A26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)*100,""))</f>
        <v/>
      </c>
    </row>
    <row r="27" ht="21.75" customHeight="1" s="131">
      <c r="A27" s="167">
        <f>IF(DISCIPLINAS!$A10=PARAMETROS!$B$11,DISCIPLINAS!$B10,"")</f>
        <v/>
      </c>
      <c r="B27" s="293">
        <f>IF(OR($A27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)*100,""))</f>
        <v/>
      </c>
      <c r="C27" s="293">
        <f>IF(OR($A27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)*100,""))</f>
        <v/>
      </c>
      <c r="D27" s="293">
        <f>IF(OR($A27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)*100,""))</f>
        <v/>
      </c>
      <c r="E27" s="293">
        <f>IF(OR($A27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)*100,""))</f>
        <v/>
      </c>
      <c r="F27" s="293">
        <f>IF(OR($A27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)*100,""))</f>
        <v/>
      </c>
      <c r="G27" s="293">
        <f>IF(OR($A27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)*100,""))</f>
        <v/>
      </c>
      <c r="H27" s="293">
        <f>IF(OR($A27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)*100,""))</f>
        <v/>
      </c>
      <c r="I27" s="293">
        <f>IF(OR($A27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)*100,""))</f>
        <v/>
      </c>
      <c r="J27" s="293">
        <f>IF(OR($A27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)*100,""))</f>
        <v/>
      </c>
      <c r="K27" s="293">
        <f>IF(OR($A27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)*100,""))</f>
        <v/>
      </c>
      <c r="L27" s="293">
        <f>IF(OR($A27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)*100,""))</f>
        <v/>
      </c>
      <c r="M27" s="293">
        <f>IF(OR($A27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)*100,""))</f>
        <v/>
      </c>
      <c r="N27" s="300">
        <f>IF(OR($A27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)*100,""))</f>
        <v/>
      </c>
      <c r="O27" s="293">
        <f>IF(OR($A27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)*100,""))</f>
        <v/>
      </c>
      <c r="P27" s="293">
        <f>IF(OR($A27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)*100,""))</f>
        <v/>
      </c>
      <c r="Q27" s="293">
        <f>IF(OR($A27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)*100,""))</f>
        <v/>
      </c>
      <c r="R27" s="293">
        <f>IF(OR($A27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)*100,""))</f>
        <v/>
      </c>
      <c r="S27" s="317">
        <f>IF(OR($A27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)*100,""))</f>
        <v/>
      </c>
      <c r="T27" s="317">
        <f>IF(OR($A27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)*100,""))</f>
        <v/>
      </c>
      <c r="U27" s="317">
        <f>IF(OR($A27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)*100,""))</f>
        <v/>
      </c>
      <c r="V27" s="317">
        <f>IF(OR($A27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)*100,""))</f>
        <v/>
      </c>
      <c r="W27" s="317">
        <f>IF(OR($A27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)*100,""))</f>
        <v/>
      </c>
      <c r="X27" s="317">
        <f>IF(OR($A27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)*100,""))</f>
        <v/>
      </c>
      <c r="Y27" s="317">
        <f>IF(OR($A27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)*100,""))</f>
        <v/>
      </c>
    </row>
    <row r="28">
      <c r="A28">
        <f>IF(DISCIPLINAS!$A11=PARAMETROS!$B$11,DISCIPLINAS!$B11,"")</f>
        <v/>
      </c>
      <c r="B28" s="317">
        <f>IF(OR($A28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)*100,""))</f>
        <v/>
      </c>
      <c r="C28" s="317">
        <f>IF(OR($A28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)*100,""))</f>
        <v/>
      </c>
      <c r="D28" s="317">
        <f>IF(OR($A28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)*100,""))</f>
        <v/>
      </c>
      <c r="E28" s="317">
        <f>IF(OR($A28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)*100,""))</f>
        <v/>
      </c>
      <c r="F28" s="317">
        <f>IF(OR($A28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)*100,""))</f>
        <v/>
      </c>
      <c r="G28" s="317">
        <f>IF(OR($A28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)*100,""))</f>
        <v/>
      </c>
      <c r="H28" s="317">
        <f>IF(OR($A28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)*100,""))</f>
        <v/>
      </c>
      <c r="I28" s="317">
        <f>IF(OR($A28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)*100,""))</f>
        <v/>
      </c>
      <c r="J28" s="317">
        <f>IF(OR($A28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)*100,""))</f>
        <v/>
      </c>
      <c r="K28" s="317">
        <f>IF(OR($A28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)*100,""))</f>
        <v/>
      </c>
      <c r="L28" s="317">
        <f>IF(OR($A28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)*100,""))</f>
        <v/>
      </c>
      <c r="M28" s="317">
        <f>IF(OR($A28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)*100,""))</f>
        <v/>
      </c>
      <c r="N28" s="317">
        <f>IF(OR($A28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)*100,""))</f>
        <v/>
      </c>
      <c r="O28" s="317">
        <f>IF(OR($A28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)*100,""))</f>
        <v/>
      </c>
      <c r="P28" s="317">
        <f>IF(OR($A28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)*100,""))</f>
        <v/>
      </c>
      <c r="Q28" s="317">
        <f>IF(OR($A28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)*100,""))</f>
        <v/>
      </c>
      <c r="R28" s="317">
        <f>IF(OR($A28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)*100,""))</f>
        <v/>
      </c>
      <c r="S28" s="317">
        <f>IF(OR($A28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)*100,""))</f>
        <v/>
      </c>
      <c r="T28" s="317">
        <f>IF(OR($A28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)*100,""))</f>
        <v/>
      </c>
      <c r="U28" s="317">
        <f>IF(OR($A28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)*100,""))</f>
        <v/>
      </c>
      <c r="V28" s="317">
        <f>IF(OR($A28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)*100,""))</f>
        <v/>
      </c>
      <c r="W28" s="317">
        <f>IF(OR($A28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)*100,""))</f>
        <v/>
      </c>
      <c r="X28" s="317">
        <f>IF(OR($A28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)*100,""))</f>
        <v/>
      </c>
      <c r="Y28" s="317">
        <f>IF(OR($A28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)*100,""))</f>
        <v/>
      </c>
    </row>
    <row r="29">
      <c r="A29">
        <f>IF(DISCIPLINAS!$A12=PARAMETROS!$B$11,DISCIPLINAS!$B12,"")</f>
        <v/>
      </c>
      <c r="B29" s="317">
        <f>IF(OR($A29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)*100,""))</f>
        <v/>
      </c>
      <c r="C29" s="317">
        <f>IF(OR($A29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)*100,""))</f>
        <v/>
      </c>
      <c r="D29" s="317">
        <f>IF(OR($A29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)*100,""))</f>
        <v/>
      </c>
      <c r="E29" s="317">
        <f>IF(OR($A29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)*100,""))</f>
        <v/>
      </c>
      <c r="F29" s="317">
        <f>IF(OR($A29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)*100,""))</f>
        <v/>
      </c>
      <c r="G29" s="317">
        <f>IF(OR($A29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)*100,""))</f>
        <v/>
      </c>
      <c r="H29" s="317">
        <f>IF(OR($A29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)*100,""))</f>
        <v/>
      </c>
      <c r="I29" s="317">
        <f>IF(OR($A29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)*100,""))</f>
        <v/>
      </c>
      <c r="J29" s="317">
        <f>IF(OR($A29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)*100,""))</f>
        <v/>
      </c>
      <c r="K29" s="317">
        <f>IF(OR($A29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)*100,""))</f>
        <v/>
      </c>
      <c r="L29" s="317">
        <f>IF(OR($A29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)*100,""))</f>
        <v/>
      </c>
      <c r="M29" s="317">
        <f>IF(OR($A29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)*100,""))</f>
        <v/>
      </c>
      <c r="N29" s="317">
        <f>IF(OR($A29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)*100,""))</f>
        <v/>
      </c>
      <c r="O29" s="317">
        <f>IF(OR($A29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)*100,""))</f>
        <v/>
      </c>
      <c r="P29" s="317">
        <f>IF(OR($A29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)*100,""))</f>
        <v/>
      </c>
      <c r="Q29" s="317">
        <f>IF(OR($A29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)*100,""))</f>
        <v/>
      </c>
      <c r="R29" s="317">
        <f>IF(OR($A29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)*100,""))</f>
        <v/>
      </c>
      <c r="S29" s="317">
        <f>IF(OR($A29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)*100,""))</f>
        <v/>
      </c>
      <c r="T29" s="317">
        <f>IF(OR($A29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)*100,""))</f>
        <v/>
      </c>
      <c r="U29" s="317">
        <f>IF(OR($A29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)*100,""))</f>
        <v/>
      </c>
      <c r="V29" s="317">
        <f>IF(OR($A29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)*100,""))</f>
        <v/>
      </c>
      <c r="W29" s="317">
        <f>IF(OR($A29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)*100,""))</f>
        <v/>
      </c>
      <c r="X29" s="317">
        <f>IF(OR($A29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)*100,""))</f>
        <v/>
      </c>
      <c r="Y29" s="317">
        <f>IF(OR($A29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)*100,""))</f>
        <v/>
      </c>
    </row>
    <row r="30" ht="26.25" customHeight="1" s="131">
      <c r="A30" s="198">
        <f>IF(DISCIPLINAS!$A13=PARAMETROS!$B$11,DISCIPLINAS!$B13,"")</f>
        <v/>
      </c>
      <c r="B30" s="317">
        <f>IF(OR($A30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)*100,""))</f>
        <v/>
      </c>
      <c r="C30" s="317">
        <f>IF(OR($A30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)*100,""))</f>
        <v/>
      </c>
      <c r="D30" s="317">
        <f>IF(OR($A30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)*100,""))</f>
        <v/>
      </c>
      <c r="E30" s="317">
        <f>IF(OR($A30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)*100,""))</f>
        <v/>
      </c>
      <c r="F30" s="317">
        <f>IF(OR($A30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)*100,""))</f>
        <v/>
      </c>
      <c r="G30" s="317">
        <f>IF(OR($A30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)*100,""))</f>
        <v/>
      </c>
      <c r="H30" s="317">
        <f>IF(OR($A30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)*100,""))</f>
        <v/>
      </c>
      <c r="I30" s="317">
        <f>IF(OR($A30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)*100,""))</f>
        <v/>
      </c>
      <c r="J30" s="317">
        <f>IF(OR($A30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)*100,""))</f>
        <v/>
      </c>
      <c r="K30" s="317">
        <f>IF(OR($A30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)*100,""))</f>
        <v/>
      </c>
      <c r="L30" s="317">
        <f>IF(OR($A30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)*100,""))</f>
        <v/>
      </c>
      <c r="M30" s="317">
        <f>IF(OR($A30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)*100,""))</f>
        <v/>
      </c>
      <c r="N30" s="317">
        <f>IF(OR($A30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)*100,""))</f>
        <v/>
      </c>
      <c r="O30" s="317">
        <f>IF(OR($A30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)*100,""))</f>
        <v/>
      </c>
      <c r="P30" s="317">
        <f>IF(OR($A30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)*100,""))</f>
        <v/>
      </c>
      <c r="Q30" s="317">
        <f>IF(OR($A30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)*100,""))</f>
        <v/>
      </c>
      <c r="R30" s="317">
        <f>IF(OR($A30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)*100,""))</f>
        <v/>
      </c>
      <c r="S30" s="317">
        <f>IF(OR($A30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)*100,""))</f>
        <v/>
      </c>
      <c r="T30" s="317">
        <f>IF(OR($A30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)*100,""))</f>
        <v/>
      </c>
      <c r="U30" s="317">
        <f>IF(OR($A30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)*100,""))</f>
        <v/>
      </c>
      <c r="V30" s="317">
        <f>IF(OR($A30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)*100,""))</f>
        <v/>
      </c>
      <c r="W30" s="317">
        <f>IF(OR($A30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)*100,""))</f>
        <v/>
      </c>
      <c r="X30" s="317">
        <f>IF(OR($A30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)*100,""))</f>
        <v/>
      </c>
      <c r="Y30" s="317">
        <f>IF(OR($A30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)*100,""))</f>
        <v/>
      </c>
    </row>
    <row r="31" ht="30" customHeight="1" s="131">
      <c r="A31" s="199">
        <f>IF(DISCIPLINAS!$A14=PARAMETROS!$B$11,DISCIPLINAS!$B14,"")</f>
        <v/>
      </c>
      <c r="B31" s="316">
        <f>IF(OR($A31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)*100,""))</f>
        <v/>
      </c>
      <c r="C31" s="316">
        <f>IF(OR($A31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)*100,""))</f>
        <v/>
      </c>
      <c r="D31" s="316">
        <f>IF(OR($A31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)*100,""))</f>
        <v/>
      </c>
      <c r="E31" s="316">
        <f>IF(OR($A31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)*100,""))</f>
        <v/>
      </c>
      <c r="F31" s="316">
        <f>IF(OR($A31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)*100,""))</f>
        <v/>
      </c>
      <c r="G31" s="316">
        <f>IF(OR($A31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)*100,""))</f>
        <v/>
      </c>
      <c r="H31" s="316">
        <f>IF(OR($A31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)*100,""))</f>
        <v/>
      </c>
      <c r="I31" s="316">
        <f>IF(OR($A31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)*100,""))</f>
        <v/>
      </c>
      <c r="J31" s="316">
        <f>IF(OR($A31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)*100,""))</f>
        <v/>
      </c>
      <c r="K31" s="316">
        <f>IF(OR($A31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)*100,""))</f>
        <v/>
      </c>
      <c r="L31" s="316">
        <f>IF(OR($A31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)*100,""))</f>
        <v/>
      </c>
      <c r="M31" s="316">
        <f>IF(OR($A31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)*100,""))</f>
        <v/>
      </c>
      <c r="N31" s="289">
        <f>IF(OR($A31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)*100,""))</f>
        <v/>
      </c>
      <c r="O31" s="289">
        <f>IF(OR($A31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)*100,""))</f>
        <v/>
      </c>
      <c r="P31" s="289">
        <f>IF(OR($A31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)*100,""))</f>
        <v/>
      </c>
      <c r="Q31" s="289">
        <f>IF(OR($A31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)*100,""))</f>
        <v/>
      </c>
      <c r="R31" s="289">
        <f>IF(OR($A31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)*100,""))</f>
        <v/>
      </c>
      <c r="S31" s="317">
        <f>IF(OR($A31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)*100,""))</f>
        <v/>
      </c>
      <c r="T31" s="317">
        <f>IF(OR($A31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)*100,""))</f>
        <v/>
      </c>
      <c r="U31" s="317">
        <f>IF(OR($A31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)*100,""))</f>
        <v/>
      </c>
      <c r="V31" s="317">
        <f>IF(OR($A31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)*100,""))</f>
        <v/>
      </c>
      <c r="W31" s="317">
        <f>IF(OR($A31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)*100,""))</f>
        <v/>
      </c>
      <c r="X31" s="317">
        <f>IF(OR($A31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)*100,""))</f>
        <v/>
      </c>
      <c r="Y31" s="317">
        <f>IF(OR($A31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)*100,""))</f>
        <v/>
      </c>
    </row>
    <row r="32" ht="15" customHeight="1" s="131">
      <c r="A32" s="167">
        <f>IF(DISCIPLINAS!$A15=PARAMETROS!$B$11,DISCIPLINAS!$B15,"")</f>
        <v/>
      </c>
      <c r="B32" s="293">
        <f>IF(OR($A32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)*100,""))</f>
        <v/>
      </c>
      <c r="C32" s="293">
        <f>IF(OR($A32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)*100,""))</f>
        <v/>
      </c>
      <c r="D32" s="293">
        <f>IF(OR($A32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)*100,""))</f>
        <v/>
      </c>
      <c r="E32" s="293">
        <f>IF(OR($A32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)*100,""))</f>
        <v/>
      </c>
      <c r="F32" s="293">
        <f>IF(OR($A32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)*100,""))</f>
        <v/>
      </c>
      <c r="G32" s="293">
        <f>IF(OR($A32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)*100,""))</f>
        <v/>
      </c>
      <c r="H32" s="293">
        <f>IF(OR($A32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)*100,""))</f>
        <v/>
      </c>
      <c r="I32" s="293">
        <f>IF(OR($A32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)*100,""))</f>
        <v/>
      </c>
      <c r="J32" s="293">
        <f>IF(OR($A32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)*100,""))</f>
        <v/>
      </c>
      <c r="K32" s="293">
        <f>IF(OR($A32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)*100,""))</f>
        <v/>
      </c>
      <c r="L32" s="293">
        <f>IF(OR($A32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)*100,""))</f>
        <v/>
      </c>
      <c r="M32" s="293">
        <f>IF(OR($A32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)*100,""))</f>
        <v/>
      </c>
      <c r="N32" s="300">
        <f>IF(OR($A32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)*100,""))</f>
        <v/>
      </c>
      <c r="O32" s="293">
        <f>IF(OR($A32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)*100,""))</f>
        <v/>
      </c>
      <c r="P32" s="293">
        <f>IF(OR($A32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)*100,""))</f>
        <v/>
      </c>
      <c r="Q32" s="293">
        <f>IF(OR($A32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)*100,""))</f>
        <v/>
      </c>
      <c r="R32" s="293">
        <f>IF(OR($A32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)*100,""))</f>
        <v/>
      </c>
      <c r="S32" s="317">
        <f>IF(OR($A32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)*100,""))</f>
        <v/>
      </c>
      <c r="T32" s="317">
        <f>IF(OR($A32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)*100,""))</f>
        <v/>
      </c>
      <c r="U32" s="317">
        <f>IF(OR($A32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)*100,""))</f>
        <v/>
      </c>
      <c r="V32" s="317">
        <f>IF(OR($A32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)*100,""))</f>
        <v/>
      </c>
      <c r="W32" s="317">
        <f>IF(OR($A32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)*100,""))</f>
        <v/>
      </c>
      <c r="X32" s="317">
        <f>IF(OR($A32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)*100,""))</f>
        <v/>
      </c>
      <c r="Y32" s="317">
        <f>IF(OR($A32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)*100,""))</f>
        <v/>
      </c>
    </row>
    <row r="33" ht="15" customHeight="1" s="131">
      <c r="A33" s="167">
        <f>IF(DISCIPLINAS!$A16=PARAMETROS!$B$11,DISCIPLINAS!$B16,"")</f>
        <v/>
      </c>
      <c r="B33" s="293">
        <f>IF(OR($A33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)*100,""))</f>
        <v/>
      </c>
      <c r="C33" s="293">
        <f>IF(OR($A33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)*100,""))</f>
        <v/>
      </c>
      <c r="D33" s="293">
        <f>IF(OR($A33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)*100,""))</f>
        <v/>
      </c>
      <c r="E33" s="293">
        <f>IF(OR($A33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)*100,""))</f>
        <v/>
      </c>
      <c r="F33" s="293">
        <f>IF(OR($A33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)*100,""))</f>
        <v/>
      </c>
      <c r="G33" s="293">
        <f>IF(OR($A33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)*100,""))</f>
        <v/>
      </c>
      <c r="H33" s="293">
        <f>IF(OR($A33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)*100,""))</f>
        <v/>
      </c>
      <c r="I33" s="293">
        <f>IF(OR($A33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)*100,""))</f>
        <v/>
      </c>
      <c r="J33" s="293">
        <f>IF(OR($A33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)*100,""))</f>
        <v/>
      </c>
      <c r="K33" s="293">
        <f>IF(OR($A33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)*100,""))</f>
        <v/>
      </c>
      <c r="L33" s="293">
        <f>IF(OR($A33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)*100,""))</f>
        <v/>
      </c>
      <c r="M33" s="293">
        <f>IF(OR($A33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)*100,""))</f>
        <v/>
      </c>
      <c r="N33" s="300">
        <f>IF(OR($A33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)*100,""))</f>
        <v/>
      </c>
      <c r="O33" s="293">
        <f>IF(OR($A33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)*100,""))</f>
        <v/>
      </c>
      <c r="P33" s="293">
        <f>IF(OR($A33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)*100,""))</f>
        <v/>
      </c>
      <c r="Q33" s="293">
        <f>IF(OR($A33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)*100,""))</f>
        <v/>
      </c>
      <c r="R33" s="293">
        <f>IF(OR($A33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)*100,""))</f>
        <v/>
      </c>
      <c r="S33" s="317">
        <f>IF(OR($A33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)*100,""))</f>
        <v/>
      </c>
      <c r="T33" s="317">
        <f>IF(OR($A33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)*100,""))</f>
        <v/>
      </c>
      <c r="U33" s="317">
        <f>IF(OR($A33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)*100,""))</f>
        <v/>
      </c>
      <c r="V33" s="317">
        <f>IF(OR($A33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)*100,""))</f>
        <v/>
      </c>
      <c r="W33" s="317">
        <f>IF(OR($A33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)*100,""))</f>
        <v/>
      </c>
      <c r="X33" s="317">
        <f>IF(OR($A33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)*100,""))</f>
        <v/>
      </c>
      <c r="Y33" s="317">
        <f>IF(OR($A33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)*100,""))</f>
        <v/>
      </c>
    </row>
    <row r="34" ht="21.75" customHeight="1" s="131">
      <c r="A34" s="167">
        <f>IF(DISCIPLINAS!$A17=PARAMETROS!$B$11,DISCIPLINAS!$B17,"")</f>
        <v/>
      </c>
      <c r="B34" s="293">
        <f>IF(OR($A34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)*100,""))</f>
        <v/>
      </c>
      <c r="C34" s="293">
        <f>IF(OR($A34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)*100,""))</f>
        <v/>
      </c>
      <c r="D34" s="293">
        <f>IF(OR($A34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)*100,""))</f>
        <v/>
      </c>
      <c r="E34" s="293">
        <f>IF(OR($A34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)*100,""))</f>
        <v/>
      </c>
      <c r="F34" s="293">
        <f>IF(OR($A34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)*100,""))</f>
        <v/>
      </c>
      <c r="G34" s="293">
        <f>IF(OR($A34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)*100,""))</f>
        <v/>
      </c>
      <c r="H34" s="293">
        <f>IF(OR($A34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)*100,""))</f>
        <v/>
      </c>
      <c r="I34" s="293">
        <f>IF(OR($A34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)*100,""))</f>
        <v/>
      </c>
      <c r="J34" s="293">
        <f>IF(OR($A34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)*100,""))</f>
        <v/>
      </c>
      <c r="K34" s="293">
        <f>IF(OR($A34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)*100,""))</f>
        <v/>
      </c>
      <c r="L34" s="293">
        <f>IF(OR($A34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)*100,""))</f>
        <v/>
      </c>
      <c r="M34" s="293">
        <f>IF(OR($A34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)*100,""))</f>
        <v/>
      </c>
      <c r="N34" s="300">
        <f>IF(OR($A34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)*100,""))</f>
        <v/>
      </c>
      <c r="O34" s="293">
        <f>IF(OR($A34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)*100,""))</f>
        <v/>
      </c>
      <c r="P34" s="293">
        <f>IF(OR($A34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)*100,""))</f>
        <v/>
      </c>
      <c r="Q34" s="293">
        <f>IF(OR($A34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)*100,""))</f>
        <v/>
      </c>
      <c r="R34" s="293">
        <f>IF(OR($A34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)*100,""))</f>
        <v/>
      </c>
      <c r="S34" s="317">
        <f>IF(OR($A34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)*100,""))</f>
        <v/>
      </c>
      <c r="T34" s="317">
        <f>IF(OR($A34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)*100,""))</f>
        <v/>
      </c>
      <c r="U34" s="317">
        <f>IF(OR($A34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)*100,""))</f>
        <v/>
      </c>
      <c r="V34" s="317">
        <f>IF(OR($A34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)*100,""))</f>
        <v/>
      </c>
      <c r="W34" s="317">
        <f>IF(OR($A34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)*100,""))</f>
        <v/>
      </c>
      <c r="X34" s="317">
        <f>IF(OR($A34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)*100,""))</f>
        <v/>
      </c>
      <c r="Y34" s="317">
        <f>IF(OR($A34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)*100,""))</f>
        <v/>
      </c>
    </row>
    <row r="35" ht="15" customHeight="1" s="131">
      <c r="A35" s="167">
        <f>IF(DISCIPLINAS!$A18=PARAMETROS!$B$11,DISCIPLINAS!$B18,"")</f>
        <v/>
      </c>
      <c r="B35" s="293">
        <f>IF(OR($A35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)*100,""))</f>
        <v/>
      </c>
      <c r="C35" s="293">
        <f>IF(OR($A35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)*100,""))</f>
        <v/>
      </c>
      <c r="D35" s="293">
        <f>IF(OR($A35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)*100,""))</f>
        <v/>
      </c>
      <c r="E35" s="293">
        <f>IF(OR($A35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)*100,""))</f>
        <v/>
      </c>
      <c r="F35" s="293">
        <f>IF(OR($A35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)*100,""))</f>
        <v/>
      </c>
      <c r="G35" s="293">
        <f>IF(OR($A35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)*100,""))</f>
        <v/>
      </c>
      <c r="H35" s="293">
        <f>IF(OR($A35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)*100,""))</f>
        <v/>
      </c>
      <c r="I35" s="293">
        <f>IF(OR($A35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)*100,""))</f>
        <v/>
      </c>
      <c r="J35" s="293">
        <f>IF(OR($A35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)*100,""))</f>
        <v/>
      </c>
      <c r="K35" s="293">
        <f>IF(OR($A35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)*100,""))</f>
        <v/>
      </c>
      <c r="L35" s="293">
        <f>IF(OR($A35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)*100,""))</f>
        <v/>
      </c>
      <c r="M35" s="293">
        <f>IF(OR($A35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)*100,""))</f>
        <v/>
      </c>
      <c r="N35" s="300">
        <f>IF(OR($A35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)*100,""))</f>
        <v/>
      </c>
      <c r="O35" s="293">
        <f>IF(OR($A35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)*100,""))</f>
        <v/>
      </c>
      <c r="P35" s="293">
        <f>IF(OR($A35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)*100,""))</f>
        <v/>
      </c>
      <c r="Q35" s="293">
        <f>IF(OR($A35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)*100,""))</f>
        <v/>
      </c>
      <c r="R35" s="293">
        <f>IF(OR($A35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)*100,""))</f>
        <v/>
      </c>
      <c r="S35" s="317">
        <f>IF(OR($A35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)*100,""))</f>
        <v/>
      </c>
      <c r="T35" s="317">
        <f>IF(OR($A35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)*100,""))</f>
        <v/>
      </c>
      <c r="U35" s="317">
        <f>IF(OR($A35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)*100,""))</f>
        <v/>
      </c>
      <c r="V35" s="317">
        <f>IF(OR($A35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)*100,""))</f>
        <v/>
      </c>
      <c r="W35" s="317">
        <f>IF(OR($A35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)*100,""))</f>
        <v/>
      </c>
      <c r="X35" s="317">
        <f>IF(OR($A35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)*100,""))</f>
        <v/>
      </c>
      <c r="Y35" s="317">
        <f>IF(OR($A35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)*100,""))</f>
        <v/>
      </c>
    </row>
    <row r="36" ht="21.75" customHeight="1" s="131">
      <c r="A36" s="167">
        <f>IF(DISCIPLINAS!$A19=PARAMETROS!$B$11,DISCIPLINAS!$B19,"")</f>
        <v/>
      </c>
      <c r="B36" s="293">
        <f>IF(OR($A36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)*100,""))</f>
        <v/>
      </c>
      <c r="C36" s="293">
        <f>IF(OR($A36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)*100,""))</f>
        <v/>
      </c>
      <c r="D36" s="293">
        <f>IF(OR($A36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)*100,""))</f>
        <v/>
      </c>
      <c r="E36" s="293">
        <f>IF(OR($A36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)*100,""))</f>
        <v/>
      </c>
      <c r="F36" s="293">
        <f>IF(OR($A36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)*100,""))</f>
        <v/>
      </c>
      <c r="G36" s="293">
        <f>IF(OR($A36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)*100,""))</f>
        <v/>
      </c>
      <c r="H36" s="293">
        <f>IF(OR($A36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)*100,""))</f>
        <v/>
      </c>
      <c r="I36" s="293">
        <f>IF(OR($A36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)*100,""))</f>
        <v/>
      </c>
      <c r="J36" s="293">
        <f>IF(OR($A36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)*100,""))</f>
        <v/>
      </c>
      <c r="K36" s="293">
        <f>IF(OR($A36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)*100,""))</f>
        <v/>
      </c>
      <c r="L36" s="293">
        <f>IF(OR($A36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)*100,""))</f>
        <v/>
      </c>
      <c r="M36" s="293">
        <f>IF(OR($A36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)*100,""))</f>
        <v/>
      </c>
      <c r="N36" s="300">
        <f>IF(OR($A36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)*100,""))</f>
        <v/>
      </c>
      <c r="O36" s="293">
        <f>IF(OR($A36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)*100,""))</f>
        <v/>
      </c>
      <c r="P36" s="293">
        <f>IF(OR($A36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)*100,""))</f>
        <v/>
      </c>
      <c r="Q36" s="293">
        <f>IF(OR($A36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)*100,""))</f>
        <v/>
      </c>
      <c r="R36" s="293">
        <f>IF(OR($A36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)*100,""))</f>
        <v/>
      </c>
      <c r="S36" s="317">
        <f>IF(OR($A36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)*100,""))</f>
        <v/>
      </c>
      <c r="T36" s="317">
        <f>IF(OR($A36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)*100,""))</f>
        <v/>
      </c>
      <c r="U36" s="317">
        <f>IF(OR($A36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)*100,""))</f>
        <v/>
      </c>
      <c r="V36" s="317">
        <f>IF(OR($A36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)*100,""))</f>
        <v/>
      </c>
      <c r="W36" s="317">
        <f>IF(OR($A36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)*100,""))</f>
        <v/>
      </c>
      <c r="X36" s="317">
        <f>IF(OR($A36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)*100,""))</f>
        <v/>
      </c>
      <c r="Y36" s="317">
        <f>IF(OR($A36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)*100,""))</f>
        <v/>
      </c>
    </row>
    <row r="37" ht="15" customHeight="1" s="131">
      <c r="A37" s="167">
        <f>IF(DISCIPLINAS!$A20=PARAMETROS!$B$11,DISCIPLINAS!$B20,"")</f>
        <v/>
      </c>
      <c r="B37" s="293">
        <f>IF(OR($A37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)*100,""))</f>
        <v/>
      </c>
      <c r="C37" s="293">
        <f>IF(OR($A37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)*100,""))</f>
        <v/>
      </c>
      <c r="D37" s="293">
        <f>IF(OR($A37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)*100,""))</f>
        <v/>
      </c>
      <c r="E37" s="293">
        <f>IF(OR($A37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)*100,""))</f>
        <v/>
      </c>
      <c r="F37" s="293">
        <f>IF(OR($A37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)*100,""))</f>
        <v/>
      </c>
      <c r="G37" s="293">
        <f>IF(OR($A37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)*100,""))</f>
        <v/>
      </c>
      <c r="H37" s="293">
        <f>IF(OR($A37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)*100,""))</f>
        <v/>
      </c>
      <c r="I37" s="293">
        <f>IF(OR($A37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)*100,""))</f>
        <v/>
      </c>
      <c r="J37" s="293">
        <f>IF(OR($A37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)*100,""))</f>
        <v/>
      </c>
      <c r="K37" s="293">
        <f>IF(OR($A37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)*100,""))</f>
        <v/>
      </c>
      <c r="L37" s="293">
        <f>IF(OR($A37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)*100,""))</f>
        <v/>
      </c>
      <c r="M37" s="293">
        <f>IF(OR($A37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)*100,""))</f>
        <v/>
      </c>
      <c r="N37" s="300">
        <f>IF(OR($A37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)*100,""))</f>
        <v/>
      </c>
      <c r="O37" s="293">
        <f>IF(OR($A37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)*100,""))</f>
        <v/>
      </c>
      <c r="P37" s="293">
        <f>IF(OR($A37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)*100,""))</f>
        <v/>
      </c>
      <c r="Q37" s="293">
        <f>IF(OR($A37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)*100,""))</f>
        <v/>
      </c>
      <c r="R37" s="293">
        <f>IF(OR($A37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)*100,""))</f>
        <v/>
      </c>
      <c r="S37" s="317">
        <f>IF(OR($A37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)*100,""))</f>
        <v/>
      </c>
      <c r="T37" s="317">
        <f>IF(OR($A37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)*100,""))</f>
        <v/>
      </c>
      <c r="U37" s="317">
        <f>IF(OR($A37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)*100,""))</f>
        <v/>
      </c>
      <c r="V37" s="317">
        <f>IF(OR($A37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)*100,""))</f>
        <v/>
      </c>
      <c r="W37" s="317">
        <f>IF(OR($A37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)*100,""))</f>
        <v/>
      </c>
      <c r="X37" s="317">
        <f>IF(OR($A37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)*100,""))</f>
        <v/>
      </c>
      <c r="Y37" s="317">
        <f>IF(OR($A37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)*100,""))</f>
        <v/>
      </c>
    </row>
    <row r="38" ht="15" customHeight="1" s="131">
      <c r="A38" s="167">
        <f>IF(DISCIPLINAS!$A21=PARAMETROS!$B$11,DISCIPLINAS!$B21,"")</f>
        <v/>
      </c>
      <c r="B38" s="293">
        <f>IF(OR($A38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)*100,""))</f>
        <v/>
      </c>
      <c r="C38" s="293">
        <f>IF(OR($A38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)*100,""))</f>
        <v/>
      </c>
      <c r="D38" s="293">
        <f>IF(OR($A38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)*100,""))</f>
        <v/>
      </c>
      <c r="E38" s="293">
        <f>IF(OR($A38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)*100,""))</f>
        <v/>
      </c>
      <c r="F38" s="293">
        <f>IF(OR($A38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)*100,""))</f>
        <v/>
      </c>
      <c r="G38" s="293">
        <f>IF(OR($A38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)*100,""))</f>
        <v/>
      </c>
      <c r="H38" s="293">
        <f>IF(OR($A38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)*100,""))</f>
        <v/>
      </c>
      <c r="I38" s="293">
        <f>IF(OR($A38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)*100,""))</f>
        <v/>
      </c>
      <c r="J38" s="293">
        <f>IF(OR($A38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)*100,""))</f>
        <v/>
      </c>
      <c r="K38" s="293">
        <f>IF(OR($A38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)*100,""))</f>
        <v/>
      </c>
      <c r="L38" s="293">
        <f>IF(OR($A38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)*100,""))</f>
        <v/>
      </c>
      <c r="M38" s="293">
        <f>IF(OR($A38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)*100,""))</f>
        <v/>
      </c>
      <c r="N38" s="300">
        <f>IF(OR($A38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)*100,""))</f>
        <v/>
      </c>
      <c r="O38" s="293">
        <f>IF(OR($A38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)*100,""))</f>
        <v/>
      </c>
      <c r="P38" s="293">
        <f>IF(OR($A38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)*100,""))</f>
        <v/>
      </c>
      <c r="Q38" s="293">
        <f>IF(OR($A38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)*100,""))</f>
        <v/>
      </c>
      <c r="R38" s="293">
        <f>IF(OR($A38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)*100,""))</f>
        <v/>
      </c>
      <c r="S38" s="317">
        <f>IF(OR($A38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)*100,""))</f>
        <v/>
      </c>
      <c r="T38" s="317">
        <f>IF(OR($A38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)*100,""))</f>
        <v/>
      </c>
      <c r="U38" s="317">
        <f>IF(OR($A38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)*100,""))</f>
        <v/>
      </c>
      <c r="V38" s="317">
        <f>IF(OR($A38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)*100,""))</f>
        <v/>
      </c>
      <c r="W38" s="317">
        <f>IF(OR($A38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)*100,""))</f>
        <v/>
      </c>
      <c r="X38" s="317">
        <f>IF(OR($A38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)*100,""))</f>
        <v/>
      </c>
      <c r="Y38" s="317">
        <f>IF(OR($A38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)*100,""))</f>
        <v/>
      </c>
    </row>
    <row r="39" ht="21.75" customHeight="1" s="131">
      <c r="A39" s="167">
        <f>IF(DISCIPLINAS!$A22=PARAMETROS!$B$11,DISCIPLINAS!$B22,"")</f>
        <v/>
      </c>
      <c r="B39" s="293">
        <f>IF(OR($A39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)*100,""))</f>
        <v/>
      </c>
      <c r="C39" s="293">
        <f>IF(OR($A39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)*100,""))</f>
        <v/>
      </c>
      <c r="D39" s="293">
        <f>IF(OR($A39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)*100,""))</f>
        <v/>
      </c>
      <c r="E39" s="293">
        <f>IF(OR($A39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)*100,""))</f>
        <v/>
      </c>
      <c r="F39" s="293">
        <f>IF(OR($A39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)*100,""))</f>
        <v/>
      </c>
      <c r="G39" s="293">
        <f>IF(OR($A39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)*100,""))</f>
        <v/>
      </c>
      <c r="H39" s="293">
        <f>IF(OR($A39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)*100,""))</f>
        <v/>
      </c>
      <c r="I39" s="293">
        <f>IF(OR($A39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)*100,""))</f>
        <v/>
      </c>
      <c r="J39" s="293">
        <f>IF(OR($A39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)*100,""))</f>
        <v/>
      </c>
      <c r="K39" s="293">
        <f>IF(OR($A39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)*100,""))</f>
        <v/>
      </c>
      <c r="L39" s="293">
        <f>IF(OR($A39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)*100,""))</f>
        <v/>
      </c>
      <c r="M39" s="293">
        <f>IF(OR($A39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)*100,""))</f>
        <v/>
      </c>
      <c r="N39" s="300">
        <f>IF(OR($A39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)*100,""))</f>
        <v/>
      </c>
      <c r="O39" s="293">
        <f>IF(OR($A39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)*100,""))</f>
        <v/>
      </c>
      <c r="P39" s="293">
        <f>IF(OR($A39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)*100,""))</f>
        <v/>
      </c>
      <c r="Q39" s="293">
        <f>IF(OR($A39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)*100,""))</f>
        <v/>
      </c>
      <c r="R39" s="293">
        <f>IF(OR($A39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)*100,""))</f>
        <v/>
      </c>
      <c r="S39" s="317">
        <f>IF(OR($A39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)*100,""))</f>
        <v/>
      </c>
      <c r="T39" s="317">
        <f>IF(OR($A39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)*100,""))</f>
        <v/>
      </c>
      <c r="U39" s="317">
        <f>IF(OR($A39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)*100,""))</f>
        <v/>
      </c>
      <c r="V39" s="317">
        <f>IF(OR($A39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)*100,""))</f>
        <v/>
      </c>
      <c r="W39" s="317">
        <f>IF(OR($A39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)*100,""))</f>
        <v/>
      </c>
      <c r="X39" s="317">
        <f>IF(OR($A39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)*100,""))</f>
        <v/>
      </c>
      <c r="Y39" s="317">
        <f>IF(OR($A39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)*100,""))</f>
        <v/>
      </c>
    </row>
    <row r="40" ht="21.75" customHeight="1" s="131">
      <c r="A40" s="167">
        <f>IF(DISCIPLINAS!$A23=PARAMETROS!$B$11,DISCIPLINAS!$B23,"")</f>
        <v/>
      </c>
      <c r="B40" s="293">
        <f>IF(OR($A40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)*100,""))</f>
        <v/>
      </c>
      <c r="C40" s="293">
        <f>IF(OR($A40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)*100,""))</f>
        <v/>
      </c>
      <c r="D40" s="293">
        <f>IF(OR($A40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)*100,""))</f>
        <v/>
      </c>
      <c r="E40" s="293">
        <f>IF(OR($A40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)*100,""))</f>
        <v/>
      </c>
      <c r="F40" s="293">
        <f>IF(OR($A40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)*100,""))</f>
        <v/>
      </c>
      <c r="G40" s="293">
        <f>IF(OR($A40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)*100,""))</f>
        <v/>
      </c>
      <c r="H40" s="293">
        <f>IF(OR($A40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)*100,""))</f>
        <v/>
      </c>
      <c r="I40" s="293">
        <f>IF(OR($A40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)*100,""))</f>
        <v/>
      </c>
      <c r="J40" s="293">
        <f>IF(OR($A40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)*100,""))</f>
        <v/>
      </c>
      <c r="K40" s="293">
        <f>IF(OR($A40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)*100,""))</f>
        <v/>
      </c>
      <c r="L40" s="293">
        <f>IF(OR($A40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)*100,""))</f>
        <v/>
      </c>
      <c r="M40" s="293">
        <f>IF(OR($A40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)*100,""))</f>
        <v/>
      </c>
      <c r="N40" s="300">
        <f>IF(OR($A40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)*100,""))</f>
        <v/>
      </c>
      <c r="O40" s="293">
        <f>IF(OR($A40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)*100,""))</f>
        <v/>
      </c>
      <c r="P40" s="293">
        <f>IF(OR($A40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)*100,""))</f>
        <v/>
      </c>
      <c r="Q40" s="293">
        <f>IF(OR($A40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)*100,""))</f>
        <v/>
      </c>
      <c r="R40" s="293">
        <f>IF(OR($A40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)*100,""))</f>
        <v/>
      </c>
      <c r="S40" s="317">
        <f>IF(OR($A40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)*100,""))</f>
        <v/>
      </c>
      <c r="T40" s="317">
        <f>IF(OR($A40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)*100,""))</f>
        <v/>
      </c>
      <c r="U40" s="317">
        <f>IF(OR($A40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)*100,""))</f>
        <v/>
      </c>
      <c r="V40" s="317">
        <f>IF(OR($A40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)*100,""))</f>
        <v/>
      </c>
      <c r="W40" s="317">
        <f>IF(OR($A40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)*100,""))</f>
        <v/>
      </c>
      <c r="X40" s="317">
        <f>IF(OR($A40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)*100,""))</f>
        <v/>
      </c>
      <c r="Y40" s="317">
        <f>IF(OR($A40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)*100,""))</f>
        <v/>
      </c>
    </row>
    <row r="41">
      <c r="A41">
        <f>IF(DISCIPLINAS!$A24=PARAMETROS!$B$11,DISCIPLINAS!$B24,"")</f>
        <v/>
      </c>
      <c r="B41" s="317">
        <f>IF(OR($A41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)*100,""))</f>
        <v/>
      </c>
      <c r="C41" s="317">
        <f>IF(OR($A41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)*100,""))</f>
        <v/>
      </c>
      <c r="D41" s="317">
        <f>IF(OR($A41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)*100,""))</f>
        <v/>
      </c>
      <c r="E41" s="317">
        <f>IF(OR($A41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)*100,""))</f>
        <v/>
      </c>
      <c r="F41" s="317">
        <f>IF(OR($A41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)*100,""))</f>
        <v/>
      </c>
      <c r="G41" s="317">
        <f>IF(OR($A41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)*100,""))</f>
        <v/>
      </c>
      <c r="H41" s="317">
        <f>IF(OR($A41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)*100,""))</f>
        <v/>
      </c>
      <c r="I41" s="317">
        <f>IF(OR($A41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)*100,""))</f>
        <v/>
      </c>
      <c r="J41" s="317">
        <f>IF(OR($A41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)*100,""))</f>
        <v/>
      </c>
      <c r="K41" s="317">
        <f>IF(OR($A41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)*100,""))</f>
        <v/>
      </c>
      <c r="L41" s="317">
        <f>IF(OR($A41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)*100,""))</f>
        <v/>
      </c>
      <c r="M41" s="317">
        <f>IF(OR($A41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)*100,""))</f>
        <v/>
      </c>
      <c r="N41" s="317">
        <f>IF(OR($A41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)*100,""))</f>
        <v/>
      </c>
      <c r="O41" s="317">
        <f>IF(OR($A41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)*100,""))</f>
        <v/>
      </c>
      <c r="P41" s="317">
        <f>IF(OR($A41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)*100,""))</f>
        <v/>
      </c>
      <c r="Q41" s="317">
        <f>IF(OR($A41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)*100,""))</f>
        <v/>
      </c>
      <c r="R41" s="317">
        <f>IF(OR($A41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)*100,""))</f>
        <v/>
      </c>
      <c r="S41" s="317">
        <f>IF(OR($A41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)*100,""))</f>
        <v/>
      </c>
      <c r="T41" s="317">
        <f>IF(OR($A41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)*100,""))</f>
        <v/>
      </c>
      <c r="U41" s="317">
        <f>IF(OR($A41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)*100,""))</f>
        <v/>
      </c>
      <c r="V41" s="317">
        <f>IF(OR($A41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)*100,""))</f>
        <v/>
      </c>
      <c r="W41" s="317">
        <f>IF(OR($A41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)*100,""))</f>
        <v/>
      </c>
      <c r="X41" s="317">
        <f>IF(OR($A41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)*100,""))</f>
        <v/>
      </c>
      <c r="Y41" s="317">
        <f>IF(OR($A41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)*100,""))</f>
        <v/>
      </c>
    </row>
    <row r="42">
      <c r="A42">
        <f>IF(DISCIPLINAS!$A25=PARAMETROS!$B$11,DISCIPLINAS!$B25,"")</f>
        <v/>
      </c>
      <c r="B42" s="317">
        <f>IF(OR($A42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)*100,""))</f>
        <v/>
      </c>
      <c r="C42" s="317">
        <f>IF(OR($A42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)*100,""))</f>
        <v/>
      </c>
      <c r="D42" s="317">
        <f>IF(OR($A42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)*100,""))</f>
        <v/>
      </c>
      <c r="E42" s="317">
        <f>IF(OR($A42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)*100,""))</f>
        <v/>
      </c>
      <c r="F42" s="317">
        <f>IF(OR($A42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)*100,""))</f>
        <v/>
      </c>
      <c r="G42" s="317">
        <f>IF(OR($A42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)*100,""))</f>
        <v/>
      </c>
      <c r="H42" s="317">
        <f>IF(OR($A42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)*100,""))</f>
        <v/>
      </c>
      <c r="I42" s="317">
        <f>IF(OR($A42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)*100,""))</f>
        <v/>
      </c>
      <c r="J42" s="317">
        <f>IF(OR($A42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)*100,""))</f>
        <v/>
      </c>
      <c r="K42" s="317">
        <f>IF(OR($A42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)*100,""))</f>
        <v/>
      </c>
      <c r="L42" s="317">
        <f>IF(OR($A42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)*100,""))</f>
        <v/>
      </c>
      <c r="M42" s="317">
        <f>IF(OR($A42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)*100,""))</f>
        <v/>
      </c>
      <c r="N42" s="317">
        <f>IF(OR($A42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)*100,""))</f>
        <v/>
      </c>
      <c r="O42" s="317">
        <f>IF(OR($A42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)*100,""))</f>
        <v/>
      </c>
      <c r="P42" s="317">
        <f>IF(OR($A42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)*100,""))</f>
        <v/>
      </c>
      <c r="Q42" s="317">
        <f>IF(OR($A42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)*100,""))</f>
        <v/>
      </c>
      <c r="R42" s="317">
        <f>IF(OR($A42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)*100,""))</f>
        <v/>
      </c>
      <c r="S42" s="317">
        <f>IF(OR($A42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)*100,""))</f>
        <v/>
      </c>
      <c r="T42" s="317">
        <f>IF(OR($A42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)*100,""))</f>
        <v/>
      </c>
      <c r="U42" s="317">
        <f>IF(OR($A42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)*100,""))</f>
        <v/>
      </c>
      <c r="V42" s="317">
        <f>IF(OR($A42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)*100,""))</f>
        <v/>
      </c>
      <c r="W42" s="317">
        <f>IF(OR($A42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)*100,""))</f>
        <v/>
      </c>
      <c r="X42" s="317">
        <f>IF(OR($A42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)*100,""))</f>
        <v/>
      </c>
      <c r="Y42" s="317">
        <f>IF(OR($A42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)*100,""))</f>
        <v/>
      </c>
    </row>
    <row r="43" ht="53.25" customHeight="1" s="131">
      <c r="A43" s="198">
        <f>IF(DISCIPLINAS!$A26=PARAMETROS!$B$11,DISCIPLINAS!$B26,"")</f>
        <v/>
      </c>
      <c r="B43" s="317">
        <f>IF(OR($A43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)*100,""))</f>
        <v/>
      </c>
      <c r="C43" s="317">
        <f>IF(OR($A43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)*100,""))</f>
        <v/>
      </c>
      <c r="D43" s="319">
        <f>IF(OR($A43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)*100,""))</f>
        <v/>
      </c>
      <c r="E43" s="317">
        <f>IF(OR($A43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)*100,""))</f>
        <v/>
      </c>
      <c r="F43" s="317">
        <f>IF(OR($A43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)*100,""))</f>
        <v/>
      </c>
      <c r="G43" s="317">
        <f>IF(OR($A43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)*100,""))</f>
        <v/>
      </c>
      <c r="H43" s="317">
        <f>IF(OR($A43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)*100,""))</f>
        <v/>
      </c>
      <c r="I43" s="317">
        <f>IF(OR($A43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)*100,""))</f>
        <v/>
      </c>
      <c r="J43" s="317">
        <f>IF(OR($A43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)*100,""))</f>
        <v/>
      </c>
      <c r="K43" s="317">
        <f>IF(OR($A43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)*100,""))</f>
        <v/>
      </c>
      <c r="L43" s="317">
        <f>IF(OR($A43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)*100,""))</f>
        <v/>
      </c>
      <c r="M43" s="317">
        <f>IF(OR($A43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)*100,""))</f>
        <v/>
      </c>
      <c r="N43" s="317">
        <f>IF(OR($A43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)*100,""))</f>
        <v/>
      </c>
      <c r="O43" s="317">
        <f>IF(OR($A43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)*100,""))</f>
        <v/>
      </c>
      <c r="P43" s="317">
        <f>IF(OR($A43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)*100,""))</f>
        <v/>
      </c>
      <c r="Q43" s="317">
        <f>IF(OR($A43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)*100,""))</f>
        <v/>
      </c>
      <c r="R43" s="317">
        <f>IF(OR($A43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)*100,""))</f>
        <v/>
      </c>
      <c r="S43" s="317">
        <f>IF(OR($A43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)*100,""))</f>
        <v/>
      </c>
      <c r="T43" s="317">
        <f>IF(OR($A43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)*100,""))</f>
        <v/>
      </c>
      <c r="U43" s="317">
        <f>IF(OR($A43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)*100,""))</f>
        <v/>
      </c>
      <c r="V43" s="317">
        <f>IF(OR($A43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)*100,""))</f>
        <v/>
      </c>
      <c r="W43" s="317">
        <f>IF(OR($A43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)*100,""))</f>
        <v/>
      </c>
      <c r="X43" s="317">
        <f>IF(OR($A43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)*100,""))</f>
        <v/>
      </c>
      <c r="Y43" s="317">
        <f>IF(OR($A43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)*100,""))</f>
        <v/>
      </c>
    </row>
    <row r="44" ht="30" customHeight="1" s="131">
      <c r="A44" s="199">
        <f>IF(DISCIPLINAS!$A27=PARAMETROS!$B$11,DISCIPLINAS!$B27,"")</f>
        <v/>
      </c>
      <c r="B44" s="316">
        <f>IF(OR($A44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)*100,""))</f>
        <v/>
      </c>
      <c r="C44" s="316">
        <f>IF(OR($A44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)*100,""))</f>
        <v/>
      </c>
      <c r="D44" s="316">
        <f>IF(OR($A44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)*100,""))</f>
        <v/>
      </c>
      <c r="E44" s="316">
        <f>IF(OR($A44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)*100,""))</f>
        <v/>
      </c>
      <c r="F44" s="316">
        <f>IF(OR($A44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)*100,""))</f>
        <v/>
      </c>
      <c r="G44" s="316">
        <f>IF(OR($A44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)*100,""))</f>
        <v/>
      </c>
      <c r="H44" s="316">
        <f>IF(OR($A44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)*100,""))</f>
        <v/>
      </c>
      <c r="I44" s="316">
        <f>IF(OR($A44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)*100,""))</f>
        <v/>
      </c>
      <c r="J44" s="316">
        <f>IF(OR($A44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)*100,""))</f>
        <v/>
      </c>
      <c r="K44" s="316">
        <f>IF(OR($A44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)*100,""))</f>
        <v/>
      </c>
      <c r="L44" s="316">
        <f>IF(OR($A44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)*100,""))</f>
        <v/>
      </c>
      <c r="M44" s="316">
        <f>IF(OR($A44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)*100,""))</f>
        <v/>
      </c>
      <c r="N44" s="316">
        <f>IF(OR($A44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)*100,""))</f>
        <v/>
      </c>
      <c r="O44" s="317">
        <f>IF(OR($A44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)*100,""))</f>
        <v/>
      </c>
      <c r="P44" s="317">
        <f>IF(OR($A44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)*100,""))</f>
        <v/>
      </c>
      <c r="Q44" s="317">
        <f>IF(OR($A44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)*100,""))</f>
        <v/>
      </c>
      <c r="R44" s="317">
        <f>IF(OR($A44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)*100,""))</f>
        <v/>
      </c>
      <c r="S44" s="317">
        <f>IF(OR($A44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)*100,""))</f>
        <v/>
      </c>
      <c r="T44" s="317">
        <f>IF(OR($A44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)*100,""))</f>
        <v/>
      </c>
      <c r="U44" s="317">
        <f>IF(OR($A44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)*100,""))</f>
        <v/>
      </c>
      <c r="V44" s="317">
        <f>IF(OR($A44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)*100,""))</f>
        <v/>
      </c>
      <c r="W44" s="317">
        <f>IF(OR($A44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)*100,""))</f>
        <v/>
      </c>
      <c r="X44" s="317">
        <f>IF(OR($A44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)*100,""))</f>
        <v/>
      </c>
      <c r="Y44" s="317">
        <f>IF(OR($A44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)*100,""))</f>
        <v/>
      </c>
    </row>
    <row r="45" ht="15" customHeight="1" s="131">
      <c r="A45" s="209">
        <f>IF(DISCIPLINAS!$A28=PARAMETROS!$B$11,DISCIPLINAS!$B28,"")</f>
        <v/>
      </c>
      <c r="B45" s="299">
        <f>IF(OR($A45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)*100,""))</f>
        <v/>
      </c>
      <c r="C45" s="293">
        <f>IF(OR($A45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)*100,""))</f>
        <v/>
      </c>
      <c r="D45" s="293">
        <f>IF(OR($A45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)*100,""))</f>
        <v/>
      </c>
      <c r="E45" s="293">
        <f>IF(OR($A45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)*100,""))</f>
        <v/>
      </c>
      <c r="F45" s="293">
        <f>IF(OR($A45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)*100,""))</f>
        <v/>
      </c>
      <c r="G45" s="293">
        <f>IF(OR($A45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)*100,""))</f>
        <v/>
      </c>
      <c r="H45" s="293">
        <f>IF(OR($A45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)*100,""))</f>
        <v/>
      </c>
      <c r="I45" s="293">
        <f>IF(OR($A45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)*100,""))</f>
        <v/>
      </c>
      <c r="J45" s="293">
        <f>IF(OR($A45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)*100,""))</f>
        <v/>
      </c>
      <c r="K45" s="293">
        <f>IF(OR($A45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)*100,""))</f>
        <v/>
      </c>
      <c r="L45" s="293">
        <f>IF(OR($A45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)*100,""))</f>
        <v/>
      </c>
      <c r="M45" s="293">
        <f>IF(OR($A45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)*100,""))</f>
        <v/>
      </c>
      <c r="N45" s="293">
        <f>IF(OR($A45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)*100,""))</f>
        <v/>
      </c>
      <c r="O45" s="317">
        <f>IF(OR($A45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)*100,""))</f>
        <v/>
      </c>
      <c r="P45" s="317">
        <f>IF(OR($A45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)*100,""))</f>
        <v/>
      </c>
      <c r="Q45" s="317">
        <f>IF(OR($A45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)*100,""))</f>
        <v/>
      </c>
      <c r="R45" s="317">
        <f>IF(OR($A45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)*100,""))</f>
        <v/>
      </c>
      <c r="S45" s="317">
        <f>IF(OR($A45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)*100,""))</f>
        <v/>
      </c>
      <c r="T45" s="317">
        <f>IF(OR($A45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)*100,""))</f>
        <v/>
      </c>
      <c r="U45" s="317">
        <f>IF(OR($A45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)*100,""))</f>
        <v/>
      </c>
      <c r="V45" s="317">
        <f>IF(OR($A45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)*100,""))</f>
        <v/>
      </c>
      <c r="W45" s="317">
        <f>IF(OR($A45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)*100,""))</f>
        <v/>
      </c>
      <c r="X45" s="317">
        <f>IF(OR($A45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)*100,""))</f>
        <v/>
      </c>
      <c r="Y45" s="317">
        <f>IF(OR($A45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)*100,""))</f>
        <v/>
      </c>
    </row>
    <row r="46" ht="15" customHeight="1" s="131">
      <c r="A46" s="209">
        <f>IF(DISCIPLINAS!$A29=PARAMETROS!$B$11,DISCIPLINAS!$B29,"")</f>
        <v/>
      </c>
      <c r="B46" s="299">
        <f>IF(OR($A46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)*100,""))</f>
        <v/>
      </c>
      <c r="C46" s="293">
        <f>IF(OR($A46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)*100,""))</f>
        <v/>
      </c>
      <c r="D46" s="293">
        <f>IF(OR($A46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)*100,""))</f>
        <v/>
      </c>
      <c r="E46" s="293">
        <f>IF(OR($A46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)*100,""))</f>
        <v/>
      </c>
      <c r="F46" s="293">
        <f>IF(OR($A46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)*100,""))</f>
        <v/>
      </c>
      <c r="G46" s="293">
        <f>IF(OR($A46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)*100,""))</f>
        <v/>
      </c>
      <c r="H46" s="293">
        <f>IF(OR($A46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)*100,""))</f>
        <v/>
      </c>
      <c r="I46" s="293">
        <f>IF(OR($A46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)*100,""))</f>
        <v/>
      </c>
      <c r="J46" s="293">
        <f>IF(OR($A46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)*100,""))</f>
        <v/>
      </c>
      <c r="K46" s="293">
        <f>IF(OR($A46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)*100,""))</f>
        <v/>
      </c>
      <c r="L46" s="293">
        <f>IF(OR($A46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)*100,""))</f>
        <v/>
      </c>
      <c r="M46" s="293">
        <f>IF(OR($A46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)*100,""))</f>
        <v/>
      </c>
      <c r="N46" s="293">
        <f>IF(OR($A46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)*100,""))</f>
        <v/>
      </c>
      <c r="O46" s="317">
        <f>IF(OR($A46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)*100,""))</f>
        <v/>
      </c>
      <c r="P46" s="317">
        <f>IF(OR($A46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)*100,""))</f>
        <v/>
      </c>
      <c r="Q46" s="317">
        <f>IF(OR($A46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)*100,""))</f>
        <v/>
      </c>
      <c r="R46" s="317">
        <f>IF(OR($A46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)*100,""))</f>
        <v/>
      </c>
      <c r="S46" s="317">
        <f>IF(OR($A46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)*100,""))</f>
        <v/>
      </c>
      <c r="T46" s="317">
        <f>IF(OR($A46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)*100,""))</f>
        <v/>
      </c>
      <c r="U46" s="317">
        <f>IF(OR($A46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)*100,""))</f>
        <v/>
      </c>
      <c r="V46" s="317">
        <f>IF(OR($A46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)*100,""))</f>
        <v/>
      </c>
      <c r="W46" s="317">
        <f>IF(OR($A46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)*100,""))</f>
        <v/>
      </c>
      <c r="X46" s="317">
        <f>IF(OR($A46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)*100,""))</f>
        <v/>
      </c>
      <c r="Y46" s="317">
        <f>IF(OR($A46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)*100,""))</f>
        <v/>
      </c>
    </row>
    <row r="47" ht="15" customHeight="1" s="131">
      <c r="A47" s="209">
        <f>IF(DISCIPLINAS!$A30=PARAMETROS!$B$11,DISCIPLINAS!$B30,"")</f>
        <v/>
      </c>
      <c r="B47" s="299">
        <f>IF(OR($A47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)*100,""))</f>
        <v/>
      </c>
      <c r="C47" s="293">
        <f>IF(OR($A47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)*100,""))</f>
        <v/>
      </c>
      <c r="D47" s="293">
        <f>IF(OR($A47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)*100,""))</f>
        <v/>
      </c>
      <c r="E47" s="293">
        <f>IF(OR($A47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)*100,""))</f>
        <v/>
      </c>
      <c r="F47" s="293">
        <f>IF(OR($A47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)*100,""))</f>
        <v/>
      </c>
      <c r="G47" s="293">
        <f>IF(OR($A47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)*100,""))</f>
        <v/>
      </c>
      <c r="H47" s="293">
        <f>IF(OR($A47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)*100,""))</f>
        <v/>
      </c>
      <c r="I47" s="293">
        <f>IF(OR($A47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)*100,""))</f>
        <v/>
      </c>
      <c r="J47" s="293">
        <f>IF(OR($A47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)*100,""))</f>
        <v/>
      </c>
      <c r="K47" s="293">
        <f>IF(OR($A47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)*100,""))</f>
        <v/>
      </c>
      <c r="L47" s="293">
        <f>IF(OR($A47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)*100,""))</f>
        <v/>
      </c>
      <c r="M47" s="293">
        <f>IF(OR($A47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)*100,""))</f>
        <v/>
      </c>
      <c r="N47" s="293">
        <f>IF(OR($A47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)*100,""))</f>
        <v/>
      </c>
      <c r="O47" s="317">
        <f>IF(OR($A47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)*100,""))</f>
        <v/>
      </c>
      <c r="P47" s="317">
        <f>IF(OR($A47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)*100,""))</f>
        <v/>
      </c>
      <c r="Q47" s="317">
        <f>IF(OR($A47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)*100,""))</f>
        <v/>
      </c>
      <c r="R47" s="317">
        <f>IF(OR($A47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)*100,""))</f>
        <v/>
      </c>
      <c r="S47" s="317">
        <f>IF(OR($A47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)*100,""))</f>
        <v/>
      </c>
      <c r="T47" s="317">
        <f>IF(OR($A47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)*100,""))</f>
        <v/>
      </c>
      <c r="U47" s="317">
        <f>IF(OR($A47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)*100,""))</f>
        <v/>
      </c>
      <c r="V47" s="317">
        <f>IF(OR($A47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)*100,""))</f>
        <v/>
      </c>
      <c r="W47" s="317">
        <f>IF(OR($A47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)*100,""))</f>
        <v/>
      </c>
      <c r="X47" s="317">
        <f>IF(OR($A47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)*100,""))</f>
        <v/>
      </c>
      <c r="Y47" s="317">
        <f>IF(OR($A47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)*100,""))</f>
        <v/>
      </c>
    </row>
    <row r="48" ht="15" customHeight="1" s="131">
      <c r="A48" s="209">
        <f>IF(DISCIPLINAS!$A31=PARAMETROS!$B$11,DISCIPLINAS!$B31,"")</f>
        <v/>
      </c>
      <c r="B48" s="299">
        <f>IF(OR($A48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)*100,""))</f>
        <v/>
      </c>
      <c r="C48" s="293">
        <f>IF(OR($A48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)*100,""))</f>
        <v/>
      </c>
      <c r="D48" s="293">
        <f>IF(OR($A48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)*100,""))</f>
        <v/>
      </c>
      <c r="E48" s="293">
        <f>IF(OR($A48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)*100,""))</f>
        <v/>
      </c>
      <c r="F48" s="293">
        <f>IF(OR($A48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)*100,""))</f>
        <v/>
      </c>
      <c r="G48" s="293">
        <f>IF(OR($A48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)*100,""))</f>
        <v/>
      </c>
      <c r="H48" s="293">
        <f>IF(OR($A48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)*100,""))</f>
        <v/>
      </c>
      <c r="I48" s="293">
        <f>IF(OR($A48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)*100,""))</f>
        <v/>
      </c>
      <c r="J48" s="293">
        <f>IF(OR($A48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)*100,""))</f>
        <v/>
      </c>
      <c r="K48" s="293">
        <f>IF(OR($A48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)*100,""))</f>
        <v/>
      </c>
      <c r="L48" s="293">
        <f>IF(OR($A48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)*100,""))</f>
        <v/>
      </c>
      <c r="M48" s="293">
        <f>IF(OR($A48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)*100,""))</f>
        <v/>
      </c>
      <c r="N48" s="293">
        <f>IF(OR($A48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)*100,""))</f>
        <v/>
      </c>
      <c r="O48" s="317">
        <f>IF(OR($A48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)*100,""))</f>
        <v/>
      </c>
      <c r="P48" s="317">
        <f>IF(OR($A48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)*100,""))</f>
        <v/>
      </c>
      <c r="Q48" s="317">
        <f>IF(OR($A48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)*100,""))</f>
        <v/>
      </c>
      <c r="R48" s="317">
        <f>IF(OR($A48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)*100,""))</f>
        <v/>
      </c>
      <c r="S48" s="317">
        <f>IF(OR($A48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)*100,""))</f>
        <v/>
      </c>
      <c r="T48" s="317">
        <f>IF(OR($A48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)*100,""))</f>
        <v/>
      </c>
      <c r="U48" s="317">
        <f>IF(OR($A48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)*100,""))</f>
        <v/>
      </c>
      <c r="V48" s="317">
        <f>IF(OR($A48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)*100,""))</f>
        <v/>
      </c>
      <c r="W48" s="317">
        <f>IF(OR($A48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)*100,""))</f>
        <v/>
      </c>
      <c r="X48" s="317">
        <f>IF(OR($A48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)*100,""))</f>
        <v/>
      </c>
      <c r="Y48" s="317">
        <f>IF(OR($A48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)*100,""))</f>
        <v/>
      </c>
    </row>
    <row r="49" ht="15" customHeight="1" s="131">
      <c r="A49" s="209">
        <f>IF(DISCIPLINAS!$A32=PARAMETROS!$B$11,DISCIPLINAS!$B32,"")</f>
        <v/>
      </c>
      <c r="B49" s="299">
        <f>IF(OR($A49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)*100,""))</f>
        <v/>
      </c>
      <c r="C49" s="293">
        <f>IF(OR($A49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)*100,""))</f>
        <v/>
      </c>
      <c r="D49" s="293">
        <f>IF(OR($A49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)*100,""))</f>
        <v/>
      </c>
      <c r="E49" s="293">
        <f>IF(OR($A49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)*100,""))</f>
        <v/>
      </c>
      <c r="F49" s="293">
        <f>IF(OR($A49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)*100,""))</f>
        <v/>
      </c>
      <c r="G49" s="293">
        <f>IF(OR($A49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)*100,""))</f>
        <v/>
      </c>
      <c r="H49" s="293">
        <f>IF(OR($A49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)*100,""))</f>
        <v/>
      </c>
      <c r="I49" s="293">
        <f>IF(OR($A49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)*100,""))</f>
        <v/>
      </c>
      <c r="J49" s="293">
        <f>IF(OR($A49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)*100,""))</f>
        <v/>
      </c>
      <c r="K49" s="293">
        <f>IF(OR($A49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)*100,""))</f>
        <v/>
      </c>
      <c r="L49" s="293">
        <f>IF(OR($A49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)*100,""))</f>
        <v/>
      </c>
      <c r="M49" s="293">
        <f>IF(OR($A49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)*100,""))</f>
        <v/>
      </c>
      <c r="N49" s="293">
        <f>IF(OR($A49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)*100,""))</f>
        <v/>
      </c>
      <c r="O49" s="317">
        <f>IF(OR($A49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)*100,""))</f>
        <v/>
      </c>
      <c r="P49" s="317">
        <f>IF(OR($A49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)*100,""))</f>
        <v/>
      </c>
      <c r="Q49" s="317">
        <f>IF(OR($A49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)*100,""))</f>
        <v/>
      </c>
      <c r="R49" s="317">
        <f>IF(OR($A49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)*100,""))</f>
        <v/>
      </c>
      <c r="S49" s="317">
        <f>IF(OR($A49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)*100,""))</f>
        <v/>
      </c>
      <c r="T49" s="317">
        <f>IF(OR($A49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)*100,""))</f>
        <v/>
      </c>
      <c r="U49" s="317">
        <f>IF(OR($A49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)*100,""))</f>
        <v/>
      </c>
      <c r="V49" s="317">
        <f>IF(OR($A49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)*100,""))</f>
        <v/>
      </c>
      <c r="W49" s="317">
        <f>IF(OR($A49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)*100,""))</f>
        <v/>
      </c>
      <c r="X49" s="317">
        <f>IF(OR($A49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)*100,""))</f>
        <v/>
      </c>
      <c r="Y49" s="317">
        <f>IF(OR($A49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)*100,""))</f>
        <v/>
      </c>
    </row>
    <row r="50" ht="15" customHeight="1" s="131">
      <c r="A50" s="209">
        <f>IF(DISCIPLINAS!$A33=PARAMETROS!$B$11,DISCIPLINAS!$B33,"")</f>
        <v/>
      </c>
      <c r="B50" s="299">
        <f>IF(OR($A50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)*100,""))</f>
        <v/>
      </c>
      <c r="C50" s="293">
        <f>IF(OR($A50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)*100,""))</f>
        <v/>
      </c>
      <c r="D50" s="293">
        <f>IF(OR($A50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)*100,""))</f>
        <v/>
      </c>
      <c r="E50" s="293">
        <f>IF(OR($A50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)*100,""))</f>
        <v/>
      </c>
      <c r="F50" s="293">
        <f>IF(OR($A50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)*100,""))</f>
        <v/>
      </c>
      <c r="G50" s="293">
        <f>IF(OR($A50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)*100,""))</f>
        <v/>
      </c>
      <c r="H50" s="293">
        <f>IF(OR($A50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)*100,""))</f>
        <v/>
      </c>
      <c r="I50" s="293">
        <f>IF(OR($A50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)*100,""))</f>
        <v/>
      </c>
      <c r="J50" s="293">
        <f>IF(OR($A50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)*100,""))</f>
        <v/>
      </c>
      <c r="K50" s="293">
        <f>IF(OR($A50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)*100,""))</f>
        <v/>
      </c>
      <c r="L50" s="293">
        <f>IF(OR($A50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)*100,""))</f>
        <v/>
      </c>
      <c r="M50" s="293">
        <f>IF(OR($A50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)*100,""))</f>
        <v/>
      </c>
      <c r="N50" s="293">
        <f>IF(OR($A50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)*100,""))</f>
        <v/>
      </c>
      <c r="O50" s="317">
        <f>IF(OR($A50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)*100,""))</f>
        <v/>
      </c>
      <c r="P50" s="317">
        <f>IF(OR($A50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)*100,""))</f>
        <v/>
      </c>
      <c r="Q50" s="317">
        <f>IF(OR($A50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)*100,""))</f>
        <v/>
      </c>
      <c r="R50" s="317">
        <f>IF(OR($A50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)*100,""))</f>
        <v/>
      </c>
      <c r="S50" s="317">
        <f>IF(OR($A50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)*100,""))</f>
        <v/>
      </c>
      <c r="T50" s="317">
        <f>IF(OR($A50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)*100,""))</f>
        <v/>
      </c>
      <c r="U50" s="317">
        <f>IF(OR($A50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)*100,""))</f>
        <v/>
      </c>
      <c r="V50" s="317">
        <f>IF(OR($A50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)*100,""))</f>
        <v/>
      </c>
      <c r="W50" s="317">
        <f>IF(OR($A50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)*100,""))</f>
        <v/>
      </c>
      <c r="X50" s="317">
        <f>IF(OR($A50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)*100,""))</f>
        <v/>
      </c>
      <c r="Y50" s="317">
        <f>IF(OR($A50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)*100,""))</f>
        <v/>
      </c>
    </row>
    <row r="51" ht="15" customHeight="1" s="131">
      <c r="A51" s="209">
        <f>IF(DISCIPLINAS!$A34=PARAMETROS!$B$11,DISCIPLINAS!$B34,"")</f>
        <v/>
      </c>
      <c r="B51" s="299">
        <f>IF(OR($A51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)*100,""))</f>
        <v/>
      </c>
      <c r="C51" s="293">
        <f>IF(OR($A51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)*100,""))</f>
        <v/>
      </c>
      <c r="D51" s="293">
        <f>IF(OR($A51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)*100,""))</f>
        <v/>
      </c>
      <c r="E51" s="293">
        <f>IF(OR($A51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)*100,""))</f>
        <v/>
      </c>
      <c r="F51" s="293">
        <f>IF(OR($A51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)*100,""))</f>
        <v/>
      </c>
      <c r="G51" s="293">
        <f>IF(OR($A51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)*100,""))</f>
        <v/>
      </c>
      <c r="H51" s="293">
        <f>IF(OR($A51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)*100,""))</f>
        <v/>
      </c>
      <c r="I51" s="293">
        <f>IF(OR($A51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)*100,""))</f>
        <v/>
      </c>
      <c r="J51" s="293">
        <f>IF(OR($A51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)*100,""))</f>
        <v/>
      </c>
      <c r="K51" s="293">
        <f>IF(OR($A51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)*100,""))</f>
        <v/>
      </c>
      <c r="L51" s="293">
        <f>IF(OR($A51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)*100,""))</f>
        <v/>
      </c>
      <c r="M51" s="293">
        <f>IF(OR($A51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)*100,""))</f>
        <v/>
      </c>
      <c r="N51" s="293">
        <f>IF(OR($A51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)*100,""))</f>
        <v/>
      </c>
      <c r="O51" s="317">
        <f>IF(OR($A51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)*100,""))</f>
        <v/>
      </c>
      <c r="P51" s="317">
        <f>IF(OR($A51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)*100,""))</f>
        <v/>
      </c>
      <c r="Q51" s="317">
        <f>IF(OR($A51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)*100,""))</f>
        <v/>
      </c>
      <c r="R51" s="317">
        <f>IF(OR($A51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)*100,""))</f>
        <v/>
      </c>
      <c r="S51" s="317">
        <f>IF(OR($A51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)*100,""))</f>
        <v/>
      </c>
      <c r="T51" s="317">
        <f>IF(OR($A51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)*100,""))</f>
        <v/>
      </c>
      <c r="U51" s="317">
        <f>IF(OR($A51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)*100,""))</f>
        <v/>
      </c>
      <c r="V51" s="317">
        <f>IF(OR($A51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)*100,""))</f>
        <v/>
      </c>
      <c r="W51" s="317">
        <f>IF(OR($A51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)*100,""))</f>
        <v/>
      </c>
      <c r="X51" s="317">
        <f>IF(OR($A51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)*100,""))</f>
        <v/>
      </c>
      <c r="Y51" s="317">
        <f>IF(OR($A51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)*100,""))</f>
        <v/>
      </c>
    </row>
    <row r="52" ht="15" customHeight="1" s="131">
      <c r="A52" s="209">
        <f>IF(DISCIPLINAS!$A35=PARAMETROS!$B$11,DISCIPLINAS!$B35,"")</f>
        <v/>
      </c>
      <c r="B52" s="299">
        <f>IF(OR($A52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)*100,""))</f>
        <v/>
      </c>
      <c r="C52" s="293">
        <f>IF(OR($A52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)*100,""))</f>
        <v/>
      </c>
      <c r="D52" s="293">
        <f>IF(OR($A52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)*100,""))</f>
        <v/>
      </c>
      <c r="E52" s="293">
        <f>IF(OR($A52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)*100,""))</f>
        <v/>
      </c>
      <c r="F52" s="293">
        <f>IF(OR($A52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)*100,""))</f>
        <v/>
      </c>
      <c r="G52" s="293">
        <f>IF(OR($A52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)*100,""))</f>
        <v/>
      </c>
      <c r="H52" s="293">
        <f>IF(OR($A52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)*100,""))</f>
        <v/>
      </c>
      <c r="I52" s="293">
        <f>IF(OR($A52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)*100,""))</f>
        <v/>
      </c>
      <c r="J52" s="293">
        <f>IF(OR($A52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)*100,""))</f>
        <v/>
      </c>
      <c r="K52" s="293">
        <f>IF(OR($A52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)*100,""))</f>
        <v/>
      </c>
      <c r="L52" s="293">
        <f>IF(OR($A52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)*100,""))</f>
        <v/>
      </c>
      <c r="M52" s="293">
        <f>IF(OR($A52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)*100,""))</f>
        <v/>
      </c>
      <c r="N52" s="293">
        <f>IF(OR($A52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)*100,""))</f>
        <v/>
      </c>
      <c r="O52" s="317">
        <f>IF(OR($A52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)*100,""))</f>
        <v/>
      </c>
      <c r="P52" s="317">
        <f>IF(OR($A52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)*100,""))</f>
        <v/>
      </c>
      <c r="Q52" s="317">
        <f>IF(OR($A52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)*100,""))</f>
        <v/>
      </c>
      <c r="R52" s="317">
        <f>IF(OR($A52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)*100,""))</f>
        <v/>
      </c>
      <c r="S52" s="317">
        <f>IF(OR($A52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)*100,""))</f>
        <v/>
      </c>
      <c r="T52" s="317">
        <f>IF(OR($A52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)*100,""))</f>
        <v/>
      </c>
      <c r="U52" s="317">
        <f>IF(OR($A52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)*100,""))</f>
        <v/>
      </c>
      <c r="V52" s="317">
        <f>IF(OR($A52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)*100,""))</f>
        <v/>
      </c>
      <c r="W52" s="317">
        <f>IF(OR($A52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)*100,""))</f>
        <v/>
      </c>
      <c r="X52" s="317">
        <f>IF(OR($A52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)*100,""))</f>
        <v/>
      </c>
      <c r="Y52" s="317">
        <f>IF(OR($A52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)*100,""))</f>
        <v/>
      </c>
    </row>
    <row r="53" ht="15" customHeight="1" s="131">
      <c r="A53" s="140">
        <f>IF(DISCIPLINAS!$A36=PARAMETROS!$B$11,DISCIPLINAS!$B36,"")</f>
        <v/>
      </c>
      <c r="B53" s="317">
        <f>IF(OR($A53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)*100,""))</f>
        <v/>
      </c>
      <c r="C53" s="317">
        <f>IF(OR($A53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)*100,""))</f>
        <v/>
      </c>
      <c r="D53" s="317">
        <f>IF(OR($A53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)*100,""))</f>
        <v/>
      </c>
      <c r="E53" s="317">
        <f>IF(OR($A53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)*100,""))</f>
        <v/>
      </c>
      <c r="F53" s="317">
        <f>IF(OR($A53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)*100,""))</f>
        <v/>
      </c>
      <c r="G53" s="317">
        <f>IF(OR($A53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)*100,""))</f>
        <v/>
      </c>
      <c r="H53" s="317">
        <f>IF(OR($A53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)*100,""))</f>
        <v/>
      </c>
      <c r="I53" s="317">
        <f>IF(OR($A53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)*100,""))</f>
        <v/>
      </c>
      <c r="J53" s="317">
        <f>IF(OR($A53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)*100,""))</f>
        <v/>
      </c>
      <c r="K53" s="317">
        <f>IF(OR($A53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)*100,""))</f>
        <v/>
      </c>
      <c r="L53" s="317">
        <f>IF(OR($A53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)*100,""))</f>
        <v/>
      </c>
      <c r="M53" s="317">
        <f>IF(OR($A53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)*100,""))</f>
        <v/>
      </c>
      <c r="N53" s="317">
        <f>IF(OR($A53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)*100,""))</f>
        <v/>
      </c>
      <c r="O53" s="317">
        <f>IF(OR($A53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)*100,""))</f>
        <v/>
      </c>
      <c r="P53" s="317">
        <f>IF(OR($A53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)*100,""))</f>
        <v/>
      </c>
      <c r="Q53" s="317">
        <f>IF(OR($A53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)*100,""))</f>
        <v/>
      </c>
      <c r="R53" s="317">
        <f>IF(OR($A53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)*100,""))</f>
        <v/>
      </c>
      <c r="S53" s="317">
        <f>IF(OR($A53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)*100,""))</f>
        <v/>
      </c>
      <c r="T53" s="317">
        <f>IF(OR($A53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)*100,""))</f>
        <v/>
      </c>
      <c r="U53" s="317">
        <f>IF(OR($A53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)*100,""))</f>
        <v/>
      </c>
      <c r="V53" s="317">
        <f>IF(OR($A53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)*100,""))</f>
        <v/>
      </c>
      <c r="W53" s="317">
        <f>IF(OR($A53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)*100,""))</f>
        <v/>
      </c>
      <c r="X53" s="317">
        <f>IF(OR($A53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)*100,""))</f>
        <v/>
      </c>
      <c r="Y53" s="317">
        <f>IF(OR($A53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)*100,""))</f>
        <v/>
      </c>
    </row>
    <row r="54">
      <c r="A54">
        <f>IF(DISCIPLINAS!$A37=PARAMETROS!$B$11,DISCIPLINAS!$B37,"")</f>
        <v/>
      </c>
      <c r="B54" s="317">
        <f>IF(OR($A54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)*100,""))</f>
        <v/>
      </c>
      <c r="C54" s="317">
        <f>IF(OR($A54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)*100,""))</f>
        <v/>
      </c>
      <c r="D54" s="317">
        <f>IF(OR($A54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)*100,""))</f>
        <v/>
      </c>
      <c r="E54" s="317">
        <f>IF(OR($A54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)*100,""))</f>
        <v/>
      </c>
      <c r="F54" s="317">
        <f>IF(OR($A54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)*100,""))</f>
        <v/>
      </c>
      <c r="G54" s="317">
        <f>IF(OR($A54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)*100,""))</f>
        <v/>
      </c>
      <c r="H54" s="317">
        <f>IF(OR($A54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)*100,""))</f>
        <v/>
      </c>
      <c r="I54" s="317">
        <f>IF(OR($A54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)*100,""))</f>
        <v/>
      </c>
      <c r="J54" s="317">
        <f>IF(OR($A54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)*100,""))</f>
        <v/>
      </c>
      <c r="K54" s="317">
        <f>IF(OR($A54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)*100,""))</f>
        <v/>
      </c>
      <c r="L54" s="317">
        <f>IF(OR($A54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)*100,""))</f>
        <v/>
      </c>
      <c r="M54" s="317">
        <f>IF(OR($A54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)*100,""))</f>
        <v/>
      </c>
      <c r="N54" s="317">
        <f>IF(OR($A54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)*100,""))</f>
        <v/>
      </c>
      <c r="O54" s="317">
        <f>IF(OR($A54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)*100,""))</f>
        <v/>
      </c>
      <c r="P54" s="317">
        <f>IF(OR($A54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)*100,""))</f>
        <v/>
      </c>
      <c r="Q54" s="317">
        <f>IF(OR($A54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)*100,""))</f>
        <v/>
      </c>
      <c r="R54" s="317">
        <f>IF(OR($A54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)*100,""))</f>
        <v/>
      </c>
      <c r="S54" s="317">
        <f>IF(OR($A54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)*100,""))</f>
        <v/>
      </c>
      <c r="T54" s="317">
        <f>IF(OR($A54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)*100,""))</f>
        <v/>
      </c>
      <c r="U54" s="317">
        <f>IF(OR($A54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)*100,""))</f>
        <v/>
      </c>
      <c r="V54" s="317">
        <f>IF(OR($A54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)*100,""))</f>
        <v/>
      </c>
      <c r="W54" s="317">
        <f>IF(OR($A54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)*100,""))</f>
        <v/>
      </c>
      <c r="X54" s="317">
        <f>IF(OR($A54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)*100,""))</f>
        <v/>
      </c>
      <c r="Y54" s="317">
        <f>IF(OR($A54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)*100,""))</f>
        <v/>
      </c>
    </row>
    <row r="55">
      <c r="A55">
        <f>IF(DISCIPLINAS!$A38=PARAMETROS!$B$11,DISCIPLINAS!$B38,"")</f>
        <v/>
      </c>
      <c r="B55" s="317">
        <f>IF(OR($A55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)*100,""))</f>
        <v/>
      </c>
      <c r="C55" s="317">
        <f>IF(OR($A55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)*100,""))</f>
        <v/>
      </c>
      <c r="D55" s="317">
        <f>IF(OR($A55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)*100,""))</f>
        <v/>
      </c>
      <c r="E55" s="317">
        <f>IF(OR($A55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)*100,""))</f>
        <v/>
      </c>
      <c r="F55" s="317">
        <f>IF(OR($A55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)*100,""))</f>
        <v/>
      </c>
      <c r="G55" s="317">
        <f>IF(OR($A55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)*100,""))</f>
        <v/>
      </c>
      <c r="H55" s="317">
        <f>IF(OR($A55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)*100,""))</f>
        <v/>
      </c>
      <c r="I55" s="317">
        <f>IF(OR($A55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)*100,""))</f>
        <v/>
      </c>
      <c r="J55" s="317">
        <f>IF(OR($A55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)*100,""))</f>
        <v/>
      </c>
      <c r="K55" s="317">
        <f>IF(OR($A55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)*100,""))</f>
        <v/>
      </c>
      <c r="L55" s="317">
        <f>IF(OR($A55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)*100,""))</f>
        <v/>
      </c>
      <c r="M55" s="317">
        <f>IF(OR($A55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)*100,""))</f>
        <v/>
      </c>
      <c r="N55" s="317">
        <f>IF(OR($A55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)*100,""))</f>
        <v/>
      </c>
      <c r="O55" s="317">
        <f>IF(OR($A55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)*100,""))</f>
        <v/>
      </c>
      <c r="P55" s="317">
        <f>IF(OR($A55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)*100,""))</f>
        <v/>
      </c>
      <c r="Q55" s="317">
        <f>IF(OR($A55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)*100,""))</f>
        <v/>
      </c>
      <c r="R55" s="317">
        <f>IF(OR($A55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)*100,""))</f>
        <v/>
      </c>
      <c r="S55" s="317">
        <f>IF(OR($A55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)*100,""))</f>
        <v/>
      </c>
      <c r="T55" s="317">
        <f>IF(OR($A55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)*100,""))</f>
        <v/>
      </c>
      <c r="U55" s="317">
        <f>IF(OR($A55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)*100,""))</f>
        <v/>
      </c>
      <c r="V55" s="317">
        <f>IF(OR($A55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)*100,""))</f>
        <v/>
      </c>
      <c r="W55" s="317">
        <f>IF(OR($A55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)*100,""))</f>
        <v/>
      </c>
      <c r="X55" s="317">
        <f>IF(OR($A55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)*100,""))</f>
        <v/>
      </c>
      <c r="Y55" s="317">
        <f>IF(OR($A55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)*100,""))</f>
        <v/>
      </c>
    </row>
    <row r="56">
      <c r="A56">
        <f>IF(DISCIPLINAS!$A39=PARAMETROS!$B$11,DISCIPLINAS!$B39,"")</f>
        <v/>
      </c>
      <c r="B56" s="317">
        <f>IF(OR($A56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)*100,""))</f>
        <v/>
      </c>
      <c r="C56" s="317">
        <f>IF(OR($A56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)*100,""))</f>
        <v/>
      </c>
      <c r="D56" s="317">
        <f>IF(OR($A56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)*100,""))</f>
        <v/>
      </c>
      <c r="E56" s="317">
        <f>IF(OR($A56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)*100,""))</f>
        <v/>
      </c>
      <c r="F56" s="317">
        <f>IF(OR($A56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)*100,""))</f>
        <v/>
      </c>
      <c r="G56" s="317">
        <f>IF(OR($A56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)*100,""))</f>
        <v/>
      </c>
      <c r="H56" s="317">
        <f>IF(OR($A56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)*100,""))</f>
        <v/>
      </c>
      <c r="I56" s="317">
        <f>IF(OR($A56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)*100,""))</f>
        <v/>
      </c>
      <c r="J56" s="317">
        <f>IF(OR($A56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)*100,""))</f>
        <v/>
      </c>
      <c r="K56" s="317">
        <f>IF(OR($A56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)*100,""))</f>
        <v/>
      </c>
      <c r="L56" s="317">
        <f>IF(OR($A56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)*100,""))</f>
        <v/>
      </c>
      <c r="M56" s="317">
        <f>IF(OR($A56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)*100,""))</f>
        <v/>
      </c>
      <c r="N56" s="317">
        <f>IF(OR($A56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)*100,""))</f>
        <v/>
      </c>
      <c r="O56" s="317">
        <f>IF(OR($A56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)*100,""))</f>
        <v/>
      </c>
      <c r="P56" s="317">
        <f>IF(OR($A56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)*100,""))</f>
        <v/>
      </c>
      <c r="Q56" s="317">
        <f>IF(OR($A56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)*100,""))</f>
        <v/>
      </c>
      <c r="R56" s="317">
        <f>IF(OR($A56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)*100,""))</f>
        <v/>
      </c>
      <c r="S56" s="317">
        <f>IF(OR($A56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)*100,""))</f>
        <v/>
      </c>
      <c r="T56" s="317">
        <f>IF(OR($A56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)*100,""))</f>
        <v/>
      </c>
      <c r="U56" s="317">
        <f>IF(OR($A56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)*100,""))</f>
        <v/>
      </c>
      <c r="V56" s="317">
        <f>IF(OR($A56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)*100,""))</f>
        <v/>
      </c>
      <c r="W56" s="317">
        <f>IF(OR($A56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)*100,""))</f>
        <v/>
      </c>
      <c r="X56" s="317">
        <f>IF(OR($A56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)*100,""))</f>
        <v/>
      </c>
      <c r="Y56" s="317">
        <f>IF(OR($A56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)*100,""))</f>
        <v/>
      </c>
    </row>
    <row r="57">
      <c r="A57">
        <f>IF(DISCIPLINAS!$A40=PARAMETROS!$B$11,DISCIPLINAS!$B40,"")</f>
        <v/>
      </c>
      <c r="B57" s="317">
        <f>IF(OR($A57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)*100,""))</f>
        <v/>
      </c>
      <c r="C57" s="317">
        <f>IF(OR($A57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)*100,""))</f>
        <v/>
      </c>
      <c r="D57" s="317">
        <f>IF(OR($A57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)*100,""))</f>
        <v/>
      </c>
      <c r="E57" s="317">
        <f>IF(OR($A57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)*100,""))</f>
        <v/>
      </c>
      <c r="F57" s="317">
        <f>IF(OR($A57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)*100,""))</f>
        <v/>
      </c>
      <c r="G57" s="317">
        <f>IF(OR($A57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)*100,""))</f>
        <v/>
      </c>
      <c r="H57" s="317">
        <f>IF(OR($A57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)*100,""))</f>
        <v/>
      </c>
      <c r="I57" s="317">
        <f>IF(OR($A57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)*100,""))</f>
        <v/>
      </c>
      <c r="J57" s="317">
        <f>IF(OR($A57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)*100,""))</f>
        <v/>
      </c>
      <c r="K57" s="317">
        <f>IF(OR($A57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)*100,""))</f>
        <v/>
      </c>
      <c r="L57" s="317">
        <f>IF(OR($A57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)*100,""))</f>
        <v/>
      </c>
      <c r="M57" s="317">
        <f>IF(OR($A57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)*100,""))</f>
        <v/>
      </c>
      <c r="N57" s="317">
        <f>IF(OR($A57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)*100,""))</f>
        <v/>
      </c>
      <c r="O57" s="317">
        <f>IF(OR($A57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)*100,""))</f>
        <v/>
      </c>
      <c r="P57" s="317">
        <f>IF(OR($A57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)*100,""))</f>
        <v/>
      </c>
      <c r="Q57" s="317">
        <f>IF(OR($A57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)*100,""))</f>
        <v/>
      </c>
      <c r="R57" s="317">
        <f>IF(OR($A57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)*100,""))</f>
        <v/>
      </c>
      <c r="S57" s="317">
        <f>IF(OR($A57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)*100,""))</f>
        <v/>
      </c>
      <c r="T57" s="317">
        <f>IF(OR($A57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)*100,""))</f>
        <v/>
      </c>
      <c r="U57" s="317">
        <f>IF(OR($A57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)*100,""))</f>
        <v/>
      </c>
      <c r="V57" s="317">
        <f>IF(OR($A57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)*100,""))</f>
        <v/>
      </c>
      <c r="W57" s="317">
        <f>IF(OR($A57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)*100,""))</f>
        <v/>
      </c>
      <c r="X57" s="317">
        <f>IF(OR($A57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)*100,""))</f>
        <v/>
      </c>
      <c r="Y57" s="317">
        <f>IF(OR($A57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)*100,""))</f>
        <v/>
      </c>
    </row>
    <row r="58">
      <c r="A58">
        <f>IF(DISCIPLINAS!$A41=PARAMETROS!$B$11,DISCIPLINAS!$B41,"")</f>
        <v/>
      </c>
      <c r="B58" s="317">
        <f>IF(OR($A58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)*100,""))</f>
        <v/>
      </c>
      <c r="C58" s="317">
        <f>IF(OR($A58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)*100,""))</f>
        <v/>
      </c>
      <c r="D58" s="317">
        <f>IF(OR($A58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)*100,""))</f>
        <v/>
      </c>
      <c r="E58" s="317">
        <f>IF(OR($A58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)*100,""))</f>
        <v/>
      </c>
      <c r="F58" s="317">
        <f>IF(OR($A58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)*100,""))</f>
        <v/>
      </c>
      <c r="G58" s="317">
        <f>IF(OR($A58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)*100,""))</f>
        <v/>
      </c>
      <c r="H58" s="317">
        <f>IF(OR($A58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)*100,""))</f>
        <v/>
      </c>
      <c r="I58" s="317">
        <f>IF(OR($A58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)*100,""))</f>
        <v/>
      </c>
      <c r="J58" s="317">
        <f>IF(OR($A58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)*100,""))</f>
        <v/>
      </c>
      <c r="K58" s="317">
        <f>IF(OR($A58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)*100,""))</f>
        <v/>
      </c>
      <c r="L58" s="317">
        <f>IF(OR($A58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)*100,""))</f>
        <v/>
      </c>
      <c r="M58" s="317">
        <f>IF(OR($A58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)*100,""))</f>
        <v/>
      </c>
      <c r="N58" s="317">
        <f>IF(OR($A58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)*100,""))</f>
        <v/>
      </c>
      <c r="O58" s="317">
        <f>IF(OR($A58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)*100,""))</f>
        <v/>
      </c>
      <c r="P58" s="317">
        <f>IF(OR($A58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)*100,""))</f>
        <v/>
      </c>
      <c r="Q58" s="317">
        <f>IF(OR($A58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)*100,""))</f>
        <v/>
      </c>
      <c r="R58" s="317">
        <f>IF(OR($A58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)*100,""))</f>
        <v/>
      </c>
      <c r="S58" s="317">
        <f>IF(OR($A58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)*100,""))</f>
        <v/>
      </c>
      <c r="T58" s="317">
        <f>IF(OR($A58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)*100,""))</f>
        <v/>
      </c>
      <c r="U58" s="317">
        <f>IF(OR($A58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)*100,""))</f>
        <v/>
      </c>
      <c r="V58" s="317">
        <f>IF(OR($A58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)*100,""))</f>
        <v/>
      </c>
      <c r="W58" s="317">
        <f>IF(OR($A58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)*100,""))</f>
        <v/>
      </c>
      <c r="X58" s="317">
        <f>IF(OR($A58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)*100,""))</f>
        <v/>
      </c>
      <c r="Y58" s="317">
        <f>IF(OR($A58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)*100,""))</f>
        <v/>
      </c>
    </row>
    <row r="59">
      <c r="A59">
        <f>IF(DISCIPLINAS!$A42=PARAMETROS!$B$11,DISCIPLINAS!$B42,"")</f>
        <v/>
      </c>
      <c r="B59" s="317">
        <f>IF(OR($A59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)*100,""))</f>
        <v/>
      </c>
      <c r="C59" s="317">
        <f>IF(OR($A59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)*100,""))</f>
        <v/>
      </c>
      <c r="D59" s="317">
        <f>IF(OR($A59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)*100,""))</f>
        <v/>
      </c>
      <c r="E59" s="317">
        <f>IF(OR($A59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)*100,""))</f>
        <v/>
      </c>
      <c r="F59" s="317">
        <f>IF(OR($A59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)*100,""))</f>
        <v/>
      </c>
      <c r="G59" s="317">
        <f>IF(OR($A59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)*100,""))</f>
        <v/>
      </c>
      <c r="H59" s="317">
        <f>IF(OR($A59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)*100,""))</f>
        <v/>
      </c>
      <c r="I59" s="317">
        <f>IF(OR($A59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)*100,""))</f>
        <v/>
      </c>
      <c r="J59" s="317">
        <f>IF(OR($A59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)*100,""))</f>
        <v/>
      </c>
      <c r="K59" s="317">
        <f>IF(OR($A59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)*100,""))</f>
        <v/>
      </c>
      <c r="L59" s="317">
        <f>IF(OR($A59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)*100,""))</f>
        <v/>
      </c>
      <c r="M59" s="317">
        <f>IF(OR($A59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)*100,""))</f>
        <v/>
      </c>
      <c r="N59" s="317">
        <f>IF(OR($A59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)*100,""))</f>
        <v/>
      </c>
      <c r="O59" s="317">
        <f>IF(OR($A59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)*100,""))</f>
        <v/>
      </c>
      <c r="P59" s="317">
        <f>IF(OR($A59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)*100,""))</f>
        <v/>
      </c>
      <c r="Q59" s="317">
        <f>IF(OR($A59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)*100,""))</f>
        <v/>
      </c>
      <c r="R59" s="317">
        <f>IF(OR($A59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)*100,""))</f>
        <v/>
      </c>
      <c r="S59" s="317">
        <f>IF(OR($A59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)*100,""))</f>
        <v/>
      </c>
      <c r="T59" s="317">
        <f>IF(OR($A59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)*100,""))</f>
        <v/>
      </c>
      <c r="U59" s="317">
        <f>IF(OR($A59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)*100,""))</f>
        <v/>
      </c>
      <c r="V59" s="317">
        <f>IF(OR($A59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)*100,""))</f>
        <v/>
      </c>
      <c r="W59" s="317">
        <f>IF(OR($A59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)*100,""))</f>
        <v/>
      </c>
      <c r="X59" s="317">
        <f>IF(OR($A59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)*100,""))</f>
        <v/>
      </c>
      <c r="Y59" s="317">
        <f>IF(OR($A59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)*100,""))</f>
        <v/>
      </c>
    </row>
    <row r="60">
      <c r="A60">
        <f>IF(DISCIPLINAS!$A43=PARAMETROS!$B$11,DISCIPLINAS!$B43,"")</f>
        <v/>
      </c>
      <c r="B60" s="317">
        <f>IF(OR($A60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)*100,""))</f>
        <v/>
      </c>
      <c r="C60" s="317">
        <f>IF(OR($A60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)*100,""))</f>
        <v/>
      </c>
      <c r="D60" s="317">
        <f>IF(OR($A60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)*100,""))</f>
        <v/>
      </c>
      <c r="E60" s="317">
        <f>IF(OR($A60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)*100,""))</f>
        <v/>
      </c>
      <c r="F60" s="317">
        <f>IF(OR($A60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)*100,""))</f>
        <v/>
      </c>
      <c r="G60" s="317">
        <f>IF(OR($A60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)*100,""))</f>
        <v/>
      </c>
      <c r="H60" s="317">
        <f>IF(OR($A60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)*100,""))</f>
        <v/>
      </c>
      <c r="I60" s="317">
        <f>IF(OR($A60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)*100,""))</f>
        <v/>
      </c>
      <c r="J60" s="317">
        <f>IF(OR($A60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)*100,""))</f>
        <v/>
      </c>
      <c r="K60" s="317">
        <f>IF(OR($A60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)*100,""))</f>
        <v/>
      </c>
      <c r="L60" s="317">
        <f>IF(OR($A60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)*100,""))</f>
        <v/>
      </c>
      <c r="M60" s="317">
        <f>IF(OR($A60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)*100,""))</f>
        <v/>
      </c>
      <c r="N60" s="317">
        <f>IF(OR($A60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)*100,""))</f>
        <v/>
      </c>
      <c r="O60" s="317">
        <f>IF(OR($A60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)*100,""))</f>
        <v/>
      </c>
      <c r="P60" s="317">
        <f>IF(OR($A60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)*100,""))</f>
        <v/>
      </c>
      <c r="Q60" s="317">
        <f>IF(OR($A60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)*100,""))</f>
        <v/>
      </c>
      <c r="R60" s="317">
        <f>IF(OR($A60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)*100,""))</f>
        <v/>
      </c>
      <c r="S60" s="317">
        <f>IF(OR($A60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)*100,""))</f>
        <v/>
      </c>
      <c r="T60" s="317">
        <f>IF(OR($A60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)*100,""))</f>
        <v/>
      </c>
      <c r="U60" s="317">
        <f>IF(OR($A60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)*100,""))</f>
        <v/>
      </c>
      <c r="V60" s="317">
        <f>IF(OR($A60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)*100,""))</f>
        <v/>
      </c>
      <c r="W60" s="317">
        <f>IF(OR($A60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)*100,""))</f>
        <v/>
      </c>
      <c r="X60" s="317">
        <f>IF(OR($A60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)*100,""))</f>
        <v/>
      </c>
      <c r="Y60" s="317">
        <f>IF(OR($A60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)*100,""))</f>
        <v/>
      </c>
    </row>
    <row r="61">
      <c r="A61">
        <f>IF(DISCIPLINAS!$A44=PARAMETROS!$B$11,DISCIPLINAS!$B44,"")</f>
        <v/>
      </c>
      <c r="B61" s="317">
        <f>IF(OR($A61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)*100,""))</f>
        <v/>
      </c>
      <c r="C61" s="317">
        <f>IF(OR($A61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)*100,""))</f>
        <v/>
      </c>
      <c r="D61" s="317">
        <f>IF(OR($A61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)*100,""))</f>
        <v/>
      </c>
      <c r="E61" s="317">
        <f>IF(OR($A61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)*100,""))</f>
        <v/>
      </c>
      <c r="F61" s="317">
        <f>IF(OR($A61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)*100,""))</f>
        <v/>
      </c>
      <c r="G61" s="317">
        <f>IF(OR($A61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)*100,""))</f>
        <v/>
      </c>
      <c r="H61" s="317">
        <f>IF(OR($A61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)*100,""))</f>
        <v/>
      </c>
      <c r="I61" s="317">
        <f>IF(OR($A61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)*100,""))</f>
        <v/>
      </c>
      <c r="J61" s="317">
        <f>IF(OR($A61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)*100,""))</f>
        <v/>
      </c>
      <c r="K61" s="317">
        <f>IF(OR($A61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)*100,""))</f>
        <v/>
      </c>
      <c r="L61" s="317">
        <f>IF(OR($A61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)*100,""))</f>
        <v/>
      </c>
      <c r="M61" s="317">
        <f>IF(OR($A61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)*100,""))</f>
        <v/>
      </c>
      <c r="N61" s="317">
        <f>IF(OR($A61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)*100,""))</f>
        <v/>
      </c>
      <c r="O61" s="317">
        <f>IF(OR($A61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)*100,""))</f>
        <v/>
      </c>
      <c r="P61" s="317">
        <f>IF(OR($A61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)*100,""))</f>
        <v/>
      </c>
      <c r="Q61" s="317">
        <f>IF(OR($A61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)*100,""))</f>
        <v/>
      </c>
      <c r="R61" s="317">
        <f>IF(OR($A61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)*100,""))</f>
        <v/>
      </c>
      <c r="S61" s="317">
        <f>IF(OR($A61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)*100,""))</f>
        <v/>
      </c>
      <c r="T61" s="317">
        <f>IF(OR($A61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)*100,""))</f>
        <v/>
      </c>
      <c r="U61" s="317">
        <f>IF(OR($A61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)*100,""))</f>
        <v/>
      </c>
      <c r="V61" s="317">
        <f>IF(OR($A61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)*100,""))</f>
        <v/>
      </c>
      <c r="W61" s="317">
        <f>IF(OR($A61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)*100,""))</f>
        <v/>
      </c>
      <c r="X61" s="317">
        <f>IF(OR($A61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)*100,""))</f>
        <v/>
      </c>
      <c r="Y61" s="317">
        <f>IF(OR($A61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)*100,""))</f>
        <v/>
      </c>
    </row>
    <row r="62">
      <c r="A62">
        <f>IF(DISCIPLINAS!$A45=PARAMETROS!$B$11,DISCIPLINAS!$B45,"")</f>
        <v/>
      </c>
      <c r="B62" s="317">
        <f>IF(OR($A62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)*100,""))</f>
        <v/>
      </c>
      <c r="C62" s="317">
        <f>IF(OR($A62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)*100,""))</f>
        <v/>
      </c>
      <c r="D62" s="317">
        <f>IF(OR($A62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)*100,""))</f>
        <v/>
      </c>
      <c r="E62" s="317">
        <f>IF(OR($A62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)*100,""))</f>
        <v/>
      </c>
      <c r="F62" s="317">
        <f>IF(OR($A62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)*100,""))</f>
        <v/>
      </c>
      <c r="G62" s="317">
        <f>IF(OR($A62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)*100,""))</f>
        <v/>
      </c>
      <c r="H62" s="317">
        <f>IF(OR($A62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)*100,""))</f>
        <v/>
      </c>
      <c r="I62" s="317">
        <f>IF(OR($A62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)*100,""))</f>
        <v/>
      </c>
      <c r="J62" s="317">
        <f>IF(OR($A62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)*100,""))</f>
        <v/>
      </c>
      <c r="K62" s="317">
        <f>IF(OR($A62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)*100,""))</f>
        <v/>
      </c>
      <c r="L62" s="317">
        <f>IF(OR($A62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)*100,""))</f>
        <v/>
      </c>
      <c r="M62" s="317">
        <f>IF(OR($A62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)*100,""))</f>
        <v/>
      </c>
      <c r="N62" s="317">
        <f>IF(OR($A62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)*100,""))</f>
        <v/>
      </c>
      <c r="O62" s="317">
        <f>IF(OR($A62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)*100,""))</f>
        <v/>
      </c>
      <c r="P62" s="317">
        <f>IF(OR($A62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)*100,""))</f>
        <v/>
      </c>
      <c r="Q62" s="317">
        <f>IF(OR($A62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)*100,""))</f>
        <v/>
      </c>
      <c r="R62" s="317">
        <f>IF(OR($A62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)*100,""))</f>
        <v/>
      </c>
      <c r="S62" s="317">
        <f>IF(OR($A62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)*100,""))</f>
        <v/>
      </c>
      <c r="T62" s="317">
        <f>IF(OR($A62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)*100,""))</f>
        <v/>
      </c>
      <c r="U62" s="317">
        <f>IF(OR($A62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)*100,""))</f>
        <v/>
      </c>
      <c r="V62" s="317">
        <f>IF(OR($A62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)*100,""))</f>
        <v/>
      </c>
      <c r="W62" s="317">
        <f>IF(OR($A62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)*100,""))</f>
        <v/>
      </c>
      <c r="X62" s="317">
        <f>IF(OR($A62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)*100,""))</f>
        <v/>
      </c>
      <c r="Y62" s="317">
        <f>IF(OR($A62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)*100,""))</f>
        <v/>
      </c>
    </row>
    <row r="63">
      <c r="A63">
        <f>IF(DISCIPLINAS!$A46=PARAMETROS!$B$11,DISCIPLINAS!$B46,"")</f>
        <v/>
      </c>
      <c r="B63" s="317">
        <f>IF(OR($A63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)*100,""))</f>
        <v/>
      </c>
      <c r="C63" s="317">
        <f>IF(OR($A63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)*100,""))</f>
        <v/>
      </c>
      <c r="D63" s="317">
        <f>IF(OR($A63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)*100,""))</f>
        <v/>
      </c>
      <c r="E63" s="317">
        <f>IF(OR($A63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)*100,""))</f>
        <v/>
      </c>
      <c r="F63" s="317">
        <f>IF(OR($A63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)*100,""))</f>
        <v/>
      </c>
      <c r="G63" s="317">
        <f>IF(OR($A63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)*100,""))</f>
        <v/>
      </c>
      <c r="H63" s="317">
        <f>IF(OR($A63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)*100,""))</f>
        <v/>
      </c>
      <c r="I63" s="317">
        <f>IF(OR($A63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)*100,""))</f>
        <v/>
      </c>
      <c r="J63" s="317">
        <f>IF(OR($A63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)*100,""))</f>
        <v/>
      </c>
      <c r="K63" s="317">
        <f>IF(OR($A63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)*100,""))</f>
        <v/>
      </c>
      <c r="L63" s="317">
        <f>IF(OR($A63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)*100,""))</f>
        <v/>
      </c>
      <c r="M63" s="317">
        <f>IF(OR($A63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)*100,""))</f>
        <v/>
      </c>
      <c r="N63" s="317">
        <f>IF(OR($A63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)*100,""))</f>
        <v/>
      </c>
      <c r="O63" s="317">
        <f>IF(OR($A63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)*100,""))</f>
        <v/>
      </c>
      <c r="P63" s="317">
        <f>IF(OR($A63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)*100,""))</f>
        <v/>
      </c>
      <c r="Q63" s="317">
        <f>IF(OR($A63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)*100,""))</f>
        <v/>
      </c>
      <c r="R63" s="317">
        <f>IF(OR($A63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)*100,""))</f>
        <v/>
      </c>
      <c r="S63" s="317">
        <f>IF(OR($A63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)*100,""))</f>
        <v/>
      </c>
      <c r="T63" s="317">
        <f>IF(OR($A63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)*100,""))</f>
        <v/>
      </c>
      <c r="U63" s="317">
        <f>IF(OR($A63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)*100,""))</f>
        <v/>
      </c>
      <c r="V63" s="317">
        <f>IF(OR($A63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)*100,""))</f>
        <v/>
      </c>
      <c r="W63" s="317">
        <f>IF(OR($A63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)*100,""))</f>
        <v/>
      </c>
      <c r="X63" s="317">
        <f>IF(OR($A63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)*100,""))</f>
        <v/>
      </c>
      <c r="Y63" s="317">
        <f>IF(OR($A63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)*100,""))</f>
        <v/>
      </c>
    </row>
    <row r="64">
      <c r="A64">
        <f>IF(DISCIPLINAS!$A47=PARAMETROS!$B$11,DISCIPLINAS!$B47,"")</f>
        <v/>
      </c>
      <c r="B64" s="317">
        <f>IF(OR($A64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)*100,""))</f>
        <v/>
      </c>
      <c r="C64" s="317">
        <f>IF(OR($A64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)*100,""))</f>
        <v/>
      </c>
      <c r="D64" s="317">
        <f>IF(OR($A64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)*100,""))</f>
        <v/>
      </c>
      <c r="E64" s="317">
        <f>IF(OR($A64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)*100,""))</f>
        <v/>
      </c>
      <c r="F64" s="317">
        <f>IF(OR($A64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)*100,""))</f>
        <v/>
      </c>
      <c r="G64" s="317">
        <f>IF(OR($A64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)*100,""))</f>
        <v/>
      </c>
      <c r="H64" s="317">
        <f>IF(OR($A64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)*100,""))</f>
        <v/>
      </c>
      <c r="I64" s="317">
        <f>IF(OR($A64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)*100,""))</f>
        <v/>
      </c>
      <c r="J64" s="317">
        <f>IF(OR($A64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)*100,""))</f>
        <v/>
      </c>
      <c r="K64" s="317">
        <f>IF(OR($A64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)*100,""))</f>
        <v/>
      </c>
      <c r="L64" s="317">
        <f>IF(OR($A64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)*100,""))</f>
        <v/>
      </c>
      <c r="M64" s="317">
        <f>IF(OR($A64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)*100,""))</f>
        <v/>
      </c>
      <c r="N64" s="317">
        <f>IF(OR($A64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)*100,""))</f>
        <v/>
      </c>
      <c r="O64" s="317">
        <f>IF(OR($A64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)*100,""))</f>
        <v/>
      </c>
      <c r="P64" s="317">
        <f>IF(OR($A64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)*100,""))</f>
        <v/>
      </c>
      <c r="Q64" s="317">
        <f>IF(OR($A64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)*100,""))</f>
        <v/>
      </c>
      <c r="R64" s="317">
        <f>IF(OR($A64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)*100,""))</f>
        <v/>
      </c>
      <c r="S64" s="317">
        <f>IF(OR($A64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)*100,""))</f>
        <v/>
      </c>
      <c r="T64" s="317">
        <f>IF(OR($A64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)*100,""))</f>
        <v/>
      </c>
      <c r="U64" s="317">
        <f>IF(OR($A64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)*100,""))</f>
        <v/>
      </c>
      <c r="V64" s="317">
        <f>IF(OR($A64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)*100,""))</f>
        <v/>
      </c>
      <c r="W64" s="317">
        <f>IF(OR($A64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)*100,""))</f>
        <v/>
      </c>
      <c r="X64" s="317">
        <f>IF(OR($A64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)*100,""))</f>
        <v/>
      </c>
      <c r="Y64" s="317">
        <f>IF(OR($A64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)*100,""))</f>
        <v/>
      </c>
    </row>
    <row r="65">
      <c r="A65">
        <f>IF(DISCIPLINAS!$A48=PARAMETROS!$B$11,DISCIPLINAS!$B48,"")</f>
        <v/>
      </c>
      <c r="B65" s="317">
        <f>IF(OR($A65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)*100,""))</f>
        <v/>
      </c>
      <c r="C65" s="317">
        <f>IF(OR($A65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)*100,""))</f>
        <v/>
      </c>
      <c r="D65" s="317">
        <f>IF(OR($A65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)*100,""))</f>
        <v/>
      </c>
      <c r="E65" s="317">
        <f>IF(OR($A65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)*100,""))</f>
        <v/>
      </c>
      <c r="F65" s="317">
        <f>IF(OR($A65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)*100,""))</f>
        <v/>
      </c>
      <c r="G65" s="317">
        <f>IF(OR($A65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)*100,""))</f>
        <v/>
      </c>
      <c r="H65" s="317">
        <f>IF(OR($A65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)*100,""))</f>
        <v/>
      </c>
      <c r="I65" s="317">
        <f>IF(OR($A65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)*100,""))</f>
        <v/>
      </c>
      <c r="J65" s="317">
        <f>IF(OR($A65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)*100,""))</f>
        <v/>
      </c>
      <c r="K65" s="317">
        <f>IF(OR($A65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)*100,""))</f>
        <v/>
      </c>
      <c r="L65" s="317">
        <f>IF(OR($A65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)*100,""))</f>
        <v/>
      </c>
      <c r="M65" s="317">
        <f>IF(OR($A65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)*100,""))</f>
        <v/>
      </c>
      <c r="N65" s="317">
        <f>IF(OR($A65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)*100,""))</f>
        <v/>
      </c>
      <c r="O65" s="317">
        <f>IF(OR($A65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)*100,""))</f>
        <v/>
      </c>
      <c r="P65" s="317">
        <f>IF(OR($A65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)*100,""))</f>
        <v/>
      </c>
      <c r="Q65" s="317">
        <f>IF(OR($A65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)*100,""))</f>
        <v/>
      </c>
      <c r="R65" s="317">
        <f>IF(OR($A65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)*100,""))</f>
        <v/>
      </c>
      <c r="S65" s="317">
        <f>IF(OR($A65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)*100,""))</f>
        <v/>
      </c>
      <c r="T65" s="317">
        <f>IF(OR($A65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)*100,""))</f>
        <v/>
      </c>
      <c r="U65" s="317">
        <f>IF(OR($A65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)*100,""))</f>
        <v/>
      </c>
      <c r="V65" s="317">
        <f>IF(OR($A65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)*100,""))</f>
        <v/>
      </c>
      <c r="W65" s="317">
        <f>IF(OR($A65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)*100,""))</f>
        <v/>
      </c>
      <c r="X65" s="317">
        <f>IF(OR($A65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)*100,""))</f>
        <v/>
      </c>
      <c r="Y65" s="317">
        <f>IF(OR($A65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)*100,""))</f>
        <v/>
      </c>
    </row>
    <row r="66">
      <c r="A66">
        <f>IF(DISCIPLINAS!$A49=PARAMETROS!$B$11,DISCIPLINAS!$B49,"")</f>
        <v/>
      </c>
      <c r="B66" s="317">
        <f>IF(OR($A66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)*100,""))</f>
        <v/>
      </c>
      <c r="C66" s="317">
        <f>IF(OR($A66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)*100,""))</f>
        <v/>
      </c>
      <c r="D66" s="317">
        <f>IF(OR($A66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)*100,""))</f>
        <v/>
      </c>
      <c r="E66" s="317">
        <f>IF(OR($A66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)*100,""))</f>
        <v/>
      </c>
      <c r="F66" s="317">
        <f>IF(OR($A66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)*100,""))</f>
        <v/>
      </c>
      <c r="G66" s="317">
        <f>IF(OR($A66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)*100,""))</f>
        <v/>
      </c>
      <c r="H66" s="317">
        <f>IF(OR($A66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)*100,""))</f>
        <v/>
      </c>
      <c r="I66" s="317">
        <f>IF(OR($A66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)*100,""))</f>
        <v/>
      </c>
      <c r="J66" s="317">
        <f>IF(OR($A66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)*100,""))</f>
        <v/>
      </c>
      <c r="K66" s="317">
        <f>IF(OR($A66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)*100,""))</f>
        <v/>
      </c>
      <c r="L66" s="317">
        <f>IF(OR($A66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)*100,""))</f>
        <v/>
      </c>
      <c r="M66" s="317">
        <f>IF(OR($A66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)*100,""))</f>
        <v/>
      </c>
      <c r="N66" s="317">
        <f>IF(OR($A66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)*100,""))</f>
        <v/>
      </c>
      <c r="O66" s="317">
        <f>IF(OR($A66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)*100,""))</f>
        <v/>
      </c>
      <c r="P66" s="317">
        <f>IF(OR($A66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)*100,""))</f>
        <v/>
      </c>
      <c r="Q66" s="317">
        <f>IF(OR($A66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)*100,""))</f>
        <v/>
      </c>
      <c r="R66" s="317">
        <f>IF(OR($A66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)*100,""))</f>
        <v/>
      </c>
      <c r="S66" s="317">
        <f>IF(OR($A66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)*100,""))</f>
        <v/>
      </c>
      <c r="T66" s="317">
        <f>IF(OR($A66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)*100,""))</f>
        <v/>
      </c>
      <c r="U66" s="317">
        <f>IF(OR($A66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)*100,""))</f>
        <v/>
      </c>
      <c r="V66" s="317">
        <f>IF(OR($A66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)*100,""))</f>
        <v/>
      </c>
      <c r="W66" s="317">
        <f>IF(OR($A66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)*100,""))</f>
        <v/>
      </c>
      <c r="X66" s="317">
        <f>IF(OR($A66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)*100,""))</f>
        <v/>
      </c>
      <c r="Y66" s="317">
        <f>IF(OR($A66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)*100,""))</f>
        <v/>
      </c>
    </row>
    <row r="67">
      <c r="A67">
        <f>IF(DISCIPLINAS!$A50=PARAMETROS!$B$11,DISCIPLINAS!$B50,"")</f>
        <v/>
      </c>
      <c r="B67" s="317">
        <f>IF(OR($A67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)*100,""))</f>
        <v/>
      </c>
      <c r="C67" s="317">
        <f>IF(OR($A67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)*100,""))</f>
        <v/>
      </c>
      <c r="D67" s="317">
        <f>IF(OR($A67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)*100,""))</f>
        <v/>
      </c>
      <c r="E67" s="317">
        <f>IF(OR($A67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)*100,""))</f>
        <v/>
      </c>
      <c r="F67" s="317">
        <f>IF(OR($A67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)*100,""))</f>
        <v/>
      </c>
      <c r="G67" s="317">
        <f>IF(OR($A67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)*100,""))</f>
        <v/>
      </c>
      <c r="H67" s="317">
        <f>IF(OR($A67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)*100,""))</f>
        <v/>
      </c>
      <c r="I67" s="317">
        <f>IF(OR($A67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)*100,""))</f>
        <v/>
      </c>
      <c r="J67" s="317">
        <f>IF(OR($A67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)*100,""))</f>
        <v/>
      </c>
      <c r="K67" s="317">
        <f>IF(OR($A67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)*100,""))</f>
        <v/>
      </c>
      <c r="L67" s="317">
        <f>IF(OR($A67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)*100,""))</f>
        <v/>
      </c>
      <c r="M67" s="317">
        <f>IF(OR($A67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)*100,""))</f>
        <v/>
      </c>
      <c r="N67" s="317">
        <f>IF(OR($A67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)*100,""))</f>
        <v/>
      </c>
      <c r="O67" s="317">
        <f>IF(OR($A67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)*100,""))</f>
        <v/>
      </c>
      <c r="P67" s="317">
        <f>IF(OR($A67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)*100,""))</f>
        <v/>
      </c>
      <c r="Q67" s="317">
        <f>IF(OR($A67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)*100,""))</f>
        <v/>
      </c>
      <c r="R67" s="317">
        <f>IF(OR($A67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)*100,""))</f>
        <v/>
      </c>
      <c r="S67" s="317">
        <f>IF(OR($A67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)*100,""))</f>
        <v/>
      </c>
      <c r="T67" s="317">
        <f>IF(OR($A67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)*100,""))</f>
        <v/>
      </c>
      <c r="U67" s="317">
        <f>IF(OR($A67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)*100,""))</f>
        <v/>
      </c>
      <c r="V67" s="317">
        <f>IF(OR($A67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)*100,""))</f>
        <v/>
      </c>
      <c r="W67" s="317">
        <f>IF(OR($A67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)*100,""))</f>
        <v/>
      </c>
      <c r="X67" s="317">
        <f>IF(OR($A67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)*100,""))</f>
        <v/>
      </c>
      <c r="Y67" s="317">
        <f>IF(OR($A67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)*100,""))</f>
        <v/>
      </c>
    </row>
    <row r="68">
      <c r="A68">
        <f>IF(DISCIPLINAS!$A51=PARAMETROS!$B$11,DISCIPLINAS!$B51,"")</f>
        <v/>
      </c>
      <c r="B68" s="317">
        <f>IF(OR($A68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)*100,""))</f>
        <v/>
      </c>
      <c r="C68" s="317">
        <f>IF(OR($A68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)*100,""))</f>
        <v/>
      </c>
      <c r="D68" s="317">
        <f>IF(OR($A68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)*100,""))</f>
        <v/>
      </c>
      <c r="E68" s="317">
        <f>IF(OR($A68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)*100,""))</f>
        <v/>
      </c>
      <c r="F68" s="317">
        <f>IF(OR($A68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)*100,""))</f>
        <v/>
      </c>
      <c r="G68" s="317">
        <f>IF(OR($A68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)*100,""))</f>
        <v/>
      </c>
      <c r="H68" s="317">
        <f>IF(OR($A68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)*100,""))</f>
        <v/>
      </c>
      <c r="I68" s="317">
        <f>IF(OR($A68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)*100,""))</f>
        <v/>
      </c>
      <c r="J68" s="317">
        <f>IF(OR($A68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)*100,""))</f>
        <v/>
      </c>
      <c r="K68" s="317">
        <f>IF(OR($A68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)*100,""))</f>
        <v/>
      </c>
      <c r="L68" s="317">
        <f>IF(OR($A68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)*100,""))</f>
        <v/>
      </c>
      <c r="M68" s="317">
        <f>IF(OR($A68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)*100,""))</f>
        <v/>
      </c>
      <c r="N68" s="317">
        <f>IF(OR($A68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)*100,""))</f>
        <v/>
      </c>
      <c r="O68" s="317">
        <f>IF(OR($A68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)*100,""))</f>
        <v/>
      </c>
      <c r="P68" s="317">
        <f>IF(OR($A68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)*100,""))</f>
        <v/>
      </c>
      <c r="Q68" s="317">
        <f>IF(OR($A68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)*100,""))</f>
        <v/>
      </c>
      <c r="R68" s="317">
        <f>IF(OR($A68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)*100,""))</f>
        <v/>
      </c>
      <c r="S68" s="317">
        <f>IF(OR($A68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)*100,""))</f>
        <v/>
      </c>
      <c r="T68" s="317">
        <f>IF(OR($A68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)*100,""))</f>
        <v/>
      </c>
      <c r="U68" s="317">
        <f>IF(OR($A68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)*100,""))</f>
        <v/>
      </c>
      <c r="V68" s="317">
        <f>IF(OR($A68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)*100,""))</f>
        <v/>
      </c>
      <c r="W68" s="317">
        <f>IF(OR($A68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)*100,""))</f>
        <v/>
      </c>
      <c r="X68" s="317">
        <f>IF(OR($A68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)*100,""))</f>
        <v/>
      </c>
      <c r="Y68" s="317">
        <f>IF(OR($A68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)*100,""))</f>
        <v/>
      </c>
    </row>
    <row r="69">
      <c r="A69">
        <f>IF(DISCIPLINAS!$A52=PARAMETROS!$B$11,DISCIPLINAS!$B52,"")</f>
        <v/>
      </c>
      <c r="B69" s="317">
        <f>IF(OR($A69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)*100,""))</f>
        <v/>
      </c>
      <c r="C69" s="317">
        <f>IF(OR($A69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)*100,""))</f>
        <v/>
      </c>
      <c r="D69" s="317">
        <f>IF(OR($A69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)*100,""))</f>
        <v/>
      </c>
      <c r="E69" s="317">
        <f>IF(OR($A69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)*100,""))</f>
        <v/>
      </c>
      <c r="F69" s="317">
        <f>IF(OR($A69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)*100,""))</f>
        <v/>
      </c>
      <c r="G69" s="317">
        <f>IF(OR($A69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)*100,""))</f>
        <v/>
      </c>
      <c r="H69" s="317">
        <f>IF(OR($A69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)*100,""))</f>
        <v/>
      </c>
      <c r="I69" s="317">
        <f>IF(OR($A69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)*100,""))</f>
        <v/>
      </c>
      <c r="J69" s="317">
        <f>IF(OR($A69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)*100,""))</f>
        <v/>
      </c>
      <c r="K69" s="317">
        <f>IF(OR($A69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)*100,""))</f>
        <v/>
      </c>
      <c r="L69" s="317">
        <f>IF(OR($A69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)*100,""))</f>
        <v/>
      </c>
      <c r="M69" s="317">
        <f>IF(OR($A69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)*100,""))</f>
        <v/>
      </c>
      <c r="N69" s="317">
        <f>IF(OR($A69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)*100,""))</f>
        <v/>
      </c>
      <c r="O69" s="317">
        <f>IF(OR($A69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)*100,""))</f>
        <v/>
      </c>
      <c r="P69" s="317">
        <f>IF(OR($A69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)*100,""))</f>
        <v/>
      </c>
      <c r="Q69" s="317">
        <f>IF(OR($A69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)*100,""))</f>
        <v/>
      </c>
      <c r="R69" s="317">
        <f>IF(OR($A69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)*100,""))</f>
        <v/>
      </c>
      <c r="S69" s="317">
        <f>IF(OR($A69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)*100,""))</f>
        <v/>
      </c>
      <c r="T69" s="317">
        <f>IF(OR($A69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)*100,""))</f>
        <v/>
      </c>
      <c r="U69" s="317">
        <f>IF(OR($A69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)*100,""))</f>
        <v/>
      </c>
      <c r="V69" s="317">
        <f>IF(OR($A69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)*100,""))</f>
        <v/>
      </c>
      <c r="W69" s="317">
        <f>IF(OR($A69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)*100,""))</f>
        <v/>
      </c>
      <c r="X69" s="317">
        <f>IF(OR($A69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)*100,""))</f>
        <v/>
      </c>
      <c r="Y69" s="317">
        <f>IF(OR($A69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)*100,""))</f>
        <v/>
      </c>
    </row>
    <row r="70">
      <c r="A70">
        <f>IF(DISCIPLINAS!$A53=PARAMETROS!$B$11,DISCIPLINAS!$B53,"")</f>
        <v/>
      </c>
      <c r="B70" s="317">
        <f>IF(OR($A70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)*100,""))</f>
        <v/>
      </c>
      <c r="C70" s="317">
        <f>IF(OR($A70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)*100,""))</f>
        <v/>
      </c>
      <c r="D70" s="317">
        <f>IF(OR($A70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)*100,""))</f>
        <v/>
      </c>
      <c r="E70" s="317">
        <f>IF(OR($A70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)*100,""))</f>
        <v/>
      </c>
      <c r="F70" s="317">
        <f>IF(OR($A70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)*100,""))</f>
        <v/>
      </c>
      <c r="G70" s="317">
        <f>IF(OR($A70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)*100,""))</f>
        <v/>
      </c>
      <c r="H70" s="317">
        <f>IF(OR($A70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)*100,""))</f>
        <v/>
      </c>
      <c r="I70" s="317">
        <f>IF(OR($A70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)*100,""))</f>
        <v/>
      </c>
      <c r="J70" s="317">
        <f>IF(OR($A70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)*100,""))</f>
        <v/>
      </c>
      <c r="K70" s="317">
        <f>IF(OR($A70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)*100,""))</f>
        <v/>
      </c>
      <c r="L70" s="317">
        <f>IF(OR($A70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)*100,""))</f>
        <v/>
      </c>
      <c r="M70" s="317">
        <f>IF(OR($A70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)*100,""))</f>
        <v/>
      </c>
      <c r="N70" s="317">
        <f>IF(OR($A70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)*100,""))</f>
        <v/>
      </c>
      <c r="O70" s="317">
        <f>IF(OR($A70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)*100,""))</f>
        <v/>
      </c>
      <c r="P70" s="317">
        <f>IF(OR($A70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)*100,""))</f>
        <v/>
      </c>
      <c r="Q70" s="317">
        <f>IF(OR($A70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)*100,""))</f>
        <v/>
      </c>
      <c r="R70" s="317">
        <f>IF(OR($A70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)*100,""))</f>
        <v/>
      </c>
      <c r="S70" s="317">
        <f>IF(OR($A70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)*100,""))</f>
        <v/>
      </c>
      <c r="T70" s="317">
        <f>IF(OR($A70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)*100,""))</f>
        <v/>
      </c>
      <c r="U70" s="317">
        <f>IF(OR($A70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)*100,""))</f>
        <v/>
      </c>
      <c r="V70" s="317">
        <f>IF(OR($A70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)*100,""))</f>
        <v/>
      </c>
      <c r="W70" s="317">
        <f>IF(OR($A70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)*100,""))</f>
        <v/>
      </c>
      <c r="X70" s="317">
        <f>IF(OR($A70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)*100,""))</f>
        <v/>
      </c>
      <c r="Y70" s="317">
        <f>IF(OR($A70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)*100,""))</f>
        <v/>
      </c>
    </row>
    <row r="71">
      <c r="A71">
        <f>IF(DISCIPLINAS!$A54=PARAMETROS!$B$11,DISCIPLINAS!$B54,"")</f>
        <v/>
      </c>
      <c r="B71" s="317">
        <f>IF(OR($A71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)*100,""))</f>
        <v/>
      </c>
      <c r="C71" s="317">
        <f>IF(OR($A71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)*100,""))</f>
        <v/>
      </c>
      <c r="D71" s="317">
        <f>IF(OR($A71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)*100,""))</f>
        <v/>
      </c>
      <c r="E71" s="317">
        <f>IF(OR($A71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)*100,""))</f>
        <v/>
      </c>
      <c r="F71" s="317">
        <f>IF(OR($A71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)*100,""))</f>
        <v/>
      </c>
      <c r="G71" s="317">
        <f>IF(OR($A71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)*100,""))</f>
        <v/>
      </c>
      <c r="H71" s="317">
        <f>IF(OR($A71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)*100,""))</f>
        <v/>
      </c>
      <c r="I71" s="317">
        <f>IF(OR($A71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)*100,""))</f>
        <v/>
      </c>
      <c r="J71" s="317">
        <f>IF(OR($A71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)*100,""))</f>
        <v/>
      </c>
      <c r="K71" s="317">
        <f>IF(OR($A71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)*100,""))</f>
        <v/>
      </c>
      <c r="L71" s="317">
        <f>IF(OR($A71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)*100,""))</f>
        <v/>
      </c>
      <c r="M71" s="317">
        <f>IF(OR($A71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)*100,""))</f>
        <v/>
      </c>
      <c r="N71" s="317">
        <f>IF(OR($A71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)*100,""))</f>
        <v/>
      </c>
      <c r="O71" s="317">
        <f>IF(OR($A71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)*100,""))</f>
        <v/>
      </c>
      <c r="P71" s="317">
        <f>IF(OR($A71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)*100,""))</f>
        <v/>
      </c>
      <c r="Q71" s="317">
        <f>IF(OR($A71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)*100,""))</f>
        <v/>
      </c>
      <c r="R71" s="317">
        <f>IF(OR($A71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)*100,""))</f>
        <v/>
      </c>
      <c r="S71" s="317">
        <f>IF(OR($A71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)*100,""))</f>
        <v/>
      </c>
      <c r="T71" s="317">
        <f>IF(OR($A71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)*100,""))</f>
        <v/>
      </c>
      <c r="U71" s="317">
        <f>IF(OR($A71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)*100,""))</f>
        <v/>
      </c>
      <c r="V71" s="317">
        <f>IF(OR($A71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)*100,""))</f>
        <v/>
      </c>
      <c r="W71" s="317">
        <f>IF(OR($A71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)*100,""))</f>
        <v/>
      </c>
      <c r="X71" s="317">
        <f>IF(OR($A71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)*100,""))</f>
        <v/>
      </c>
      <c r="Y71" s="317">
        <f>IF(OR($A71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)*100,""))</f>
        <v/>
      </c>
    </row>
  </sheetData>
  <mergeCells count="2">
    <mergeCell ref="A2:AD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N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30" min="1" max="1"/>
    <col width="16" customWidth="1" style="130" min="2" max="3"/>
    <col width="16" customWidth="1" style="131" min="3" max="3"/>
    <col width="42" customWidth="1" style="130" min="4" max="4"/>
    <col width="14" customWidth="1" style="130" min="5" max="6"/>
    <col width="14" customWidth="1" style="131" min="6" max="6"/>
    <col width="40" customWidth="1" style="130" min="7" max="8"/>
    <col width="40" customWidth="1" style="131" min="8" max="8"/>
    <col width="46" customWidth="1" style="130" min="9" max="9"/>
    <col width="26" customWidth="1" style="130" min="10" max="10"/>
    <col width="16" customWidth="1" style="130" min="11" max="11"/>
    <col width="30" customWidth="1" style="130" min="12" max="12"/>
    <col width="18" customWidth="1" style="130" min="13" max="13"/>
    <col width="40" customWidth="1" style="130" min="14" max="14"/>
  </cols>
  <sheetData>
    <row r="1" ht="24" customHeight="1" s="131">
      <c r="A1" s="262" t="inlineStr">
        <is>
          <t>PLANO DE AÇÃO</t>
        </is>
      </c>
    </row>
    <row r="2" ht="30" customHeight="1" s="131">
      <c r="A2" s="263" t="inlineStr">
        <is>
          <t>Registre ações para desvios relevantes. O histórico permanece no mesmo arquivo.</t>
        </is>
      </c>
    </row>
    <row r="3"/>
    <row r="4" ht="115.5" customHeight="1" s="131">
      <c r="A4" s="137" t="inlineStr">
        <is>
          <t>Indicadores fora da meta</t>
        </is>
      </c>
      <c r="B4" s="291">
        <f>COUNTIF(CALC!$L$9:$L$11,"Fora da meta")</f>
        <v/>
      </c>
      <c r="D4" t="inlineStr">
        <is>
          <t>Indicadores em atenção</t>
        </is>
      </c>
      <c r="E4" s="291">
        <f>COUNTIF(CALC!$L$9:$L$11,"Atenção")</f>
        <v/>
      </c>
    </row>
    <row r="5" ht="24" customHeight="1" s="131">
      <c r="A5" s="210" t="n"/>
      <c r="B5" s="211" t="n"/>
      <c r="C5" s="210" t="n"/>
      <c r="D5" s="211" t="n"/>
      <c r="E5" s="210" t="n"/>
      <c r="F5" s="212" t="n"/>
      <c r="G5" s="213" t="n"/>
    </row>
    <row r="6"/>
    <row r="7" ht="30" customHeight="1" s="131">
      <c r="A7" s="282" t="inlineStr">
        <is>
          <t>Nº</t>
        </is>
      </c>
      <c r="B7" s="282" t="inlineStr">
        <is>
          <t>Período</t>
        </is>
      </c>
      <c r="C7" s="282" t="inlineStr">
        <is>
          <t>Indicador</t>
        </is>
      </c>
      <c r="D7" s="282" t="inlineStr">
        <is>
          <t>Recorte</t>
        </is>
      </c>
      <c r="E7" s="282" t="inlineStr">
        <is>
          <t>Resultado</t>
        </is>
      </c>
      <c r="F7" s="282" t="inlineStr">
        <is>
          <t>Meta</t>
        </is>
      </c>
      <c r="G7" s="282" t="inlineStr">
        <is>
          <t>Problema</t>
        </is>
      </c>
      <c r="H7" s="282" t="inlineStr">
        <is>
          <t>Causa provável</t>
        </is>
      </c>
      <c r="I7" s="282" t="inlineStr">
        <is>
          <t>Ação corretiva</t>
        </is>
      </c>
      <c r="J7" s="282" t="inlineStr">
        <is>
          <t>Responsável</t>
        </is>
      </c>
      <c r="K7" s="282" t="inlineStr">
        <is>
          <t>Prazo</t>
        </is>
      </c>
      <c r="L7" s="282" t="inlineStr">
        <is>
          <t>Meta da ação</t>
        </is>
      </c>
      <c r="M7" s="282" t="inlineStr">
        <is>
          <t>Status</t>
        </is>
      </c>
      <c r="N7" s="282" t="inlineStr">
        <is>
          <t>Observação</t>
        </is>
      </c>
    </row>
    <row r="8" ht="33.75" customHeight="1" s="131">
      <c r="A8" s="320" t="n"/>
      <c r="B8" s="320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  <c r="L8" s="320" t="n"/>
      <c r="M8" s="320" t="n"/>
      <c r="N8" s="320" t="n"/>
    </row>
    <row r="9" ht="45.75" customHeight="1" s="131">
      <c r="A9" s="321" t="n"/>
      <c r="B9" s="321" t="n"/>
      <c r="C9" s="321" t="n"/>
      <c r="D9" s="322" t="n"/>
      <c r="E9" s="321" t="n"/>
      <c r="F9" s="321" t="n"/>
      <c r="G9" s="322" t="n"/>
      <c r="H9" s="322" t="n"/>
      <c r="I9" s="322" t="n"/>
      <c r="J9" s="322" t="n"/>
      <c r="K9" s="321" t="n"/>
      <c r="L9" s="322" t="n"/>
      <c r="M9" s="321" t="n"/>
      <c r="N9" s="320" t="n"/>
    </row>
    <row r="10" ht="45.75" customHeight="1" s="131">
      <c r="A10" s="321" t="n"/>
      <c r="B10" s="321" t="n"/>
      <c r="C10" s="321" t="n"/>
      <c r="D10" s="322" t="n"/>
      <c r="E10" s="321" t="n"/>
      <c r="F10" s="321" t="n"/>
      <c r="G10" s="322" t="n"/>
      <c r="H10" s="322" t="n"/>
      <c r="I10" s="322" t="n"/>
      <c r="J10" s="322" t="n"/>
      <c r="K10" s="321" t="n"/>
      <c r="L10" s="322" t="n"/>
      <c r="M10" s="321" t="n"/>
      <c r="N10" s="320" t="n"/>
    </row>
    <row r="11" ht="45.75" customHeight="1" s="131">
      <c r="A11" s="321" t="n"/>
      <c r="B11" s="321" t="n"/>
      <c r="C11" s="321" t="n"/>
      <c r="D11" s="322" t="n"/>
      <c r="E11" s="321" t="n"/>
      <c r="F11" s="321" t="n"/>
      <c r="G11" s="322" t="n"/>
      <c r="H11" s="322" t="n"/>
      <c r="I11" s="322" t="n"/>
      <c r="J11" s="322" t="n"/>
      <c r="K11" s="321" t="n"/>
      <c r="L11" s="322" t="n"/>
      <c r="M11" s="321" t="n"/>
      <c r="N11" s="320" t="n"/>
    </row>
    <row r="12" ht="45.75" customHeight="1" s="131">
      <c r="A12" s="321" t="n"/>
      <c r="B12" s="321" t="n"/>
      <c r="C12" s="321" t="n"/>
      <c r="D12" s="322" t="n"/>
      <c r="E12" s="321" t="n"/>
      <c r="F12" s="321" t="n"/>
      <c r="G12" s="322" t="n"/>
      <c r="H12" s="322" t="n"/>
      <c r="I12" s="322" t="n"/>
      <c r="J12" s="322" t="n"/>
      <c r="K12" s="321" t="n"/>
      <c r="L12" s="322" t="n"/>
      <c r="M12" s="321" t="n"/>
      <c r="N12" s="320" t="n"/>
    </row>
    <row r="13" ht="45.75" customHeight="1" s="131">
      <c r="A13" s="321" t="n"/>
      <c r="B13" s="321" t="n"/>
      <c r="C13" s="321" t="n"/>
      <c r="D13" s="322" t="n"/>
      <c r="E13" s="321" t="n"/>
      <c r="F13" s="321" t="n"/>
      <c r="G13" s="322" t="n"/>
      <c r="H13" s="322" t="n"/>
      <c r="I13" s="322" t="n"/>
      <c r="J13" s="322" t="n"/>
      <c r="K13" s="321" t="n"/>
      <c r="L13" s="322" t="n"/>
      <c r="M13" s="321" t="n"/>
      <c r="N13" s="320" t="n"/>
    </row>
    <row r="14" ht="45.75" customHeight="1" s="131">
      <c r="A14" s="321" t="n"/>
      <c r="B14" s="321" t="n"/>
      <c r="C14" s="321" t="n"/>
      <c r="D14" s="322" t="n"/>
      <c r="E14" s="321" t="n"/>
      <c r="F14" s="321" t="n"/>
      <c r="G14" s="322" t="n"/>
      <c r="H14" s="322" t="n"/>
      <c r="I14" s="322" t="n"/>
      <c r="J14" s="322" t="n"/>
      <c r="K14" s="321" t="n"/>
      <c r="L14" s="322" t="n"/>
      <c r="M14" s="321" t="n"/>
      <c r="N14" s="320" t="n"/>
    </row>
    <row r="15" ht="45.75" customHeight="1" s="131">
      <c r="A15" s="321" t="n"/>
      <c r="B15" s="321" t="n"/>
      <c r="C15" s="321" t="n"/>
      <c r="D15" s="322" t="n"/>
      <c r="E15" s="321" t="n"/>
      <c r="F15" s="321" t="n"/>
      <c r="G15" s="322" t="n"/>
      <c r="H15" s="322" t="n"/>
      <c r="I15" s="322" t="n"/>
      <c r="J15" s="322" t="n"/>
      <c r="K15" s="321" t="n"/>
      <c r="L15" s="322" t="n"/>
      <c r="M15" s="321" t="n"/>
      <c r="N15" s="320" t="n"/>
    </row>
    <row r="16" ht="30" customHeight="1" s="131">
      <c r="A16" s="321" t="n"/>
      <c r="B16" s="321" t="n"/>
      <c r="C16" s="321" t="n"/>
      <c r="D16" s="322" t="n"/>
      <c r="E16" s="321" t="n"/>
      <c r="F16" s="321" t="n"/>
      <c r="G16" s="322" t="n"/>
      <c r="H16" s="322" t="n"/>
      <c r="I16" s="322" t="n"/>
      <c r="J16" s="322" t="n"/>
      <c r="K16" s="321" t="n"/>
      <c r="L16" s="322" t="n"/>
      <c r="M16" s="321" t="n"/>
      <c r="N16" s="320" t="n"/>
    </row>
    <row r="17" ht="30" customHeight="1" s="131">
      <c r="A17" s="321" t="n"/>
      <c r="B17" s="321" t="n"/>
      <c r="C17" s="321" t="n"/>
      <c r="D17" s="322" t="n"/>
      <c r="E17" s="321" t="n"/>
      <c r="F17" s="321" t="n"/>
      <c r="G17" s="322" t="n"/>
      <c r="H17" s="322" t="n"/>
      <c r="I17" s="322" t="n"/>
      <c r="J17" s="322" t="n"/>
      <c r="K17" s="321" t="n"/>
      <c r="L17" s="322" t="n"/>
      <c r="M17" s="321" t="n"/>
      <c r="N17" s="320" t="n"/>
    </row>
    <row r="18" ht="30" customHeight="1" s="131">
      <c r="A18" s="321" t="n"/>
      <c r="B18" s="321" t="n"/>
      <c r="C18" s="321" t="n"/>
      <c r="D18" s="322" t="n"/>
      <c r="E18" s="321" t="n"/>
      <c r="F18" s="321" t="n"/>
      <c r="G18" s="322" t="n"/>
      <c r="H18" s="322" t="n"/>
      <c r="I18" s="322" t="n"/>
      <c r="J18" s="322" t="n"/>
      <c r="K18" s="321" t="n"/>
      <c r="L18" s="322" t="n"/>
      <c r="M18" s="321" t="n"/>
      <c r="N18" s="320" t="n"/>
    </row>
    <row r="19" ht="30" customHeight="1" s="131">
      <c r="A19" s="321" t="n"/>
      <c r="B19" s="321" t="n"/>
      <c r="C19" s="321" t="n"/>
      <c r="D19" s="322" t="n"/>
      <c r="E19" s="321" t="n"/>
      <c r="F19" s="321" t="n"/>
      <c r="G19" s="322" t="n"/>
      <c r="H19" s="322" t="n"/>
      <c r="I19" s="322" t="n"/>
      <c r="J19" s="322" t="n"/>
      <c r="K19" s="321" t="n"/>
      <c r="L19" s="322" t="n"/>
      <c r="M19" s="321" t="n"/>
      <c r="N19" s="320" t="n"/>
    </row>
    <row r="20" ht="30" customHeight="1" s="131">
      <c r="A20" s="321" t="n"/>
      <c r="B20" s="321" t="n"/>
      <c r="C20" s="321" t="n"/>
      <c r="D20" s="322" t="n"/>
      <c r="E20" s="321" t="n"/>
      <c r="F20" s="321" t="n"/>
      <c r="G20" s="322" t="n"/>
      <c r="H20" s="322" t="n"/>
      <c r="I20" s="322" t="n"/>
      <c r="J20" s="322" t="n"/>
      <c r="K20" s="321" t="n"/>
      <c r="L20" s="322" t="n"/>
      <c r="M20" s="321" t="n"/>
      <c r="N20" s="320" t="n"/>
    </row>
    <row r="21" ht="30" customHeight="1" s="131">
      <c r="A21" s="321" t="n"/>
      <c r="B21" s="321" t="n"/>
      <c r="C21" s="321" t="n"/>
      <c r="D21" s="322" t="n"/>
      <c r="E21" s="321" t="n"/>
      <c r="F21" s="321" t="n"/>
      <c r="G21" s="322" t="n"/>
      <c r="H21" s="322" t="n"/>
      <c r="I21" s="322" t="n"/>
      <c r="J21" s="322" t="n"/>
      <c r="K21" s="321" t="n"/>
      <c r="L21" s="322" t="n"/>
      <c r="M21" s="321" t="n"/>
      <c r="N21" s="320" t="n"/>
    </row>
    <row r="22" ht="30" customHeight="1" s="131">
      <c r="A22" s="321" t="n"/>
      <c r="B22" s="321" t="n"/>
      <c r="C22" s="321" t="n"/>
      <c r="D22" s="322" t="n"/>
      <c r="E22" s="321" t="n"/>
      <c r="F22" s="321" t="n"/>
      <c r="G22" s="322" t="n"/>
      <c r="H22" s="322" t="n"/>
      <c r="I22" s="322" t="n"/>
      <c r="J22" s="322" t="n"/>
      <c r="K22" s="321" t="n"/>
      <c r="L22" s="322" t="n"/>
      <c r="M22" s="321" t="n"/>
      <c r="N22" s="320" t="n"/>
    </row>
    <row r="23" ht="30" customHeight="1" s="131">
      <c r="A23" s="321" t="n"/>
      <c r="B23" s="321" t="n"/>
      <c r="C23" s="321" t="n"/>
      <c r="D23" s="322" t="n"/>
      <c r="E23" s="321" t="n"/>
      <c r="F23" s="321" t="n"/>
      <c r="G23" s="322" t="n"/>
      <c r="H23" s="322" t="n"/>
      <c r="I23" s="322" t="n"/>
      <c r="J23" s="322" t="n"/>
      <c r="K23" s="321" t="n"/>
      <c r="L23" s="322" t="n"/>
      <c r="M23" s="321" t="n"/>
      <c r="N23" s="320" t="n"/>
    </row>
    <row r="24" ht="30" customHeight="1" s="131">
      <c r="A24" s="321" t="n"/>
      <c r="B24" s="321" t="n"/>
      <c r="C24" s="321" t="n"/>
      <c r="D24" s="322" t="n"/>
      <c r="E24" s="321" t="n"/>
      <c r="F24" s="321" t="n"/>
      <c r="G24" s="322" t="n"/>
      <c r="H24" s="322" t="n"/>
      <c r="I24" s="322" t="n"/>
      <c r="J24" s="322" t="n"/>
      <c r="K24" s="321" t="n"/>
      <c r="L24" s="322" t="n"/>
      <c r="M24" s="321" t="n"/>
      <c r="N24" s="320" t="n"/>
    </row>
    <row r="25" ht="30" customHeight="1" s="131">
      <c r="A25" s="321" t="n"/>
      <c r="B25" s="321" t="n"/>
      <c r="C25" s="321" t="n"/>
      <c r="D25" s="322" t="n"/>
      <c r="E25" s="321" t="n"/>
      <c r="F25" s="321" t="n"/>
      <c r="G25" s="322" t="n"/>
      <c r="H25" s="322" t="n"/>
      <c r="I25" s="322" t="n"/>
      <c r="J25" s="322" t="n"/>
      <c r="K25" s="321" t="n"/>
      <c r="L25" s="322" t="n"/>
      <c r="M25" s="321" t="n"/>
      <c r="N25" s="320" t="n"/>
    </row>
    <row r="26" ht="30" customHeight="1" s="131">
      <c r="A26" s="321" t="n"/>
      <c r="B26" s="321" t="n"/>
      <c r="C26" s="321" t="n"/>
      <c r="D26" s="322" t="n"/>
      <c r="E26" s="321" t="n"/>
      <c r="F26" s="321" t="n"/>
      <c r="G26" s="322" t="n"/>
      <c r="H26" s="322" t="n"/>
      <c r="I26" s="322" t="n"/>
      <c r="J26" s="322" t="n"/>
      <c r="K26" s="321" t="n"/>
      <c r="L26" s="322" t="n"/>
      <c r="M26" s="321" t="n"/>
      <c r="N26" s="320" t="n"/>
    </row>
    <row r="27" ht="30" customHeight="1" s="131">
      <c r="A27" s="321" t="n"/>
      <c r="B27" s="321" t="n"/>
      <c r="C27" s="321" t="n"/>
      <c r="D27" s="322" t="n"/>
      <c r="E27" s="321" t="n"/>
      <c r="F27" s="321" t="n"/>
      <c r="G27" s="322" t="n"/>
      <c r="H27" s="322" t="n"/>
      <c r="I27" s="322" t="n"/>
      <c r="J27" s="322" t="n"/>
      <c r="K27" s="321" t="n"/>
      <c r="L27" s="322" t="n"/>
      <c r="M27" s="321" t="n"/>
      <c r="N27" s="320" t="n"/>
    </row>
    <row r="28" ht="30" customHeight="1" s="131">
      <c r="A28" s="321" t="n"/>
      <c r="B28" s="321" t="n"/>
      <c r="C28" s="321" t="n"/>
      <c r="D28" s="322" t="n"/>
      <c r="E28" s="321" t="n"/>
      <c r="F28" s="321" t="n"/>
      <c r="G28" s="322" t="n"/>
      <c r="H28" s="322" t="n"/>
      <c r="I28" s="322" t="n"/>
      <c r="J28" s="322" t="n"/>
      <c r="K28" s="321" t="n"/>
      <c r="L28" s="322" t="n"/>
      <c r="M28" s="321" t="n"/>
      <c r="N28" s="320" t="n"/>
    </row>
    <row r="29" ht="30" customHeight="1" s="131">
      <c r="A29" s="321" t="n"/>
      <c r="B29" s="321" t="n"/>
      <c r="C29" s="321" t="n"/>
      <c r="D29" s="322" t="n"/>
      <c r="E29" s="321" t="n"/>
      <c r="F29" s="321" t="n"/>
      <c r="G29" s="322" t="n"/>
      <c r="H29" s="322" t="n"/>
      <c r="I29" s="322" t="n"/>
      <c r="J29" s="322" t="n"/>
      <c r="K29" s="321" t="n"/>
      <c r="L29" s="322" t="n"/>
      <c r="M29" s="321" t="n"/>
      <c r="N29" s="320" t="n"/>
    </row>
    <row r="30" ht="30" customHeight="1" s="131">
      <c r="A30" s="321" t="n"/>
      <c r="B30" s="321" t="n"/>
      <c r="C30" s="321" t="n"/>
      <c r="D30" s="322" t="n"/>
      <c r="E30" s="321" t="n"/>
      <c r="F30" s="321" t="n"/>
      <c r="G30" s="322" t="n"/>
      <c r="H30" s="322" t="n"/>
      <c r="I30" s="322" t="n"/>
      <c r="J30" s="322" t="n"/>
      <c r="K30" s="321" t="n"/>
      <c r="L30" s="322" t="n"/>
      <c r="M30" s="321" t="n"/>
      <c r="N30" s="320" t="n"/>
    </row>
    <row r="31" ht="30" customHeight="1" s="131">
      <c r="A31" s="321" t="n"/>
      <c r="B31" s="321" t="n"/>
      <c r="C31" s="321" t="n"/>
      <c r="D31" s="322" t="n"/>
      <c r="E31" s="321" t="n"/>
      <c r="F31" s="321" t="n"/>
      <c r="G31" s="322" t="n"/>
      <c r="H31" s="322" t="n"/>
      <c r="I31" s="322" t="n"/>
      <c r="J31" s="322" t="n"/>
      <c r="K31" s="321" t="n"/>
      <c r="L31" s="322" t="n"/>
      <c r="M31" s="321" t="n"/>
      <c r="N31" s="320" t="n"/>
    </row>
    <row r="32" ht="30" customHeight="1" s="131">
      <c r="A32" s="321" t="n"/>
      <c r="B32" s="321" t="n"/>
      <c r="C32" s="321" t="n"/>
      <c r="D32" s="322" t="n"/>
      <c r="E32" s="321" t="n"/>
      <c r="F32" s="321" t="n"/>
      <c r="G32" s="322" t="n"/>
      <c r="H32" s="322" t="n"/>
      <c r="I32" s="322" t="n"/>
      <c r="J32" s="322" t="n"/>
      <c r="K32" s="321" t="n"/>
      <c r="L32" s="322" t="n"/>
      <c r="M32" s="321" t="n"/>
      <c r="N32" s="320" t="n"/>
    </row>
    <row r="33" ht="30" customHeight="1" s="131">
      <c r="A33" s="321" t="n"/>
      <c r="B33" s="321" t="n"/>
      <c r="C33" s="321" t="n"/>
      <c r="D33" s="322" t="n"/>
      <c r="E33" s="321" t="n"/>
      <c r="F33" s="321" t="n"/>
      <c r="G33" s="322" t="n"/>
      <c r="H33" s="322" t="n"/>
      <c r="I33" s="322" t="n"/>
      <c r="J33" s="322" t="n"/>
      <c r="K33" s="321" t="n"/>
      <c r="L33" s="322" t="n"/>
      <c r="M33" s="321" t="n"/>
      <c r="N33" s="320" t="n"/>
    </row>
    <row r="34" ht="30" customHeight="1" s="131">
      <c r="A34" s="321" t="n"/>
      <c r="B34" s="321" t="n"/>
      <c r="C34" s="321" t="n"/>
      <c r="D34" s="322" t="n"/>
      <c r="E34" s="321" t="n"/>
      <c r="F34" s="321" t="n"/>
      <c r="G34" s="322" t="n"/>
      <c r="H34" s="322" t="n"/>
      <c r="I34" s="322" t="n"/>
      <c r="J34" s="322" t="n"/>
      <c r="K34" s="321" t="n"/>
      <c r="L34" s="322" t="n"/>
      <c r="M34" s="321" t="n"/>
      <c r="N34" s="320" t="n"/>
    </row>
    <row r="35" ht="30" customHeight="1" s="131">
      <c r="A35" s="321" t="n"/>
      <c r="B35" s="321" t="n"/>
      <c r="C35" s="321" t="n"/>
      <c r="D35" s="322" t="n"/>
      <c r="E35" s="321" t="n"/>
      <c r="F35" s="321" t="n"/>
      <c r="G35" s="322" t="n"/>
      <c r="H35" s="322" t="n"/>
      <c r="I35" s="322" t="n"/>
      <c r="J35" s="322" t="n"/>
      <c r="K35" s="321" t="n"/>
      <c r="L35" s="322" t="n"/>
      <c r="M35" s="321" t="n"/>
      <c r="N35" s="320" t="n"/>
    </row>
    <row r="36" ht="30" customHeight="1" s="131">
      <c r="A36" s="321" t="n"/>
      <c r="B36" s="321" t="n"/>
      <c r="C36" s="321" t="n"/>
      <c r="D36" s="322" t="n"/>
      <c r="E36" s="321" t="n"/>
      <c r="F36" s="321" t="n"/>
      <c r="G36" s="322" t="n"/>
      <c r="H36" s="322" t="n"/>
      <c r="I36" s="322" t="n"/>
      <c r="J36" s="322" t="n"/>
      <c r="K36" s="321" t="n"/>
      <c r="L36" s="322" t="n"/>
      <c r="M36" s="321" t="n"/>
      <c r="N36" s="320" t="n"/>
    </row>
    <row r="37" ht="30" customHeight="1" s="131">
      <c r="A37" s="321" t="n"/>
      <c r="B37" s="321" t="n"/>
      <c r="C37" s="321" t="n"/>
      <c r="D37" s="322" t="n"/>
      <c r="E37" s="321" t="n"/>
      <c r="F37" s="321" t="n"/>
      <c r="G37" s="322" t="n"/>
      <c r="H37" s="322" t="n"/>
      <c r="I37" s="322" t="n"/>
      <c r="J37" s="322" t="n"/>
      <c r="K37" s="321" t="n"/>
      <c r="L37" s="322" t="n"/>
      <c r="M37" s="321" t="n"/>
      <c r="N37" s="320" t="n"/>
    </row>
    <row r="38" ht="30" customHeight="1" s="131">
      <c r="A38" s="321" t="n"/>
      <c r="B38" s="321" t="n"/>
      <c r="C38" s="321" t="n"/>
      <c r="D38" s="322" t="n"/>
      <c r="E38" s="321" t="n"/>
      <c r="F38" s="321" t="n"/>
      <c r="G38" s="322" t="n"/>
      <c r="H38" s="322" t="n"/>
      <c r="I38" s="322" t="n"/>
      <c r="J38" s="322" t="n"/>
      <c r="K38" s="321" t="n"/>
      <c r="L38" s="322" t="n"/>
      <c r="M38" s="321" t="n"/>
      <c r="N38" s="320" t="n"/>
    </row>
    <row r="39" ht="30" customHeight="1" s="131">
      <c r="A39" s="321" t="n"/>
      <c r="B39" s="321" t="n"/>
      <c r="C39" s="321" t="n"/>
      <c r="D39" s="322" t="n"/>
      <c r="E39" s="321" t="n"/>
      <c r="F39" s="321" t="n"/>
      <c r="G39" s="322" t="n"/>
      <c r="H39" s="322" t="n"/>
      <c r="I39" s="322" t="n"/>
      <c r="J39" s="322" t="n"/>
      <c r="K39" s="321" t="n"/>
      <c r="L39" s="322" t="n"/>
      <c r="M39" s="321" t="n"/>
      <c r="N39" s="320" t="n"/>
    </row>
    <row r="40" ht="30" customHeight="1" s="131">
      <c r="A40" s="321" t="n"/>
      <c r="B40" s="321" t="n"/>
      <c r="C40" s="321" t="n"/>
      <c r="D40" s="322" t="n"/>
      <c r="E40" s="321" t="n"/>
      <c r="F40" s="321" t="n"/>
      <c r="G40" s="322" t="n"/>
      <c r="H40" s="322" t="n"/>
      <c r="I40" s="322" t="n"/>
      <c r="J40" s="322" t="n"/>
      <c r="K40" s="321" t="n"/>
      <c r="L40" s="322" t="n"/>
      <c r="M40" s="321" t="n"/>
      <c r="N40" s="320" t="n"/>
    </row>
    <row r="41" ht="30" customHeight="1" s="131">
      <c r="A41" s="321" t="n"/>
      <c r="B41" s="321" t="n"/>
      <c r="C41" s="321" t="n"/>
      <c r="D41" s="322" t="n"/>
      <c r="E41" s="321" t="n"/>
      <c r="F41" s="321" t="n"/>
      <c r="G41" s="322" t="n"/>
      <c r="H41" s="322" t="n"/>
      <c r="I41" s="322" t="n"/>
      <c r="J41" s="322" t="n"/>
      <c r="K41" s="321" t="n"/>
      <c r="L41" s="322" t="n"/>
      <c r="M41" s="321" t="n"/>
      <c r="N41" s="320" t="n"/>
    </row>
    <row r="42" ht="30" customHeight="1" s="131">
      <c r="A42" s="321" t="n"/>
      <c r="B42" s="321" t="n"/>
      <c r="C42" s="321" t="n"/>
      <c r="D42" s="322" t="n"/>
      <c r="E42" s="321" t="n"/>
      <c r="F42" s="321" t="n"/>
      <c r="G42" s="322" t="n"/>
      <c r="H42" s="322" t="n"/>
      <c r="I42" s="322" t="n"/>
      <c r="J42" s="322" t="n"/>
      <c r="K42" s="321" t="n"/>
      <c r="L42" s="322" t="n"/>
      <c r="M42" s="321" t="n"/>
      <c r="N42" s="320" t="n"/>
    </row>
    <row r="43" ht="30" customHeight="1" s="131">
      <c r="A43" s="321" t="n"/>
      <c r="B43" s="321" t="n"/>
      <c r="C43" s="321" t="n"/>
      <c r="D43" s="322" t="n"/>
      <c r="E43" s="321" t="n"/>
      <c r="F43" s="321" t="n"/>
      <c r="G43" s="322" t="n"/>
      <c r="H43" s="322" t="n"/>
      <c r="I43" s="322" t="n"/>
      <c r="J43" s="322" t="n"/>
      <c r="K43" s="321" t="n"/>
      <c r="L43" s="322" t="n"/>
      <c r="M43" s="321" t="n"/>
      <c r="N43" s="320" t="n"/>
    </row>
    <row r="44" ht="30" customHeight="1" s="131">
      <c r="A44" s="321" t="n"/>
      <c r="B44" s="321" t="n"/>
      <c r="C44" s="321" t="n"/>
      <c r="D44" s="322" t="n"/>
      <c r="E44" s="321" t="n"/>
      <c r="F44" s="321" t="n"/>
      <c r="G44" s="322" t="n"/>
      <c r="H44" s="322" t="n"/>
      <c r="I44" s="322" t="n"/>
      <c r="J44" s="322" t="n"/>
      <c r="K44" s="321" t="n"/>
      <c r="L44" s="322" t="n"/>
      <c r="M44" s="321" t="n"/>
      <c r="N44" s="320" t="n"/>
    </row>
    <row r="45" ht="30" customHeight="1" s="131">
      <c r="A45" s="321" t="n"/>
      <c r="B45" s="321" t="n"/>
      <c r="C45" s="321" t="n"/>
      <c r="D45" s="322" t="n"/>
      <c r="E45" s="321" t="n"/>
      <c r="F45" s="321" t="n"/>
      <c r="G45" s="322" t="n"/>
      <c r="H45" s="322" t="n"/>
      <c r="I45" s="322" t="n"/>
      <c r="J45" s="322" t="n"/>
      <c r="K45" s="321" t="n"/>
      <c r="L45" s="322" t="n"/>
      <c r="M45" s="321" t="n"/>
      <c r="N45" s="320" t="n"/>
    </row>
    <row r="46" ht="30" customHeight="1" s="131">
      <c r="A46" s="321" t="n"/>
      <c r="B46" s="321" t="n"/>
      <c r="C46" s="321" t="n"/>
      <c r="D46" s="322" t="n"/>
      <c r="E46" s="321" t="n"/>
      <c r="F46" s="321" t="n"/>
      <c r="G46" s="322" t="n"/>
      <c r="H46" s="322" t="n"/>
      <c r="I46" s="322" t="n"/>
      <c r="J46" s="322" t="n"/>
      <c r="K46" s="321" t="n"/>
      <c r="L46" s="322" t="n"/>
      <c r="M46" s="321" t="n"/>
      <c r="N46" s="320" t="n"/>
    </row>
    <row r="47" ht="30" customHeight="1" s="131">
      <c r="A47" s="321" t="n"/>
      <c r="B47" s="321" t="n"/>
      <c r="C47" s="321" t="n"/>
      <c r="D47" s="322" t="n"/>
      <c r="E47" s="321" t="n"/>
      <c r="F47" s="321" t="n"/>
      <c r="G47" s="322" t="n"/>
      <c r="H47" s="322" t="n"/>
      <c r="I47" s="322" t="n"/>
      <c r="J47" s="322" t="n"/>
      <c r="K47" s="321" t="n"/>
      <c r="L47" s="322" t="n"/>
      <c r="M47" s="321" t="n"/>
      <c r="N47" s="320" t="n"/>
    </row>
    <row r="48" ht="30" customHeight="1" s="131">
      <c r="A48" s="321" t="n"/>
      <c r="B48" s="321" t="n"/>
      <c r="C48" s="321" t="n"/>
      <c r="D48" s="322" t="n"/>
      <c r="E48" s="321" t="n"/>
      <c r="F48" s="321" t="n"/>
      <c r="G48" s="322" t="n"/>
      <c r="H48" s="322" t="n"/>
      <c r="I48" s="322" t="n"/>
      <c r="J48" s="322" t="n"/>
      <c r="K48" s="321" t="n"/>
      <c r="L48" s="322" t="n"/>
      <c r="M48" s="321" t="n"/>
      <c r="N48" s="320" t="n"/>
    </row>
    <row r="49" ht="30" customHeight="1" s="131">
      <c r="A49" s="321" t="n"/>
      <c r="B49" s="321" t="n"/>
      <c r="C49" s="321" t="n"/>
      <c r="D49" s="322" t="n"/>
      <c r="E49" s="321" t="n"/>
      <c r="F49" s="321" t="n"/>
      <c r="G49" s="322" t="n"/>
      <c r="H49" s="322" t="n"/>
      <c r="I49" s="322" t="n"/>
      <c r="J49" s="322" t="n"/>
      <c r="K49" s="321" t="n"/>
      <c r="L49" s="322" t="n"/>
      <c r="M49" s="321" t="n"/>
      <c r="N49" s="320" t="n"/>
    </row>
    <row r="50" ht="30" customHeight="1" s="131">
      <c r="A50" s="321" t="n"/>
      <c r="B50" s="321" t="n"/>
      <c r="C50" s="321" t="n"/>
      <c r="D50" s="322" t="n"/>
      <c r="E50" s="321" t="n"/>
      <c r="F50" s="321" t="n"/>
      <c r="G50" s="322" t="n"/>
      <c r="H50" s="322" t="n"/>
      <c r="I50" s="322" t="n"/>
      <c r="J50" s="322" t="n"/>
      <c r="K50" s="321" t="n"/>
      <c r="L50" s="322" t="n"/>
      <c r="M50" s="321" t="n"/>
      <c r="N50" s="320" t="n"/>
    </row>
    <row r="51" ht="30" customHeight="1" s="131">
      <c r="A51" s="321" t="n"/>
      <c r="B51" s="321" t="n"/>
      <c r="C51" s="321" t="n"/>
      <c r="D51" s="322" t="n"/>
      <c r="E51" s="321" t="n"/>
      <c r="F51" s="321" t="n"/>
      <c r="G51" s="322" t="n"/>
      <c r="H51" s="322" t="n"/>
      <c r="I51" s="322" t="n"/>
      <c r="J51" s="322" t="n"/>
      <c r="K51" s="321" t="n"/>
      <c r="L51" s="322" t="n"/>
      <c r="M51" s="321" t="n"/>
      <c r="N51" s="320" t="n"/>
    </row>
    <row r="52" ht="30" customHeight="1" s="131">
      <c r="A52" s="321" t="n"/>
      <c r="B52" s="321" t="n"/>
      <c r="C52" s="321" t="n"/>
      <c r="D52" s="322" t="n"/>
      <c r="E52" s="321" t="n"/>
      <c r="F52" s="321" t="n"/>
      <c r="G52" s="322" t="n"/>
      <c r="H52" s="322" t="n"/>
      <c r="I52" s="322" t="n"/>
      <c r="J52" s="322" t="n"/>
      <c r="K52" s="321" t="n"/>
      <c r="L52" s="322" t="n"/>
      <c r="M52" s="321" t="n"/>
      <c r="N52" s="320" t="n"/>
    </row>
    <row r="53" ht="30" customHeight="1" s="131">
      <c r="A53" s="321" t="n"/>
      <c r="B53" s="321" t="n"/>
      <c r="C53" s="321" t="n"/>
      <c r="D53" s="322" t="n"/>
      <c r="E53" s="321" t="n"/>
      <c r="F53" s="321" t="n"/>
      <c r="G53" s="322" t="n"/>
      <c r="H53" s="322" t="n"/>
      <c r="I53" s="322" t="n"/>
      <c r="J53" s="322" t="n"/>
      <c r="K53" s="321" t="n"/>
      <c r="L53" s="322" t="n"/>
      <c r="M53" s="321" t="n"/>
      <c r="N53" s="320" t="n"/>
    </row>
    <row r="54" ht="30" customHeight="1" s="131">
      <c r="A54" s="321" t="n"/>
      <c r="B54" s="321" t="n"/>
      <c r="C54" s="321" t="n"/>
      <c r="D54" s="322" t="n"/>
      <c r="E54" s="321" t="n"/>
      <c r="F54" s="321" t="n"/>
      <c r="G54" s="322" t="n"/>
      <c r="H54" s="322" t="n"/>
      <c r="I54" s="322" t="n"/>
      <c r="J54" s="322" t="n"/>
      <c r="K54" s="321" t="n"/>
      <c r="L54" s="322" t="n"/>
      <c r="M54" s="321" t="n"/>
      <c r="N54" s="320" t="n"/>
    </row>
    <row r="55" ht="30" customHeight="1" s="131">
      <c r="A55" s="321" t="n"/>
      <c r="B55" s="321" t="n"/>
      <c r="C55" s="321" t="n"/>
      <c r="D55" s="322" t="n"/>
      <c r="E55" s="321" t="n"/>
      <c r="F55" s="321" t="n"/>
      <c r="G55" s="322" t="n"/>
      <c r="H55" s="322" t="n"/>
      <c r="I55" s="322" t="n"/>
      <c r="J55" s="322" t="n"/>
      <c r="K55" s="321" t="n"/>
      <c r="L55" s="322" t="n"/>
      <c r="M55" s="321" t="n"/>
      <c r="N55" s="320" t="n"/>
    </row>
    <row r="56" ht="30" customHeight="1" s="131">
      <c r="A56" s="321" t="n"/>
      <c r="B56" s="321" t="n"/>
      <c r="C56" s="321" t="n"/>
      <c r="D56" s="322" t="n"/>
      <c r="E56" s="321" t="n"/>
      <c r="F56" s="321" t="n"/>
      <c r="G56" s="322" t="n"/>
      <c r="H56" s="322" t="n"/>
      <c r="I56" s="322" t="n"/>
      <c r="J56" s="322" t="n"/>
      <c r="K56" s="321" t="n"/>
      <c r="L56" s="322" t="n"/>
      <c r="M56" s="321" t="n"/>
      <c r="N56" s="320" t="n"/>
    </row>
    <row r="57" ht="30" customHeight="1" s="131">
      <c r="A57" s="321" t="n"/>
      <c r="B57" s="321" t="n"/>
      <c r="C57" s="321" t="n"/>
      <c r="D57" s="322" t="n"/>
      <c r="E57" s="321" t="n"/>
      <c r="F57" s="321" t="n"/>
      <c r="G57" s="322" t="n"/>
      <c r="H57" s="322" t="n"/>
      <c r="I57" s="322" t="n"/>
      <c r="J57" s="322" t="n"/>
      <c r="K57" s="321" t="n"/>
      <c r="L57" s="322" t="n"/>
      <c r="M57" s="321" t="n"/>
      <c r="N57" s="320" t="n"/>
    </row>
    <row r="58" ht="30" customHeight="1" s="131">
      <c r="A58" s="321" t="n"/>
      <c r="B58" s="321" t="n"/>
      <c r="C58" s="321" t="n"/>
      <c r="D58" s="322" t="n"/>
      <c r="E58" s="321" t="n"/>
      <c r="F58" s="321" t="n"/>
      <c r="G58" s="322" t="n"/>
      <c r="H58" s="322" t="n"/>
      <c r="I58" s="322" t="n"/>
      <c r="J58" s="322" t="n"/>
      <c r="K58" s="321" t="n"/>
      <c r="L58" s="322" t="n"/>
      <c r="M58" s="321" t="n"/>
      <c r="N58" s="320" t="n"/>
    </row>
    <row r="59" ht="30" customHeight="1" s="131">
      <c r="A59" s="321" t="n"/>
      <c r="B59" s="321" t="n"/>
      <c r="C59" s="321" t="n"/>
      <c r="D59" s="322" t="n"/>
      <c r="E59" s="321" t="n"/>
      <c r="F59" s="321" t="n"/>
      <c r="G59" s="322" t="n"/>
      <c r="H59" s="322" t="n"/>
      <c r="I59" s="322" t="n"/>
      <c r="J59" s="322" t="n"/>
      <c r="K59" s="321" t="n"/>
      <c r="L59" s="322" t="n"/>
      <c r="M59" s="321" t="n"/>
      <c r="N59" s="320" t="n"/>
    </row>
    <row r="60" ht="30" customHeight="1" s="131">
      <c r="A60" s="321" t="n"/>
      <c r="B60" s="321" t="n"/>
      <c r="C60" s="321" t="n"/>
      <c r="D60" s="322" t="n"/>
      <c r="E60" s="321" t="n"/>
      <c r="F60" s="321" t="n"/>
      <c r="G60" s="322" t="n"/>
      <c r="H60" s="322" t="n"/>
      <c r="I60" s="322" t="n"/>
      <c r="J60" s="322" t="n"/>
      <c r="K60" s="321" t="n"/>
      <c r="L60" s="322" t="n"/>
      <c r="M60" s="321" t="n"/>
      <c r="N60" s="320" t="n"/>
    </row>
    <row r="61" ht="30" customHeight="1" s="131">
      <c r="A61" s="321" t="n"/>
      <c r="B61" s="321" t="n"/>
      <c r="C61" s="321" t="n"/>
      <c r="D61" s="322" t="n"/>
      <c r="E61" s="321" t="n"/>
      <c r="F61" s="321" t="n"/>
      <c r="G61" s="322" t="n"/>
      <c r="H61" s="322" t="n"/>
      <c r="I61" s="322" t="n"/>
      <c r="J61" s="322" t="n"/>
      <c r="K61" s="321" t="n"/>
      <c r="L61" s="322" t="n"/>
      <c r="M61" s="321" t="n"/>
      <c r="N61" s="320" t="n"/>
    </row>
    <row r="62" ht="30" customHeight="1" s="131">
      <c r="A62" s="321" t="n"/>
      <c r="B62" s="321" t="n"/>
      <c r="C62" s="321" t="n"/>
      <c r="D62" s="322" t="n"/>
      <c r="E62" s="321" t="n"/>
      <c r="F62" s="321" t="n"/>
      <c r="G62" s="322" t="n"/>
      <c r="H62" s="322" t="n"/>
      <c r="I62" s="322" t="n"/>
      <c r="J62" s="322" t="n"/>
      <c r="K62" s="321" t="n"/>
      <c r="L62" s="322" t="n"/>
      <c r="M62" s="321" t="n"/>
      <c r="N62" s="320" t="n"/>
    </row>
    <row r="63" ht="30" customHeight="1" s="131">
      <c r="A63" s="321" t="n"/>
      <c r="B63" s="321" t="n"/>
      <c r="C63" s="321" t="n"/>
      <c r="D63" s="322" t="n"/>
      <c r="E63" s="321" t="n"/>
      <c r="F63" s="321" t="n"/>
      <c r="G63" s="322" t="n"/>
      <c r="H63" s="322" t="n"/>
      <c r="I63" s="322" t="n"/>
      <c r="J63" s="322" t="n"/>
      <c r="K63" s="321" t="n"/>
      <c r="L63" s="322" t="n"/>
      <c r="M63" s="321" t="n"/>
      <c r="N63" s="320" t="n"/>
    </row>
    <row r="64" ht="30" customHeight="1" s="131">
      <c r="A64" s="321" t="n"/>
      <c r="B64" s="321" t="n"/>
      <c r="C64" s="321" t="n"/>
      <c r="D64" s="322" t="n"/>
      <c r="E64" s="321" t="n"/>
      <c r="F64" s="321" t="n"/>
      <c r="G64" s="322" t="n"/>
      <c r="H64" s="322" t="n"/>
      <c r="I64" s="322" t="n"/>
      <c r="J64" s="322" t="n"/>
      <c r="K64" s="321" t="n"/>
      <c r="L64" s="322" t="n"/>
      <c r="M64" s="321" t="n"/>
      <c r="N64" s="320" t="n"/>
    </row>
    <row r="65" ht="30" customHeight="1" s="131">
      <c r="A65" s="321" t="n"/>
      <c r="B65" s="321" t="n"/>
      <c r="C65" s="321" t="n"/>
      <c r="D65" s="322" t="n"/>
      <c r="E65" s="321" t="n"/>
      <c r="F65" s="321" t="n"/>
      <c r="G65" s="322" t="n"/>
      <c r="H65" s="322" t="n"/>
      <c r="I65" s="322" t="n"/>
      <c r="J65" s="322" t="n"/>
      <c r="K65" s="321" t="n"/>
      <c r="L65" s="322" t="n"/>
      <c r="M65" s="321" t="n"/>
      <c r="N65" s="320" t="n"/>
    </row>
    <row r="66" ht="30" customHeight="1" s="131">
      <c r="A66" s="321" t="n"/>
      <c r="B66" s="321" t="n"/>
      <c r="C66" s="321" t="n"/>
      <c r="D66" s="322" t="n"/>
      <c r="E66" s="321" t="n"/>
      <c r="F66" s="321" t="n"/>
      <c r="G66" s="322" t="n"/>
      <c r="H66" s="322" t="n"/>
      <c r="I66" s="322" t="n"/>
      <c r="J66" s="322" t="n"/>
      <c r="K66" s="321" t="n"/>
      <c r="L66" s="322" t="n"/>
      <c r="M66" s="321" t="n"/>
      <c r="N66" s="320" t="n"/>
    </row>
    <row r="67" ht="30" customHeight="1" s="131">
      <c r="A67" s="321" t="n"/>
      <c r="B67" s="321" t="n"/>
      <c r="C67" s="321" t="n"/>
      <c r="D67" s="322" t="n"/>
      <c r="E67" s="321" t="n"/>
      <c r="F67" s="321" t="n"/>
      <c r="G67" s="322" t="n"/>
      <c r="H67" s="322" t="n"/>
      <c r="I67" s="322" t="n"/>
      <c r="J67" s="322" t="n"/>
      <c r="K67" s="321" t="n"/>
      <c r="L67" s="322" t="n"/>
      <c r="M67" s="321" t="n"/>
      <c r="N67" s="320" t="n"/>
    </row>
    <row r="68" ht="30" customHeight="1" s="131">
      <c r="A68" s="321" t="n"/>
      <c r="B68" s="321" t="n"/>
      <c r="C68" s="321" t="n"/>
      <c r="D68" s="322" t="n"/>
      <c r="E68" s="321" t="n"/>
      <c r="F68" s="321" t="n"/>
      <c r="G68" s="322" t="n"/>
      <c r="H68" s="322" t="n"/>
      <c r="I68" s="322" t="n"/>
      <c r="J68" s="322" t="n"/>
      <c r="K68" s="321" t="n"/>
      <c r="L68" s="322" t="n"/>
      <c r="M68" s="321" t="n"/>
      <c r="N68" s="320" t="n"/>
    </row>
    <row r="69" ht="30" customHeight="1" s="131">
      <c r="A69" s="321" t="n"/>
      <c r="B69" s="321" t="n"/>
      <c r="C69" s="321" t="n"/>
      <c r="D69" s="322" t="n"/>
      <c r="E69" s="321" t="n"/>
      <c r="F69" s="321" t="n"/>
      <c r="G69" s="322" t="n"/>
      <c r="H69" s="322" t="n"/>
      <c r="I69" s="322" t="n"/>
      <c r="J69" s="322" t="n"/>
      <c r="K69" s="321" t="n"/>
      <c r="L69" s="322" t="n"/>
      <c r="M69" s="321" t="n"/>
      <c r="N69" s="320" t="n"/>
    </row>
    <row r="70" ht="30" customHeight="1" s="131">
      <c r="A70" s="321" t="n"/>
      <c r="B70" s="321" t="n"/>
      <c r="C70" s="321" t="n"/>
      <c r="D70" s="322" t="n"/>
      <c r="E70" s="321" t="n"/>
      <c r="F70" s="321" t="n"/>
      <c r="G70" s="322" t="n"/>
      <c r="H70" s="322" t="n"/>
      <c r="I70" s="322" t="n"/>
      <c r="J70" s="322" t="n"/>
      <c r="K70" s="321" t="n"/>
      <c r="L70" s="322" t="n"/>
      <c r="M70" s="321" t="n"/>
      <c r="N70" s="320" t="n"/>
    </row>
    <row r="71" ht="30" customHeight="1" s="131">
      <c r="A71" s="321" t="n"/>
      <c r="B71" s="321" t="n"/>
      <c r="C71" s="321" t="n"/>
      <c r="D71" s="322" t="n"/>
      <c r="E71" s="321" t="n"/>
      <c r="F71" s="321" t="n"/>
      <c r="G71" s="322" t="n"/>
      <c r="H71" s="322" t="n"/>
      <c r="I71" s="322" t="n"/>
      <c r="J71" s="322" t="n"/>
      <c r="K71" s="321" t="n"/>
      <c r="L71" s="322" t="n"/>
      <c r="M71" s="321" t="n"/>
      <c r="N71" s="320" t="n"/>
    </row>
    <row r="72" ht="30" customHeight="1" s="131">
      <c r="A72" s="321" t="n"/>
      <c r="B72" s="321" t="n"/>
      <c r="C72" s="321" t="n"/>
      <c r="D72" s="322" t="n"/>
      <c r="E72" s="321" t="n"/>
      <c r="F72" s="321" t="n"/>
      <c r="G72" s="322" t="n"/>
      <c r="H72" s="322" t="n"/>
      <c r="I72" s="322" t="n"/>
      <c r="J72" s="322" t="n"/>
      <c r="K72" s="321" t="n"/>
      <c r="L72" s="322" t="n"/>
      <c r="M72" s="321" t="n"/>
      <c r="N72" s="320" t="n"/>
    </row>
    <row r="73" ht="30" customHeight="1" s="131">
      <c r="A73" s="321" t="n"/>
      <c r="B73" s="321" t="n"/>
      <c r="C73" s="321" t="n"/>
      <c r="D73" s="322" t="n"/>
      <c r="E73" s="321" t="n"/>
      <c r="F73" s="321" t="n"/>
      <c r="G73" s="322" t="n"/>
      <c r="H73" s="322" t="n"/>
      <c r="I73" s="322" t="n"/>
      <c r="J73" s="322" t="n"/>
      <c r="K73" s="321" t="n"/>
      <c r="L73" s="322" t="n"/>
      <c r="M73" s="321" t="n"/>
      <c r="N73" s="320" t="n"/>
    </row>
    <row r="74" ht="30" customHeight="1" s="131">
      <c r="A74" s="321" t="n"/>
      <c r="B74" s="321" t="n"/>
      <c r="C74" s="321" t="n"/>
      <c r="D74" s="322" t="n"/>
      <c r="E74" s="321" t="n"/>
      <c r="F74" s="321" t="n"/>
      <c r="G74" s="322" t="n"/>
      <c r="H74" s="322" t="n"/>
      <c r="I74" s="322" t="n"/>
      <c r="J74" s="322" t="n"/>
      <c r="K74" s="321" t="n"/>
      <c r="L74" s="322" t="n"/>
      <c r="M74" s="321" t="n"/>
      <c r="N74" s="320" t="n"/>
    </row>
    <row r="75" ht="30" customHeight="1" s="131">
      <c r="A75" s="321" t="n"/>
      <c r="B75" s="321" t="n"/>
      <c r="C75" s="321" t="n"/>
      <c r="D75" s="322" t="n"/>
      <c r="E75" s="321" t="n"/>
      <c r="F75" s="321" t="n"/>
      <c r="G75" s="322" t="n"/>
      <c r="H75" s="322" t="n"/>
      <c r="I75" s="322" t="n"/>
      <c r="J75" s="322" t="n"/>
      <c r="K75" s="321" t="n"/>
      <c r="L75" s="322" t="n"/>
      <c r="M75" s="321" t="n"/>
      <c r="N75" s="320" t="n"/>
    </row>
    <row r="76" ht="30" customHeight="1" s="131">
      <c r="A76" s="321" t="n"/>
      <c r="B76" s="321" t="n"/>
      <c r="C76" s="321" t="n"/>
      <c r="D76" s="322" t="n"/>
      <c r="E76" s="321" t="n"/>
      <c r="F76" s="321" t="n"/>
      <c r="G76" s="322" t="n"/>
      <c r="H76" s="322" t="n"/>
      <c r="I76" s="322" t="n"/>
      <c r="J76" s="322" t="n"/>
      <c r="K76" s="321" t="n"/>
      <c r="L76" s="322" t="n"/>
      <c r="M76" s="321" t="n"/>
      <c r="N76" s="320" t="n"/>
    </row>
    <row r="77" ht="30" customHeight="1" s="131">
      <c r="A77" s="321" t="n"/>
      <c r="B77" s="321" t="n"/>
      <c r="C77" s="321" t="n"/>
      <c r="D77" s="322" t="n"/>
      <c r="E77" s="321" t="n"/>
      <c r="F77" s="321" t="n"/>
      <c r="G77" s="322" t="n"/>
      <c r="H77" s="322" t="n"/>
      <c r="I77" s="322" t="n"/>
      <c r="J77" s="322" t="n"/>
      <c r="K77" s="321" t="n"/>
      <c r="L77" s="322" t="n"/>
      <c r="M77" s="321" t="n"/>
      <c r="N77" s="320" t="n"/>
    </row>
    <row r="78" ht="30" customHeight="1" s="131">
      <c r="A78" s="321" t="n"/>
      <c r="B78" s="321" t="n"/>
      <c r="C78" s="321" t="n"/>
      <c r="D78" s="322" t="n"/>
      <c r="E78" s="321" t="n"/>
      <c r="F78" s="321" t="n"/>
      <c r="G78" s="322" t="n"/>
      <c r="H78" s="322" t="n"/>
      <c r="I78" s="322" t="n"/>
      <c r="J78" s="322" t="n"/>
      <c r="K78" s="321" t="n"/>
      <c r="L78" s="322" t="n"/>
      <c r="M78" s="321" t="n"/>
      <c r="N78" s="320" t="n"/>
    </row>
    <row r="79" ht="30" customHeight="1" s="131">
      <c r="A79" s="321" t="n"/>
      <c r="B79" s="321" t="n"/>
      <c r="C79" s="321" t="n"/>
      <c r="D79" s="322" t="n"/>
      <c r="E79" s="321" t="n"/>
      <c r="F79" s="321" t="n"/>
      <c r="G79" s="322" t="n"/>
      <c r="H79" s="322" t="n"/>
      <c r="I79" s="322" t="n"/>
      <c r="J79" s="322" t="n"/>
      <c r="K79" s="321" t="n"/>
      <c r="L79" s="322" t="n"/>
      <c r="M79" s="321" t="n"/>
      <c r="N79" s="320" t="n"/>
    </row>
    <row r="80" ht="30" customHeight="1" s="131">
      <c r="A80" s="321" t="n"/>
      <c r="B80" s="321" t="n"/>
      <c r="C80" s="321" t="n"/>
      <c r="D80" s="322" t="n"/>
      <c r="E80" s="321" t="n"/>
      <c r="F80" s="321" t="n"/>
      <c r="G80" s="322" t="n"/>
      <c r="H80" s="322" t="n"/>
      <c r="I80" s="322" t="n"/>
      <c r="J80" s="322" t="n"/>
      <c r="K80" s="321" t="n"/>
      <c r="L80" s="322" t="n"/>
      <c r="M80" s="321" t="n"/>
      <c r="N80" s="320" t="n"/>
    </row>
    <row r="81" ht="30" customHeight="1" s="131">
      <c r="A81" s="321" t="n"/>
      <c r="B81" s="321" t="n"/>
      <c r="C81" s="321" t="n"/>
      <c r="D81" s="322" t="n"/>
      <c r="E81" s="321" t="n"/>
      <c r="F81" s="321" t="n"/>
      <c r="G81" s="322" t="n"/>
      <c r="H81" s="322" t="n"/>
      <c r="I81" s="322" t="n"/>
      <c r="J81" s="322" t="n"/>
      <c r="K81" s="321" t="n"/>
      <c r="L81" s="322" t="n"/>
      <c r="M81" s="321" t="n"/>
      <c r="N81" s="320" t="n"/>
    </row>
    <row r="82" ht="30" customHeight="1" s="131">
      <c r="A82" s="321" t="n"/>
      <c r="B82" s="321" t="n"/>
      <c r="C82" s="321" t="n"/>
      <c r="D82" s="322" t="n"/>
      <c r="E82" s="321" t="n"/>
      <c r="F82" s="321" t="n"/>
      <c r="G82" s="322" t="n"/>
      <c r="H82" s="322" t="n"/>
      <c r="I82" s="322" t="n"/>
      <c r="J82" s="322" t="n"/>
      <c r="K82" s="321" t="n"/>
      <c r="L82" s="322" t="n"/>
      <c r="M82" s="321" t="n"/>
      <c r="N82" s="320" t="n"/>
    </row>
    <row r="83" ht="30" customHeight="1" s="131">
      <c r="A83" s="321" t="n"/>
      <c r="B83" s="321" t="n"/>
      <c r="C83" s="321" t="n"/>
      <c r="D83" s="322" t="n"/>
      <c r="E83" s="321" t="n"/>
      <c r="F83" s="321" t="n"/>
      <c r="G83" s="322" t="n"/>
      <c r="H83" s="322" t="n"/>
      <c r="I83" s="322" t="n"/>
      <c r="J83" s="322" t="n"/>
      <c r="K83" s="321" t="n"/>
      <c r="L83" s="322" t="n"/>
      <c r="M83" s="321" t="n"/>
      <c r="N83" s="320" t="n"/>
    </row>
    <row r="84" ht="30" customHeight="1" s="131">
      <c r="A84" s="321" t="n"/>
      <c r="B84" s="321" t="n"/>
      <c r="C84" s="321" t="n"/>
      <c r="D84" s="322" t="n"/>
      <c r="E84" s="321" t="n"/>
      <c r="F84" s="321" t="n"/>
      <c r="G84" s="322" t="n"/>
      <c r="H84" s="322" t="n"/>
      <c r="I84" s="322" t="n"/>
      <c r="J84" s="322" t="n"/>
      <c r="K84" s="321" t="n"/>
      <c r="L84" s="322" t="n"/>
      <c r="M84" s="321" t="n"/>
      <c r="N84" s="320" t="n"/>
    </row>
    <row r="85" ht="30" customHeight="1" s="131">
      <c r="A85" s="321" t="n"/>
      <c r="B85" s="321" t="n"/>
      <c r="C85" s="321" t="n"/>
      <c r="D85" s="322" t="n"/>
      <c r="E85" s="321" t="n"/>
      <c r="F85" s="321" t="n"/>
      <c r="G85" s="322" t="n"/>
      <c r="H85" s="322" t="n"/>
      <c r="I85" s="322" t="n"/>
      <c r="J85" s="322" t="n"/>
      <c r="K85" s="321" t="n"/>
      <c r="L85" s="322" t="n"/>
      <c r="M85" s="321" t="n"/>
      <c r="N85" s="320" t="n"/>
    </row>
    <row r="86" ht="30" customHeight="1" s="131">
      <c r="A86" s="321" t="n"/>
      <c r="B86" s="321" t="n"/>
      <c r="C86" s="321" t="n"/>
      <c r="D86" s="322" t="n"/>
      <c r="E86" s="321" t="n"/>
      <c r="F86" s="321" t="n"/>
      <c r="G86" s="322" t="n"/>
      <c r="H86" s="322" t="n"/>
      <c r="I86" s="322" t="n"/>
      <c r="J86" s="322" t="n"/>
      <c r="K86" s="321" t="n"/>
      <c r="L86" s="322" t="n"/>
      <c r="M86" s="321" t="n"/>
      <c r="N86" s="320" t="n"/>
    </row>
    <row r="87" ht="30" customHeight="1" s="131">
      <c r="A87" s="321" t="n"/>
      <c r="B87" s="321" t="n"/>
      <c r="C87" s="321" t="n"/>
      <c r="D87" s="322" t="n"/>
      <c r="E87" s="321" t="n"/>
      <c r="F87" s="321" t="n"/>
      <c r="G87" s="322" t="n"/>
      <c r="H87" s="322" t="n"/>
      <c r="I87" s="322" t="n"/>
      <c r="J87" s="322" t="n"/>
      <c r="K87" s="321" t="n"/>
      <c r="L87" s="322" t="n"/>
      <c r="M87" s="321" t="n"/>
      <c r="N87" s="320" t="n"/>
    </row>
    <row r="88" ht="30" customHeight="1" s="131">
      <c r="A88" s="321" t="n"/>
      <c r="B88" s="321" t="n"/>
      <c r="C88" s="321" t="n"/>
      <c r="D88" s="322" t="n"/>
      <c r="E88" s="321" t="n"/>
      <c r="F88" s="321" t="n"/>
      <c r="G88" s="322" t="n"/>
      <c r="H88" s="322" t="n"/>
      <c r="I88" s="322" t="n"/>
      <c r="J88" s="322" t="n"/>
      <c r="K88" s="321" t="n"/>
      <c r="L88" s="322" t="n"/>
      <c r="M88" s="321" t="n"/>
      <c r="N88" s="320" t="n"/>
    </row>
    <row r="89" ht="30" customHeight="1" s="131">
      <c r="A89" s="321" t="n"/>
      <c r="B89" s="321" t="n"/>
      <c r="C89" s="321" t="n"/>
      <c r="D89" s="322" t="n"/>
      <c r="E89" s="321" t="n"/>
      <c r="F89" s="321" t="n"/>
      <c r="G89" s="322" t="n"/>
      <c r="H89" s="322" t="n"/>
      <c r="I89" s="322" t="n"/>
      <c r="J89" s="322" t="n"/>
      <c r="K89" s="321" t="n"/>
      <c r="L89" s="322" t="n"/>
      <c r="M89" s="321" t="n"/>
      <c r="N89" s="320" t="n"/>
    </row>
    <row r="90" ht="30" customHeight="1" s="131">
      <c r="A90" s="321" t="n"/>
      <c r="B90" s="321" t="n"/>
      <c r="C90" s="321" t="n"/>
      <c r="D90" s="322" t="n"/>
      <c r="E90" s="321" t="n"/>
      <c r="F90" s="321" t="n"/>
      <c r="G90" s="322" t="n"/>
      <c r="H90" s="322" t="n"/>
      <c r="I90" s="322" t="n"/>
      <c r="J90" s="322" t="n"/>
      <c r="K90" s="321" t="n"/>
      <c r="L90" s="322" t="n"/>
      <c r="M90" s="321" t="n"/>
      <c r="N90" s="320" t="n"/>
    </row>
    <row r="91" ht="30" customHeight="1" s="131">
      <c r="A91" s="321" t="n"/>
      <c r="B91" s="321" t="n"/>
      <c r="C91" s="321" t="n"/>
      <c r="D91" s="322" t="n"/>
      <c r="E91" s="321" t="n"/>
      <c r="F91" s="321" t="n"/>
      <c r="G91" s="322" t="n"/>
      <c r="H91" s="322" t="n"/>
      <c r="I91" s="322" t="n"/>
      <c r="J91" s="322" t="n"/>
      <c r="K91" s="321" t="n"/>
      <c r="L91" s="322" t="n"/>
      <c r="M91" s="321" t="n"/>
      <c r="N91" s="320" t="n"/>
    </row>
    <row r="92" ht="30" customHeight="1" s="131">
      <c r="A92" s="321" t="n"/>
      <c r="B92" s="321" t="n"/>
      <c r="C92" s="321" t="n"/>
      <c r="D92" s="322" t="n"/>
      <c r="E92" s="321" t="n"/>
      <c r="F92" s="321" t="n"/>
      <c r="G92" s="322" t="n"/>
      <c r="H92" s="322" t="n"/>
      <c r="I92" s="322" t="n"/>
      <c r="J92" s="322" t="n"/>
      <c r="K92" s="321" t="n"/>
      <c r="L92" s="322" t="n"/>
      <c r="M92" s="321" t="n"/>
      <c r="N92" s="320" t="n"/>
    </row>
    <row r="93" ht="30" customHeight="1" s="131">
      <c r="A93" s="321" t="n"/>
      <c r="B93" s="321" t="n"/>
      <c r="C93" s="321" t="n"/>
      <c r="D93" s="322" t="n"/>
      <c r="E93" s="321" t="n"/>
      <c r="F93" s="321" t="n"/>
      <c r="G93" s="322" t="n"/>
      <c r="H93" s="322" t="n"/>
      <c r="I93" s="322" t="n"/>
      <c r="J93" s="322" t="n"/>
      <c r="K93" s="321" t="n"/>
      <c r="L93" s="322" t="n"/>
      <c r="M93" s="321" t="n"/>
      <c r="N93" s="320" t="n"/>
    </row>
    <row r="94" ht="30" customHeight="1" s="131">
      <c r="A94" s="321" t="n"/>
      <c r="B94" s="321" t="n"/>
      <c r="C94" s="321" t="n"/>
      <c r="D94" s="322" t="n"/>
      <c r="E94" s="321" t="n"/>
      <c r="F94" s="321" t="n"/>
      <c r="G94" s="322" t="n"/>
      <c r="H94" s="322" t="n"/>
      <c r="I94" s="322" t="n"/>
      <c r="J94" s="322" t="n"/>
      <c r="K94" s="321" t="n"/>
      <c r="L94" s="322" t="n"/>
      <c r="M94" s="321" t="n"/>
      <c r="N94" s="320" t="n"/>
    </row>
    <row r="95" ht="30" customHeight="1" s="131">
      <c r="A95" s="321" t="n"/>
      <c r="B95" s="321" t="n"/>
      <c r="C95" s="321" t="n"/>
      <c r="D95" s="322" t="n"/>
      <c r="E95" s="321" t="n"/>
      <c r="F95" s="321" t="n"/>
      <c r="G95" s="322" t="n"/>
      <c r="H95" s="322" t="n"/>
      <c r="I95" s="322" t="n"/>
      <c r="J95" s="322" t="n"/>
      <c r="K95" s="321" t="n"/>
      <c r="L95" s="322" t="n"/>
      <c r="M95" s="321" t="n"/>
      <c r="N95" s="320" t="n"/>
    </row>
    <row r="96" ht="30" customHeight="1" s="131">
      <c r="A96" s="321" t="n"/>
      <c r="B96" s="321" t="n"/>
      <c r="C96" s="321" t="n"/>
      <c r="D96" s="322" t="n"/>
      <c r="E96" s="321" t="n"/>
      <c r="F96" s="321" t="n"/>
      <c r="G96" s="322" t="n"/>
      <c r="H96" s="322" t="n"/>
      <c r="I96" s="322" t="n"/>
      <c r="J96" s="322" t="n"/>
      <c r="K96" s="321" t="n"/>
      <c r="L96" s="322" t="n"/>
      <c r="M96" s="321" t="n"/>
      <c r="N96" s="320" t="n"/>
    </row>
    <row r="97" ht="30" customHeight="1" s="131">
      <c r="A97" s="321" t="n"/>
      <c r="B97" s="321" t="n"/>
      <c r="C97" s="321" t="n"/>
      <c r="D97" s="322" t="n"/>
      <c r="E97" s="321" t="n"/>
      <c r="F97" s="321" t="n"/>
      <c r="G97" s="322" t="n"/>
      <c r="H97" s="322" t="n"/>
      <c r="I97" s="322" t="n"/>
      <c r="J97" s="322" t="n"/>
      <c r="K97" s="321" t="n"/>
      <c r="L97" s="322" t="n"/>
      <c r="M97" s="321" t="n"/>
      <c r="N97" s="320" t="n"/>
    </row>
    <row r="98" ht="30" customHeight="1" s="131">
      <c r="A98" s="321" t="n"/>
      <c r="B98" s="321" t="n"/>
      <c r="C98" s="321" t="n"/>
      <c r="D98" s="322" t="n"/>
      <c r="E98" s="321" t="n"/>
      <c r="F98" s="321" t="n"/>
      <c r="G98" s="322" t="n"/>
      <c r="H98" s="322" t="n"/>
      <c r="I98" s="322" t="n"/>
      <c r="J98" s="322" t="n"/>
      <c r="K98" s="321" t="n"/>
      <c r="L98" s="322" t="n"/>
      <c r="M98" s="321" t="n"/>
      <c r="N98" s="320" t="n"/>
    </row>
    <row r="99" ht="30" customHeight="1" s="131">
      <c r="A99" s="321" t="n"/>
      <c r="B99" s="321" t="n"/>
      <c r="C99" s="321" t="n"/>
      <c r="D99" s="322" t="n"/>
      <c r="E99" s="321" t="n"/>
      <c r="F99" s="321" t="n"/>
      <c r="G99" s="322" t="n"/>
      <c r="H99" s="322" t="n"/>
      <c r="I99" s="322" t="n"/>
      <c r="J99" s="322" t="n"/>
      <c r="K99" s="321" t="n"/>
      <c r="L99" s="322" t="n"/>
      <c r="M99" s="321" t="n"/>
      <c r="N99" s="320" t="n"/>
    </row>
    <row r="100" ht="30" customHeight="1" s="131">
      <c r="A100" s="321" t="n"/>
      <c r="B100" s="321" t="n"/>
      <c r="C100" s="321" t="n"/>
      <c r="D100" s="322" t="n"/>
      <c r="E100" s="321" t="n"/>
      <c r="F100" s="321" t="n"/>
      <c r="G100" s="322" t="n"/>
      <c r="H100" s="322" t="n"/>
      <c r="I100" s="322" t="n"/>
      <c r="J100" s="322" t="n"/>
      <c r="K100" s="321" t="n"/>
      <c r="L100" s="322" t="n"/>
      <c r="M100" s="321" t="n"/>
      <c r="N100" s="320" t="n"/>
    </row>
    <row r="101" ht="30" customHeight="1" s="131">
      <c r="A101" s="321" t="n"/>
      <c r="B101" s="321" t="n"/>
      <c r="C101" s="321" t="n"/>
      <c r="D101" s="322" t="n"/>
      <c r="E101" s="321" t="n"/>
      <c r="F101" s="321" t="n"/>
      <c r="G101" s="322" t="n"/>
      <c r="H101" s="322" t="n"/>
      <c r="I101" s="322" t="n"/>
      <c r="J101" s="322" t="n"/>
      <c r="K101" s="321" t="n"/>
      <c r="L101" s="322" t="n"/>
      <c r="M101" s="321" t="n"/>
      <c r="N101" s="320" t="n"/>
    </row>
    <row r="102" ht="30" customHeight="1" s="131">
      <c r="A102" s="321" t="n"/>
      <c r="B102" s="321" t="n"/>
      <c r="C102" s="321" t="n"/>
      <c r="D102" s="322" t="n"/>
      <c r="E102" s="321" t="n"/>
      <c r="F102" s="321" t="n"/>
      <c r="G102" s="322" t="n"/>
      <c r="H102" s="322" t="n"/>
      <c r="I102" s="322" t="n"/>
      <c r="J102" s="322" t="n"/>
      <c r="K102" s="321" t="n"/>
      <c r="L102" s="322" t="n"/>
      <c r="M102" s="321" t="n"/>
      <c r="N102" s="320" t="n"/>
    </row>
    <row r="103" ht="30" customHeight="1" s="131">
      <c r="A103" s="321" t="n"/>
      <c r="B103" s="321" t="n"/>
      <c r="C103" s="321" t="n"/>
      <c r="D103" s="322" t="n"/>
      <c r="E103" s="321" t="n"/>
      <c r="F103" s="321" t="n"/>
      <c r="G103" s="322" t="n"/>
      <c r="H103" s="322" t="n"/>
      <c r="I103" s="322" t="n"/>
      <c r="J103" s="322" t="n"/>
      <c r="K103" s="321" t="n"/>
      <c r="L103" s="322" t="n"/>
      <c r="M103" s="321" t="n"/>
      <c r="N103" s="320" t="n"/>
    </row>
    <row r="104" ht="30" customHeight="1" s="131">
      <c r="A104" s="321" t="n"/>
      <c r="B104" s="321" t="n"/>
      <c r="C104" s="321" t="n"/>
      <c r="D104" s="322" t="n"/>
      <c r="E104" s="321" t="n"/>
      <c r="F104" s="321" t="n"/>
      <c r="G104" s="322" t="n"/>
      <c r="H104" s="322" t="n"/>
      <c r="I104" s="322" t="n"/>
      <c r="J104" s="322" t="n"/>
      <c r="K104" s="321" t="n"/>
      <c r="L104" s="322" t="n"/>
      <c r="M104" s="321" t="n"/>
      <c r="N104" s="320" t="n"/>
    </row>
    <row r="105" ht="30" customHeight="1" s="131">
      <c r="A105" s="321" t="n"/>
      <c r="B105" s="321" t="n"/>
      <c r="C105" s="321" t="n"/>
      <c r="D105" s="322" t="n"/>
      <c r="E105" s="321" t="n"/>
      <c r="F105" s="321" t="n"/>
      <c r="G105" s="322" t="n"/>
      <c r="H105" s="322" t="n"/>
      <c r="I105" s="322" t="n"/>
      <c r="J105" s="322" t="n"/>
      <c r="K105" s="321" t="n"/>
      <c r="L105" s="322" t="n"/>
      <c r="M105" s="321" t="n"/>
      <c r="N105" s="320" t="n"/>
    </row>
    <row r="106" ht="30" customHeight="1" s="131">
      <c r="A106" s="321" t="n"/>
      <c r="B106" s="321" t="n"/>
      <c r="C106" s="321" t="n"/>
      <c r="D106" s="322" t="n"/>
      <c r="E106" s="321" t="n"/>
      <c r="F106" s="321" t="n"/>
      <c r="G106" s="322" t="n"/>
      <c r="H106" s="322" t="n"/>
      <c r="I106" s="322" t="n"/>
      <c r="J106" s="322" t="n"/>
      <c r="K106" s="321" t="n"/>
      <c r="L106" s="322" t="n"/>
      <c r="M106" s="321" t="n"/>
      <c r="N106" s="320" t="n"/>
    </row>
    <row r="107" ht="30" customHeight="1" s="131">
      <c r="A107" s="321" t="n"/>
      <c r="B107" s="321" t="n"/>
      <c r="C107" s="321" t="n"/>
      <c r="D107" s="322" t="n"/>
      <c r="E107" s="321" t="n"/>
      <c r="F107" s="321" t="n"/>
      <c r="G107" s="322" t="n"/>
      <c r="H107" s="322" t="n"/>
      <c r="I107" s="322" t="n"/>
      <c r="J107" s="322" t="n"/>
      <c r="K107" s="321" t="n"/>
      <c r="L107" s="322" t="n"/>
      <c r="M107" s="321" t="n"/>
      <c r="N107" s="320" t="n"/>
    </row>
    <row r="108" ht="30" customHeight="1" s="131">
      <c r="A108" s="321" t="n"/>
      <c r="B108" s="321" t="n"/>
      <c r="C108" s="321" t="n"/>
      <c r="D108" s="322" t="n"/>
      <c r="E108" s="321" t="n"/>
      <c r="F108" s="321" t="n"/>
      <c r="G108" s="322" t="n"/>
      <c r="H108" s="322" t="n"/>
      <c r="I108" s="322" t="n"/>
      <c r="J108" s="322" t="n"/>
      <c r="K108" s="321" t="n"/>
      <c r="L108" s="322" t="n"/>
      <c r="M108" s="321" t="n"/>
      <c r="N108" s="320" t="n"/>
    </row>
    <row r="109" ht="30" customHeight="1" s="131">
      <c r="A109" s="321" t="n"/>
      <c r="B109" s="321" t="n"/>
      <c r="C109" s="321" t="n"/>
      <c r="D109" s="322" t="n"/>
      <c r="E109" s="321" t="n"/>
      <c r="F109" s="321" t="n"/>
      <c r="G109" s="322" t="n"/>
      <c r="H109" s="322" t="n"/>
      <c r="I109" s="322" t="n"/>
      <c r="J109" s="322" t="n"/>
      <c r="K109" s="321" t="n"/>
      <c r="L109" s="322" t="n"/>
      <c r="M109" s="321" t="n"/>
      <c r="N109" s="320" t="n"/>
    </row>
    <row r="110" ht="30" customHeight="1" s="131">
      <c r="A110" s="321" t="n"/>
      <c r="B110" s="321" t="n"/>
      <c r="C110" s="321" t="n"/>
      <c r="D110" s="322" t="n"/>
      <c r="E110" s="321" t="n"/>
      <c r="F110" s="321" t="n"/>
      <c r="G110" s="322" t="n"/>
      <c r="H110" s="322" t="n"/>
      <c r="I110" s="322" t="n"/>
      <c r="J110" s="322" t="n"/>
      <c r="K110" s="321" t="n"/>
      <c r="L110" s="322" t="n"/>
      <c r="M110" s="321" t="n"/>
      <c r="N110" s="320" t="n"/>
    </row>
    <row r="111" ht="30" customHeight="1" s="131">
      <c r="A111" s="321" t="n"/>
      <c r="B111" s="321" t="n"/>
      <c r="C111" s="321" t="n"/>
      <c r="D111" s="322" t="n"/>
      <c r="E111" s="321" t="n"/>
      <c r="F111" s="321" t="n"/>
      <c r="G111" s="322" t="n"/>
      <c r="H111" s="322" t="n"/>
      <c r="I111" s="322" t="n"/>
      <c r="J111" s="322" t="n"/>
      <c r="K111" s="321" t="n"/>
      <c r="L111" s="322" t="n"/>
      <c r="M111" s="321" t="n"/>
      <c r="N111" s="320" t="n"/>
    </row>
    <row r="112" ht="30" customHeight="1" s="131">
      <c r="A112" s="321" t="n"/>
      <c r="B112" s="321" t="n"/>
      <c r="C112" s="321" t="n"/>
      <c r="D112" s="322" t="n"/>
      <c r="E112" s="321" t="n"/>
      <c r="F112" s="321" t="n"/>
      <c r="G112" s="322" t="n"/>
      <c r="H112" s="322" t="n"/>
      <c r="I112" s="322" t="n"/>
      <c r="J112" s="322" t="n"/>
      <c r="K112" s="321" t="n"/>
      <c r="L112" s="322" t="n"/>
      <c r="M112" s="321" t="n"/>
      <c r="N112" s="320" t="n"/>
    </row>
    <row r="113" ht="30" customHeight="1" s="131">
      <c r="A113" s="321" t="n"/>
      <c r="B113" s="321" t="n"/>
      <c r="C113" s="321" t="n"/>
      <c r="D113" s="322" t="n"/>
      <c r="E113" s="321" t="n"/>
      <c r="F113" s="321" t="n"/>
      <c r="G113" s="322" t="n"/>
      <c r="H113" s="322" t="n"/>
      <c r="I113" s="322" t="n"/>
      <c r="J113" s="322" t="n"/>
      <c r="K113" s="321" t="n"/>
      <c r="L113" s="322" t="n"/>
      <c r="M113" s="321" t="n"/>
      <c r="N113" s="320" t="n"/>
    </row>
    <row r="114" ht="30" customHeight="1" s="131">
      <c r="A114" s="321" t="n"/>
      <c r="B114" s="321" t="n"/>
      <c r="C114" s="321" t="n"/>
      <c r="D114" s="322" t="n"/>
      <c r="E114" s="321" t="n"/>
      <c r="F114" s="321" t="n"/>
      <c r="G114" s="322" t="n"/>
      <c r="H114" s="322" t="n"/>
      <c r="I114" s="322" t="n"/>
      <c r="J114" s="322" t="n"/>
      <c r="K114" s="321" t="n"/>
      <c r="L114" s="322" t="n"/>
      <c r="M114" s="321" t="n"/>
      <c r="N114" s="320" t="n"/>
    </row>
    <row r="115" ht="30" customHeight="1" s="131">
      <c r="A115" s="321" t="n"/>
      <c r="B115" s="321" t="n"/>
      <c r="C115" s="321" t="n"/>
      <c r="D115" s="322" t="n"/>
      <c r="E115" s="321" t="n"/>
      <c r="F115" s="321" t="n"/>
      <c r="G115" s="322" t="n"/>
      <c r="H115" s="322" t="n"/>
      <c r="I115" s="322" t="n"/>
      <c r="J115" s="322" t="n"/>
      <c r="K115" s="321" t="n"/>
      <c r="L115" s="322" t="n"/>
      <c r="M115" s="321" t="n"/>
      <c r="N115" s="320" t="n"/>
    </row>
    <row r="116" ht="30" customHeight="1" s="131">
      <c r="A116" s="321" t="n"/>
      <c r="B116" s="321" t="n"/>
      <c r="C116" s="321" t="n"/>
      <c r="D116" s="322" t="n"/>
      <c r="E116" s="321" t="n"/>
      <c r="F116" s="321" t="n"/>
      <c r="G116" s="322" t="n"/>
      <c r="H116" s="322" t="n"/>
      <c r="I116" s="322" t="n"/>
      <c r="J116" s="322" t="n"/>
      <c r="K116" s="321" t="n"/>
      <c r="L116" s="322" t="n"/>
      <c r="M116" s="321" t="n"/>
      <c r="N116" s="320" t="n"/>
    </row>
    <row r="117" ht="30" customHeight="1" s="131">
      <c r="A117" s="321" t="n"/>
      <c r="B117" s="321" t="n"/>
      <c r="C117" s="321" t="n"/>
      <c r="D117" s="322" t="n"/>
      <c r="E117" s="321" t="n"/>
      <c r="F117" s="321" t="n"/>
      <c r="G117" s="322" t="n"/>
      <c r="H117" s="322" t="n"/>
      <c r="I117" s="322" t="n"/>
      <c r="J117" s="322" t="n"/>
      <c r="K117" s="321" t="n"/>
      <c r="L117" s="322" t="n"/>
      <c r="M117" s="321" t="n"/>
      <c r="N117" s="320" t="n"/>
    </row>
    <row r="118" ht="30" customHeight="1" s="131">
      <c r="A118" s="321" t="n"/>
      <c r="B118" s="321" t="n"/>
      <c r="C118" s="321" t="n"/>
      <c r="D118" s="322" t="n"/>
      <c r="E118" s="321" t="n"/>
      <c r="F118" s="321" t="n"/>
      <c r="G118" s="322" t="n"/>
      <c r="H118" s="322" t="n"/>
      <c r="I118" s="322" t="n"/>
      <c r="J118" s="322" t="n"/>
      <c r="K118" s="321" t="n"/>
      <c r="L118" s="322" t="n"/>
      <c r="M118" s="321" t="n"/>
      <c r="N118" s="320" t="n"/>
    </row>
    <row r="119" ht="30" customHeight="1" s="131">
      <c r="A119" s="321" t="n"/>
      <c r="B119" s="321" t="n"/>
      <c r="C119" s="321" t="n"/>
      <c r="D119" s="322" t="n"/>
      <c r="E119" s="321" t="n"/>
      <c r="F119" s="321" t="n"/>
      <c r="G119" s="322" t="n"/>
      <c r="H119" s="322" t="n"/>
      <c r="I119" s="322" t="n"/>
      <c r="J119" s="322" t="n"/>
      <c r="K119" s="321" t="n"/>
      <c r="L119" s="322" t="n"/>
      <c r="M119" s="321" t="n"/>
      <c r="N119" s="320" t="n"/>
    </row>
    <row r="120" ht="30" customHeight="1" s="131">
      <c r="A120" s="321" t="n"/>
      <c r="B120" s="321" t="n"/>
      <c r="C120" s="321" t="n"/>
      <c r="D120" s="322" t="n"/>
      <c r="E120" s="321" t="n"/>
      <c r="F120" s="321" t="n"/>
      <c r="G120" s="322" t="n"/>
      <c r="H120" s="322" t="n"/>
      <c r="I120" s="322" t="n"/>
      <c r="J120" s="322" t="n"/>
      <c r="K120" s="321" t="n"/>
      <c r="L120" s="322" t="n"/>
      <c r="M120" s="321" t="n"/>
      <c r="N120" s="320" t="n"/>
    </row>
    <row r="121" ht="30" customHeight="1" s="131">
      <c r="A121" s="321" t="n"/>
      <c r="B121" s="321" t="n"/>
      <c r="C121" s="321" t="n"/>
      <c r="D121" s="322" t="n"/>
      <c r="E121" s="321" t="n"/>
      <c r="F121" s="321" t="n"/>
      <c r="G121" s="322" t="n"/>
      <c r="H121" s="322" t="n"/>
      <c r="I121" s="322" t="n"/>
      <c r="J121" s="322" t="n"/>
      <c r="K121" s="321" t="n"/>
      <c r="L121" s="322" t="n"/>
      <c r="M121" s="321" t="n"/>
      <c r="N121" s="320" t="n"/>
    </row>
    <row r="122" ht="30" customHeight="1" s="131">
      <c r="A122" s="321" t="n"/>
      <c r="B122" s="321" t="n"/>
      <c r="C122" s="321" t="n"/>
      <c r="D122" s="322" t="n"/>
      <c r="E122" s="321" t="n"/>
      <c r="F122" s="321" t="n"/>
      <c r="G122" s="322" t="n"/>
      <c r="H122" s="322" t="n"/>
      <c r="I122" s="322" t="n"/>
      <c r="J122" s="322" t="n"/>
      <c r="K122" s="321" t="n"/>
      <c r="L122" s="322" t="n"/>
      <c r="M122" s="321" t="n"/>
      <c r="N122" s="320" t="n"/>
    </row>
    <row r="123" ht="30" customHeight="1" s="131">
      <c r="A123" s="321" t="n"/>
      <c r="B123" s="321" t="n"/>
      <c r="C123" s="321" t="n"/>
      <c r="D123" s="322" t="n"/>
      <c r="E123" s="321" t="n"/>
      <c r="F123" s="321" t="n"/>
      <c r="G123" s="322" t="n"/>
      <c r="H123" s="322" t="n"/>
      <c r="I123" s="322" t="n"/>
      <c r="J123" s="322" t="n"/>
      <c r="K123" s="321" t="n"/>
      <c r="L123" s="322" t="n"/>
      <c r="M123" s="321" t="n"/>
      <c r="N123" s="320" t="n"/>
    </row>
    <row r="124" ht="30" customHeight="1" s="131">
      <c r="A124" s="321" t="n"/>
      <c r="B124" s="321" t="n"/>
      <c r="C124" s="321" t="n"/>
      <c r="D124" s="322" t="n"/>
      <c r="E124" s="321" t="n"/>
      <c r="F124" s="321" t="n"/>
      <c r="G124" s="322" t="n"/>
      <c r="H124" s="322" t="n"/>
      <c r="I124" s="322" t="n"/>
      <c r="J124" s="322" t="n"/>
      <c r="K124" s="321" t="n"/>
      <c r="L124" s="322" t="n"/>
      <c r="M124" s="321" t="n"/>
      <c r="N124" s="320" t="n"/>
    </row>
    <row r="125" ht="30" customHeight="1" s="131">
      <c r="A125" s="321" t="n"/>
      <c r="B125" s="321" t="n"/>
      <c r="C125" s="321" t="n"/>
      <c r="D125" s="322" t="n"/>
      <c r="E125" s="321" t="n"/>
      <c r="F125" s="321" t="n"/>
      <c r="G125" s="322" t="n"/>
      <c r="H125" s="322" t="n"/>
      <c r="I125" s="322" t="n"/>
      <c r="J125" s="322" t="n"/>
      <c r="K125" s="321" t="n"/>
      <c r="L125" s="322" t="n"/>
      <c r="M125" s="321" t="n"/>
      <c r="N125" s="320" t="n"/>
    </row>
    <row r="126" ht="30" customHeight="1" s="131">
      <c r="A126" s="321" t="n"/>
      <c r="B126" s="321" t="n"/>
      <c r="C126" s="321" t="n"/>
      <c r="D126" s="322" t="n"/>
      <c r="E126" s="321" t="n"/>
      <c r="F126" s="321" t="n"/>
      <c r="G126" s="322" t="n"/>
      <c r="H126" s="322" t="n"/>
      <c r="I126" s="322" t="n"/>
      <c r="J126" s="322" t="n"/>
      <c r="K126" s="321" t="n"/>
      <c r="L126" s="322" t="n"/>
      <c r="M126" s="321" t="n"/>
      <c r="N126" s="320" t="n"/>
    </row>
    <row r="127" ht="30" customHeight="1" s="131">
      <c r="A127" s="321" t="n"/>
      <c r="B127" s="321" t="n"/>
      <c r="C127" s="321" t="n"/>
      <c r="D127" s="322" t="n"/>
      <c r="E127" s="321" t="n"/>
      <c r="F127" s="321" t="n"/>
      <c r="G127" s="322" t="n"/>
      <c r="H127" s="322" t="n"/>
      <c r="I127" s="322" t="n"/>
      <c r="J127" s="322" t="n"/>
      <c r="K127" s="321" t="n"/>
      <c r="L127" s="322" t="n"/>
      <c r="M127" s="321" t="n"/>
      <c r="N127" s="320" t="n"/>
    </row>
    <row r="128" ht="30" customHeight="1" s="131">
      <c r="A128" s="321" t="n"/>
      <c r="B128" s="321" t="n"/>
      <c r="C128" s="321" t="n"/>
      <c r="D128" s="322" t="n"/>
      <c r="E128" s="321" t="n"/>
      <c r="F128" s="321" t="n"/>
      <c r="G128" s="322" t="n"/>
      <c r="H128" s="322" t="n"/>
      <c r="I128" s="322" t="n"/>
      <c r="J128" s="322" t="n"/>
      <c r="K128" s="321" t="n"/>
      <c r="L128" s="322" t="n"/>
      <c r="M128" s="321" t="n"/>
      <c r="N128" s="320" t="n"/>
    </row>
    <row r="129" ht="30" customHeight="1" s="131">
      <c r="A129" s="321" t="n"/>
      <c r="B129" s="321" t="n"/>
      <c r="C129" s="321" t="n"/>
      <c r="D129" s="322" t="n"/>
      <c r="E129" s="321" t="n"/>
      <c r="F129" s="321" t="n"/>
      <c r="G129" s="322" t="n"/>
      <c r="H129" s="322" t="n"/>
      <c r="I129" s="322" t="n"/>
      <c r="J129" s="322" t="n"/>
      <c r="K129" s="321" t="n"/>
      <c r="L129" s="322" t="n"/>
      <c r="M129" s="321" t="n"/>
      <c r="N129" s="320" t="n"/>
    </row>
    <row r="130" ht="30" customHeight="1" s="131">
      <c r="A130" s="321" t="n"/>
      <c r="B130" s="321" t="n"/>
      <c r="C130" s="321" t="n"/>
      <c r="D130" s="322" t="n"/>
      <c r="E130" s="321" t="n"/>
      <c r="F130" s="321" t="n"/>
      <c r="G130" s="322" t="n"/>
      <c r="H130" s="322" t="n"/>
      <c r="I130" s="322" t="n"/>
      <c r="J130" s="322" t="n"/>
      <c r="K130" s="321" t="n"/>
      <c r="L130" s="322" t="n"/>
      <c r="M130" s="321" t="n"/>
      <c r="N130" s="320" t="n"/>
    </row>
    <row r="131" ht="30" customHeight="1" s="131">
      <c r="A131" s="321" t="n"/>
      <c r="B131" s="321" t="n"/>
      <c r="C131" s="321" t="n"/>
      <c r="D131" s="322" t="n"/>
      <c r="E131" s="321" t="n"/>
      <c r="F131" s="321" t="n"/>
      <c r="G131" s="322" t="n"/>
      <c r="H131" s="322" t="n"/>
      <c r="I131" s="322" t="n"/>
      <c r="J131" s="322" t="n"/>
      <c r="K131" s="321" t="n"/>
      <c r="L131" s="322" t="n"/>
      <c r="M131" s="321" t="n"/>
      <c r="N131" s="320" t="n"/>
    </row>
    <row r="132" ht="30" customHeight="1" s="131">
      <c r="A132" s="321" t="n"/>
      <c r="B132" s="321" t="n"/>
      <c r="C132" s="321" t="n"/>
      <c r="D132" s="322" t="n"/>
      <c r="E132" s="321" t="n"/>
      <c r="F132" s="321" t="n"/>
      <c r="G132" s="322" t="n"/>
      <c r="H132" s="322" t="n"/>
      <c r="I132" s="322" t="n"/>
      <c r="J132" s="322" t="n"/>
      <c r="K132" s="321" t="n"/>
      <c r="L132" s="322" t="n"/>
      <c r="M132" s="321" t="n"/>
      <c r="N132" s="320" t="n"/>
    </row>
    <row r="133" ht="30" customHeight="1" s="131">
      <c r="A133" s="321" t="n"/>
      <c r="B133" s="321" t="n"/>
      <c r="C133" s="321" t="n"/>
      <c r="D133" s="322" t="n"/>
      <c r="E133" s="321" t="n"/>
      <c r="F133" s="321" t="n"/>
      <c r="G133" s="322" t="n"/>
      <c r="H133" s="322" t="n"/>
      <c r="I133" s="322" t="n"/>
      <c r="J133" s="322" t="n"/>
      <c r="K133" s="321" t="n"/>
      <c r="L133" s="322" t="n"/>
      <c r="M133" s="321" t="n"/>
      <c r="N133" s="320" t="n"/>
    </row>
    <row r="134" ht="30" customHeight="1" s="131">
      <c r="A134" s="321" t="n"/>
      <c r="B134" s="321" t="n"/>
      <c r="C134" s="321" t="n"/>
      <c r="D134" s="322" t="n"/>
      <c r="E134" s="321" t="n"/>
      <c r="F134" s="321" t="n"/>
      <c r="G134" s="322" t="n"/>
      <c r="H134" s="322" t="n"/>
      <c r="I134" s="322" t="n"/>
      <c r="J134" s="322" t="n"/>
      <c r="K134" s="321" t="n"/>
      <c r="L134" s="322" t="n"/>
      <c r="M134" s="321" t="n"/>
      <c r="N134" s="320" t="n"/>
    </row>
    <row r="135" ht="30" customHeight="1" s="131">
      <c r="A135" s="321" t="n"/>
      <c r="B135" s="321" t="n"/>
      <c r="C135" s="321" t="n"/>
      <c r="D135" s="322" t="n"/>
      <c r="E135" s="321" t="n"/>
      <c r="F135" s="321" t="n"/>
      <c r="G135" s="322" t="n"/>
      <c r="H135" s="322" t="n"/>
      <c r="I135" s="322" t="n"/>
      <c r="J135" s="322" t="n"/>
      <c r="K135" s="321" t="n"/>
      <c r="L135" s="322" t="n"/>
      <c r="M135" s="321" t="n"/>
      <c r="N135" s="320" t="n"/>
    </row>
    <row r="136" ht="30" customHeight="1" s="131">
      <c r="A136" s="321" t="n"/>
      <c r="B136" s="321" t="n"/>
      <c r="C136" s="321" t="n"/>
      <c r="D136" s="322" t="n"/>
      <c r="E136" s="321" t="n"/>
      <c r="F136" s="321" t="n"/>
      <c r="G136" s="322" t="n"/>
      <c r="H136" s="322" t="n"/>
      <c r="I136" s="322" t="n"/>
      <c r="J136" s="322" t="n"/>
      <c r="K136" s="321" t="n"/>
      <c r="L136" s="322" t="n"/>
      <c r="M136" s="321" t="n"/>
      <c r="N136" s="320" t="n"/>
    </row>
    <row r="137" ht="30" customHeight="1" s="131">
      <c r="A137" s="321" t="n"/>
      <c r="B137" s="321" t="n"/>
      <c r="C137" s="321" t="n"/>
      <c r="D137" s="322" t="n"/>
      <c r="E137" s="321" t="n"/>
      <c r="F137" s="321" t="n"/>
      <c r="G137" s="322" t="n"/>
      <c r="H137" s="322" t="n"/>
      <c r="I137" s="322" t="n"/>
      <c r="J137" s="322" t="n"/>
      <c r="K137" s="321" t="n"/>
      <c r="L137" s="322" t="n"/>
      <c r="M137" s="321" t="n"/>
      <c r="N137" s="320" t="n"/>
    </row>
    <row r="138" ht="30" customHeight="1" s="131">
      <c r="A138" s="321" t="n"/>
      <c r="B138" s="321" t="n"/>
      <c r="C138" s="321" t="n"/>
      <c r="D138" s="322" t="n"/>
      <c r="E138" s="321" t="n"/>
      <c r="F138" s="321" t="n"/>
      <c r="G138" s="322" t="n"/>
      <c r="H138" s="322" t="n"/>
      <c r="I138" s="322" t="n"/>
      <c r="J138" s="322" t="n"/>
      <c r="K138" s="321" t="n"/>
      <c r="L138" s="322" t="n"/>
      <c r="M138" s="321" t="n"/>
      <c r="N138" s="320" t="n"/>
    </row>
    <row r="139" ht="30" customHeight="1" s="131">
      <c r="A139" s="321" t="n"/>
      <c r="B139" s="321" t="n"/>
      <c r="C139" s="321" t="n"/>
      <c r="D139" s="322" t="n"/>
      <c r="E139" s="321" t="n"/>
      <c r="F139" s="321" t="n"/>
      <c r="G139" s="322" t="n"/>
      <c r="H139" s="322" t="n"/>
      <c r="I139" s="322" t="n"/>
      <c r="J139" s="322" t="n"/>
      <c r="K139" s="321" t="n"/>
      <c r="L139" s="322" t="n"/>
      <c r="M139" s="321" t="n"/>
      <c r="N139" s="320" t="n"/>
    </row>
    <row r="140" ht="30" customHeight="1" s="131">
      <c r="A140" s="321" t="n"/>
      <c r="B140" s="321" t="n"/>
      <c r="C140" s="321" t="n"/>
      <c r="D140" s="322" t="n"/>
      <c r="E140" s="321" t="n"/>
      <c r="F140" s="321" t="n"/>
      <c r="G140" s="322" t="n"/>
      <c r="H140" s="322" t="n"/>
      <c r="I140" s="322" t="n"/>
      <c r="J140" s="322" t="n"/>
      <c r="K140" s="321" t="n"/>
      <c r="L140" s="322" t="n"/>
      <c r="M140" s="321" t="n"/>
      <c r="N140" s="320" t="n"/>
    </row>
    <row r="141" ht="30" customHeight="1" s="131">
      <c r="A141" s="321" t="n"/>
      <c r="B141" s="321" t="n"/>
      <c r="C141" s="321" t="n"/>
      <c r="D141" s="322" t="n"/>
      <c r="E141" s="321" t="n"/>
      <c r="F141" s="321" t="n"/>
      <c r="G141" s="322" t="n"/>
      <c r="H141" s="322" t="n"/>
      <c r="I141" s="322" t="n"/>
      <c r="J141" s="322" t="n"/>
      <c r="K141" s="321" t="n"/>
      <c r="L141" s="322" t="n"/>
      <c r="M141" s="321" t="n"/>
      <c r="N141" s="320" t="n"/>
    </row>
    <row r="142" ht="30" customHeight="1" s="131">
      <c r="A142" s="321" t="n"/>
      <c r="B142" s="321" t="n"/>
      <c r="C142" s="321" t="n"/>
      <c r="D142" s="322" t="n"/>
      <c r="E142" s="321" t="n"/>
      <c r="F142" s="321" t="n"/>
      <c r="G142" s="322" t="n"/>
      <c r="H142" s="322" t="n"/>
      <c r="I142" s="322" t="n"/>
      <c r="J142" s="322" t="n"/>
      <c r="K142" s="321" t="n"/>
      <c r="L142" s="322" t="n"/>
      <c r="M142" s="321" t="n"/>
      <c r="N142" s="320" t="n"/>
    </row>
    <row r="143" ht="30" customHeight="1" s="131">
      <c r="A143" s="321" t="n"/>
      <c r="B143" s="321" t="n"/>
      <c r="C143" s="321" t="n"/>
      <c r="D143" s="322" t="n"/>
      <c r="E143" s="321" t="n"/>
      <c r="F143" s="321" t="n"/>
      <c r="G143" s="322" t="n"/>
      <c r="H143" s="322" t="n"/>
      <c r="I143" s="322" t="n"/>
      <c r="J143" s="322" t="n"/>
      <c r="K143" s="321" t="n"/>
      <c r="L143" s="322" t="n"/>
      <c r="M143" s="321" t="n"/>
      <c r="N143" s="320" t="n"/>
    </row>
    <row r="144" ht="30" customHeight="1" s="131">
      <c r="A144" s="321" t="n"/>
      <c r="B144" s="321" t="n"/>
      <c r="C144" s="321" t="n"/>
      <c r="D144" s="322" t="n"/>
      <c r="E144" s="321" t="n"/>
      <c r="F144" s="321" t="n"/>
      <c r="G144" s="322" t="n"/>
      <c r="H144" s="322" t="n"/>
      <c r="I144" s="322" t="n"/>
      <c r="J144" s="322" t="n"/>
      <c r="K144" s="321" t="n"/>
      <c r="L144" s="322" t="n"/>
      <c r="M144" s="321" t="n"/>
      <c r="N144" s="320" t="n"/>
    </row>
    <row r="145" ht="30" customHeight="1" s="131">
      <c r="A145" s="321" t="n"/>
      <c r="B145" s="321" t="n"/>
      <c r="C145" s="321" t="n"/>
      <c r="D145" s="322" t="n"/>
      <c r="E145" s="321" t="n"/>
      <c r="F145" s="321" t="n"/>
      <c r="G145" s="322" t="n"/>
      <c r="H145" s="322" t="n"/>
      <c r="I145" s="322" t="n"/>
      <c r="J145" s="322" t="n"/>
      <c r="K145" s="321" t="n"/>
      <c r="L145" s="322" t="n"/>
      <c r="M145" s="321" t="n"/>
      <c r="N145" s="320" t="n"/>
    </row>
    <row r="146" ht="30" customHeight="1" s="131">
      <c r="A146" s="321" t="n"/>
      <c r="B146" s="321" t="n"/>
      <c r="C146" s="321" t="n"/>
      <c r="D146" s="322" t="n"/>
      <c r="E146" s="321" t="n"/>
      <c r="F146" s="321" t="n"/>
      <c r="G146" s="322" t="n"/>
      <c r="H146" s="322" t="n"/>
      <c r="I146" s="322" t="n"/>
      <c r="J146" s="322" t="n"/>
      <c r="K146" s="321" t="n"/>
      <c r="L146" s="322" t="n"/>
      <c r="M146" s="321" t="n"/>
      <c r="N146" s="320" t="n"/>
    </row>
    <row r="147" ht="30" customHeight="1" s="131">
      <c r="A147" s="321" t="n"/>
      <c r="B147" s="321" t="n"/>
      <c r="C147" s="321" t="n"/>
      <c r="D147" s="322" t="n"/>
      <c r="E147" s="321" t="n"/>
      <c r="F147" s="321" t="n"/>
      <c r="G147" s="322" t="n"/>
      <c r="H147" s="322" t="n"/>
      <c r="I147" s="322" t="n"/>
      <c r="J147" s="322" t="n"/>
      <c r="K147" s="321" t="n"/>
      <c r="L147" s="322" t="n"/>
      <c r="M147" s="321" t="n"/>
      <c r="N147" s="320" t="n"/>
    </row>
    <row r="148" ht="30" customHeight="1" s="131">
      <c r="A148" s="321" t="n"/>
      <c r="B148" s="321" t="n"/>
      <c r="C148" s="321" t="n"/>
      <c r="D148" s="322" t="n"/>
      <c r="E148" s="321" t="n"/>
      <c r="F148" s="321" t="n"/>
      <c r="G148" s="322" t="n"/>
      <c r="H148" s="322" t="n"/>
      <c r="I148" s="322" t="n"/>
      <c r="J148" s="322" t="n"/>
      <c r="K148" s="321" t="n"/>
      <c r="L148" s="322" t="n"/>
      <c r="M148" s="321" t="n"/>
      <c r="N148" s="320" t="n"/>
    </row>
    <row r="149" ht="30" customHeight="1" s="131">
      <c r="A149" s="321" t="n"/>
      <c r="B149" s="321" t="n"/>
      <c r="C149" s="321" t="n"/>
      <c r="D149" s="322" t="n"/>
      <c r="E149" s="321" t="n"/>
      <c r="F149" s="321" t="n"/>
      <c r="G149" s="322" t="n"/>
      <c r="H149" s="322" t="n"/>
      <c r="I149" s="322" t="n"/>
      <c r="J149" s="322" t="n"/>
      <c r="K149" s="321" t="n"/>
      <c r="L149" s="322" t="n"/>
      <c r="M149" s="321" t="n"/>
      <c r="N149" s="320" t="n"/>
    </row>
    <row r="150" ht="30" customHeight="1" s="131">
      <c r="A150" s="321" t="n"/>
      <c r="B150" s="321" t="n"/>
      <c r="C150" s="321" t="n"/>
      <c r="D150" s="322" t="n"/>
      <c r="E150" s="321" t="n"/>
      <c r="F150" s="321" t="n"/>
      <c r="G150" s="322" t="n"/>
      <c r="H150" s="322" t="n"/>
      <c r="I150" s="322" t="n"/>
      <c r="J150" s="322" t="n"/>
      <c r="K150" s="321" t="n"/>
      <c r="L150" s="322" t="n"/>
      <c r="M150" s="321" t="n"/>
      <c r="N150" s="320" t="n"/>
    </row>
    <row r="151" ht="30" customHeight="1" s="131">
      <c r="A151" s="321" t="n"/>
      <c r="B151" s="321" t="n"/>
      <c r="C151" s="321" t="n"/>
      <c r="D151" s="322" t="n"/>
      <c r="E151" s="321" t="n"/>
      <c r="F151" s="321" t="n"/>
      <c r="G151" s="322" t="n"/>
      <c r="H151" s="322" t="n"/>
      <c r="I151" s="322" t="n"/>
      <c r="J151" s="322" t="n"/>
      <c r="K151" s="321" t="n"/>
      <c r="L151" s="322" t="n"/>
      <c r="M151" s="321" t="n"/>
      <c r="N151" s="320" t="n"/>
    </row>
    <row r="152" ht="30" customHeight="1" s="131">
      <c r="A152" s="321" t="n"/>
      <c r="B152" s="321" t="n"/>
      <c r="C152" s="321" t="n"/>
      <c r="D152" s="322" t="n"/>
      <c r="E152" s="321" t="n"/>
      <c r="F152" s="321" t="n"/>
      <c r="G152" s="322" t="n"/>
      <c r="H152" s="322" t="n"/>
      <c r="I152" s="322" t="n"/>
      <c r="J152" s="322" t="n"/>
      <c r="K152" s="321" t="n"/>
      <c r="L152" s="322" t="n"/>
      <c r="M152" s="321" t="n"/>
      <c r="N152" s="320" t="n"/>
    </row>
    <row r="153" ht="30" customHeight="1" s="131">
      <c r="A153" s="321" t="n"/>
      <c r="B153" s="321" t="n"/>
      <c r="C153" s="321" t="n"/>
      <c r="D153" s="322" t="n"/>
      <c r="E153" s="321" t="n"/>
      <c r="F153" s="321" t="n"/>
      <c r="G153" s="322" t="n"/>
      <c r="H153" s="322" t="n"/>
      <c r="I153" s="322" t="n"/>
      <c r="J153" s="322" t="n"/>
      <c r="K153" s="321" t="n"/>
      <c r="L153" s="322" t="n"/>
      <c r="M153" s="321" t="n"/>
      <c r="N153" s="320" t="n"/>
    </row>
    <row r="154" ht="30" customHeight="1" s="131">
      <c r="A154" s="321" t="n"/>
      <c r="B154" s="321" t="n"/>
      <c r="C154" s="321" t="n"/>
      <c r="D154" s="322" t="n"/>
      <c r="E154" s="321" t="n"/>
      <c r="F154" s="321" t="n"/>
      <c r="G154" s="322" t="n"/>
      <c r="H154" s="322" t="n"/>
      <c r="I154" s="322" t="n"/>
      <c r="J154" s="322" t="n"/>
      <c r="K154" s="321" t="n"/>
      <c r="L154" s="322" t="n"/>
      <c r="M154" s="321" t="n"/>
      <c r="N154" s="320" t="n"/>
    </row>
    <row r="155" ht="30" customHeight="1" s="131">
      <c r="A155" s="321" t="n"/>
      <c r="B155" s="321" t="n"/>
      <c r="C155" s="321" t="n"/>
      <c r="D155" s="322" t="n"/>
      <c r="E155" s="321" t="n"/>
      <c r="F155" s="321" t="n"/>
      <c r="G155" s="322" t="n"/>
      <c r="H155" s="322" t="n"/>
      <c r="I155" s="322" t="n"/>
      <c r="J155" s="322" t="n"/>
      <c r="K155" s="321" t="n"/>
      <c r="L155" s="322" t="n"/>
      <c r="M155" s="321" t="n"/>
      <c r="N155" s="320" t="n"/>
    </row>
    <row r="156" ht="30" customHeight="1" s="131">
      <c r="A156" s="321" t="n"/>
      <c r="B156" s="321" t="n"/>
      <c r="C156" s="321" t="n"/>
      <c r="D156" s="322" t="n"/>
      <c r="E156" s="321" t="n"/>
      <c r="F156" s="321" t="n"/>
      <c r="G156" s="322" t="n"/>
      <c r="H156" s="322" t="n"/>
      <c r="I156" s="322" t="n"/>
      <c r="J156" s="322" t="n"/>
      <c r="K156" s="321" t="n"/>
      <c r="L156" s="322" t="n"/>
      <c r="M156" s="321" t="n"/>
      <c r="N156" s="320" t="n"/>
    </row>
    <row r="157" ht="30" customHeight="1" s="131">
      <c r="A157" s="321" t="n"/>
      <c r="B157" s="321" t="n"/>
      <c r="C157" s="321" t="n"/>
      <c r="D157" s="322" t="n"/>
      <c r="E157" s="321" t="n"/>
      <c r="F157" s="321" t="n"/>
      <c r="G157" s="322" t="n"/>
      <c r="H157" s="322" t="n"/>
      <c r="I157" s="322" t="n"/>
      <c r="J157" s="322" t="n"/>
      <c r="K157" s="321" t="n"/>
      <c r="L157" s="322" t="n"/>
      <c r="M157" s="321" t="n"/>
      <c r="N157" s="320" t="n"/>
    </row>
    <row r="158" ht="30" customHeight="1" s="131">
      <c r="A158" s="321" t="n"/>
      <c r="B158" s="321" t="n"/>
      <c r="C158" s="321" t="n"/>
      <c r="D158" s="322" t="n"/>
      <c r="E158" s="321" t="n"/>
      <c r="F158" s="321" t="n"/>
      <c r="G158" s="322" t="n"/>
      <c r="H158" s="322" t="n"/>
      <c r="I158" s="322" t="n"/>
      <c r="J158" s="322" t="n"/>
      <c r="K158" s="321" t="n"/>
      <c r="L158" s="322" t="n"/>
      <c r="M158" s="321" t="n"/>
      <c r="N158" s="320" t="n"/>
    </row>
    <row r="159" ht="30" customHeight="1" s="131">
      <c r="A159" s="321" t="n"/>
      <c r="B159" s="321" t="n"/>
      <c r="C159" s="321" t="n"/>
      <c r="D159" s="322" t="n"/>
      <c r="E159" s="321" t="n"/>
      <c r="F159" s="321" t="n"/>
      <c r="G159" s="322" t="n"/>
      <c r="H159" s="322" t="n"/>
      <c r="I159" s="322" t="n"/>
      <c r="J159" s="322" t="n"/>
      <c r="K159" s="321" t="n"/>
      <c r="L159" s="322" t="n"/>
      <c r="M159" s="321" t="n"/>
      <c r="N159" s="320" t="n"/>
    </row>
    <row r="160" ht="30" customHeight="1" s="131">
      <c r="A160" s="321" t="n"/>
      <c r="B160" s="321" t="n"/>
      <c r="C160" s="321" t="n"/>
      <c r="D160" s="322" t="n"/>
      <c r="E160" s="321" t="n"/>
      <c r="F160" s="321" t="n"/>
      <c r="G160" s="322" t="n"/>
      <c r="H160" s="322" t="n"/>
      <c r="I160" s="322" t="n"/>
      <c r="J160" s="322" t="n"/>
      <c r="K160" s="321" t="n"/>
      <c r="L160" s="322" t="n"/>
      <c r="M160" s="321" t="n"/>
      <c r="N160" s="320" t="n"/>
    </row>
    <row r="161" ht="30" customHeight="1" s="131">
      <c r="A161" s="321" t="n"/>
      <c r="B161" s="321" t="n"/>
      <c r="C161" s="321" t="n"/>
      <c r="D161" s="322" t="n"/>
      <c r="E161" s="321" t="n"/>
      <c r="F161" s="321" t="n"/>
      <c r="G161" s="322" t="n"/>
      <c r="H161" s="322" t="n"/>
      <c r="I161" s="322" t="n"/>
      <c r="J161" s="322" t="n"/>
      <c r="K161" s="321" t="n"/>
      <c r="L161" s="322" t="n"/>
      <c r="M161" s="321" t="n"/>
      <c r="N161" s="320" t="n"/>
    </row>
    <row r="162" ht="30" customHeight="1" s="131">
      <c r="A162" s="321" t="n"/>
      <c r="B162" s="321" t="n"/>
      <c r="C162" s="321" t="n"/>
      <c r="D162" s="322" t="n"/>
      <c r="E162" s="321" t="n"/>
      <c r="F162" s="321" t="n"/>
      <c r="G162" s="322" t="n"/>
      <c r="H162" s="322" t="n"/>
      <c r="I162" s="322" t="n"/>
      <c r="J162" s="322" t="n"/>
      <c r="K162" s="321" t="n"/>
      <c r="L162" s="322" t="n"/>
      <c r="M162" s="321" t="n"/>
      <c r="N162" s="320" t="n"/>
    </row>
    <row r="163" ht="30" customHeight="1" s="131">
      <c r="A163" s="321" t="n"/>
      <c r="B163" s="321" t="n"/>
      <c r="C163" s="321" t="n"/>
      <c r="D163" s="322" t="n"/>
      <c r="E163" s="321" t="n"/>
      <c r="F163" s="321" t="n"/>
      <c r="G163" s="322" t="n"/>
      <c r="H163" s="322" t="n"/>
      <c r="I163" s="322" t="n"/>
      <c r="J163" s="322" t="n"/>
      <c r="K163" s="321" t="n"/>
      <c r="L163" s="322" t="n"/>
      <c r="M163" s="321" t="n"/>
      <c r="N163" s="320" t="n"/>
    </row>
    <row r="164" ht="30" customHeight="1" s="131">
      <c r="A164" s="321" t="n"/>
      <c r="B164" s="321" t="n"/>
      <c r="C164" s="321" t="n"/>
      <c r="D164" s="322" t="n"/>
      <c r="E164" s="321" t="n"/>
      <c r="F164" s="321" t="n"/>
      <c r="G164" s="322" t="n"/>
      <c r="H164" s="322" t="n"/>
      <c r="I164" s="322" t="n"/>
      <c r="J164" s="322" t="n"/>
      <c r="K164" s="321" t="n"/>
      <c r="L164" s="322" t="n"/>
      <c r="M164" s="321" t="n"/>
      <c r="N164" s="320" t="n"/>
    </row>
    <row r="165" ht="30" customHeight="1" s="131">
      <c r="A165" s="321" t="n"/>
      <c r="B165" s="321" t="n"/>
      <c r="C165" s="321" t="n"/>
      <c r="D165" s="322" t="n"/>
      <c r="E165" s="321" t="n"/>
      <c r="F165" s="321" t="n"/>
      <c r="G165" s="322" t="n"/>
      <c r="H165" s="322" t="n"/>
      <c r="I165" s="322" t="n"/>
      <c r="J165" s="322" t="n"/>
      <c r="K165" s="321" t="n"/>
      <c r="L165" s="322" t="n"/>
      <c r="M165" s="321" t="n"/>
      <c r="N165" s="320" t="n"/>
    </row>
    <row r="166" ht="30" customHeight="1" s="131">
      <c r="A166" s="321" t="n"/>
      <c r="B166" s="321" t="n"/>
      <c r="C166" s="321" t="n"/>
      <c r="D166" s="322" t="n"/>
      <c r="E166" s="321" t="n"/>
      <c r="F166" s="321" t="n"/>
      <c r="G166" s="322" t="n"/>
      <c r="H166" s="322" t="n"/>
      <c r="I166" s="322" t="n"/>
      <c r="J166" s="322" t="n"/>
      <c r="K166" s="321" t="n"/>
      <c r="L166" s="322" t="n"/>
      <c r="M166" s="321" t="n"/>
      <c r="N166" s="320" t="n"/>
    </row>
    <row r="167" ht="30" customHeight="1" s="131">
      <c r="A167" s="321" t="n"/>
      <c r="B167" s="321" t="n"/>
      <c r="C167" s="321" t="n"/>
      <c r="D167" s="322" t="n"/>
      <c r="E167" s="321" t="n"/>
      <c r="F167" s="321" t="n"/>
      <c r="G167" s="322" t="n"/>
      <c r="H167" s="322" t="n"/>
      <c r="I167" s="322" t="n"/>
      <c r="J167" s="322" t="n"/>
      <c r="K167" s="321" t="n"/>
      <c r="L167" s="322" t="n"/>
      <c r="M167" s="321" t="n"/>
      <c r="N167" s="320" t="n"/>
    </row>
    <row r="168" ht="30" customHeight="1" s="131">
      <c r="A168" s="321" t="n"/>
      <c r="B168" s="321" t="n"/>
      <c r="C168" s="321" t="n"/>
      <c r="D168" s="322" t="n"/>
      <c r="E168" s="321" t="n"/>
      <c r="F168" s="321" t="n"/>
      <c r="G168" s="322" t="n"/>
      <c r="H168" s="322" t="n"/>
      <c r="I168" s="322" t="n"/>
      <c r="J168" s="322" t="n"/>
      <c r="K168" s="321" t="n"/>
      <c r="L168" s="322" t="n"/>
      <c r="M168" s="321" t="n"/>
      <c r="N168" s="320" t="n"/>
    </row>
    <row r="169" ht="30" customHeight="1" s="131">
      <c r="A169" s="321" t="n"/>
      <c r="B169" s="321" t="n"/>
      <c r="C169" s="321" t="n"/>
      <c r="D169" s="322" t="n"/>
      <c r="E169" s="321" t="n"/>
      <c r="F169" s="321" t="n"/>
      <c r="G169" s="322" t="n"/>
      <c r="H169" s="322" t="n"/>
      <c r="I169" s="322" t="n"/>
      <c r="J169" s="322" t="n"/>
      <c r="K169" s="321" t="n"/>
      <c r="L169" s="322" t="n"/>
      <c r="M169" s="321" t="n"/>
      <c r="N169" s="320" t="n"/>
    </row>
    <row r="170" ht="30" customHeight="1" s="131">
      <c r="A170" s="321" t="n"/>
      <c r="B170" s="321" t="n"/>
      <c r="C170" s="321" t="n"/>
      <c r="D170" s="322" t="n"/>
      <c r="E170" s="321" t="n"/>
      <c r="F170" s="321" t="n"/>
      <c r="G170" s="322" t="n"/>
      <c r="H170" s="322" t="n"/>
      <c r="I170" s="322" t="n"/>
      <c r="J170" s="322" t="n"/>
      <c r="K170" s="321" t="n"/>
      <c r="L170" s="322" t="n"/>
      <c r="M170" s="321" t="n"/>
      <c r="N170" s="320" t="n"/>
    </row>
    <row r="171" ht="30" customHeight="1" s="131">
      <c r="A171" s="321" t="n"/>
      <c r="B171" s="321" t="n"/>
      <c r="C171" s="321" t="n"/>
      <c r="D171" s="322" t="n"/>
      <c r="E171" s="321" t="n"/>
      <c r="F171" s="321" t="n"/>
      <c r="G171" s="322" t="n"/>
      <c r="H171" s="322" t="n"/>
      <c r="I171" s="322" t="n"/>
      <c r="J171" s="322" t="n"/>
      <c r="K171" s="321" t="n"/>
      <c r="L171" s="322" t="n"/>
      <c r="M171" s="321" t="n"/>
      <c r="N171" s="320" t="n"/>
    </row>
    <row r="172" ht="30" customHeight="1" s="131">
      <c r="A172" s="321" t="n"/>
      <c r="B172" s="321" t="n"/>
      <c r="C172" s="321" t="n"/>
      <c r="D172" s="322" t="n"/>
      <c r="E172" s="321" t="n"/>
      <c r="F172" s="321" t="n"/>
      <c r="G172" s="322" t="n"/>
      <c r="H172" s="322" t="n"/>
      <c r="I172" s="322" t="n"/>
      <c r="J172" s="322" t="n"/>
      <c r="K172" s="321" t="n"/>
      <c r="L172" s="322" t="n"/>
      <c r="M172" s="321" t="n"/>
      <c r="N172" s="320" t="n"/>
    </row>
    <row r="173" ht="30" customHeight="1" s="131">
      <c r="A173" s="321" t="n"/>
      <c r="B173" s="321" t="n"/>
      <c r="C173" s="321" t="n"/>
      <c r="D173" s="322" t="n"/>
      <c r="E173" s="321" t="n"/>
      <c r="F173" s="321" t="n"/>
      <c r="G173" s="322" t="n"/>
      <c r="H173" s="322" t="n"/>
      <c r="I173" s="322" t="n"/>
      <c r="J173" s="322" t="n"/>
      <c r="K173" s="321" t="n"/>
      <c r="L173" s="322" t="n"/>
      <c r="M173" s="321" t="n"/>
      <c r="N173" s="320" t="n"/>
    </row>
    <row r="174" ht="30" customHeight="1" s="131">
      <c r="A174" s="321" t="n"/>
      <c r="B174" s="321" t="n"/>
      <c r="C174" s="321" t="n"/>
      <c r="D174" s="322" t="n"/>
      <c r="E174" s="321" t="n"/>
      <c r="F174" s="321" t="n"/>
      <c r="G174" s="322" t="n"/>
      <c r="H174" s="322" t="n"/>
      <c r="I174" s="322" t="n"/>
      <c r="J174" s="322" t="n"/>
      <c r="K174" s="321" t="n"/>
      <c r="L174" s="322" t="n"/>
      <c r="M174" s="321" t="n"/>
      <c r="N174" s="320" t="n"/>
    </row>
    <row r="175" ht="30" customHeight="1" s="131">
      <c r="A175" s="321" t="n"/>
      <c r="B175" s="321" t="n"/>
      <c r="C175" s="321" t="n"/>
      <c r="D175" s="322" t="n"/>
      <c r="E175" s="321" t="n"/>
      <c r="F175" s="321" t="n"/>
      <c r="G175" s="322" t="n"/>
      <c r="H175" s="322" t="n"/>
      <c r="I175" s="322" t="n"/>
      <c r="J175" s="322" t="n"/>
      <c r="K175" s="321" t="n"/>
      <c r="L175" s="322" t="n"/>
      <c r="M175" s="321" t="n"/>
      <c r="N175" s="320" t="n"/>
    </row>
    <row r="176" ht="30" customHeight="1" s="131">
      <c r="A176" s="321" t="n"/>
      <c r="B176" s="321" t="n"/>
      <c r="C176" s="321" t="n"/>
      <c r="D176" s="322" t="n"/>
      <c r="E176" s="321" t="n"/>
      <c r="F176" s="321" t="n"/>
      <c r="G176" s="322" t="n"/>
      <c r="H176" s="322" t="n"/>
      <c r="I176" s="322" t="n"/>
      <c r="J176" s="322" t="n"/>
      <c r="K176" s="321" t="n"/>
      <c r="L176" s="322" t="n"/>
      <c r="M176" s="321" t="n"/>
      <c r="N176" s="320" t="n"/>
    </row>
    <row r="177" ht="30" customHeight="1" s="131">
      <c r="A177" s="321" t="n"/>
      <c r="B177" s="321" t="n"/>
      <c r="C177" s="321" t="n"/>
      <c r="D177" s="322" t="n"/>
      <c r="E177" s="321" t="n"/>
      <c r="F177" s="321" t="n"/>
      <c r="G177" s="322" t="n"/>
      <c r="H177" s="322" t="n"/>
      <c r="I177" s="322" t="n"/>
      <c r="J177" s="322" t="n"/>
      <c r="K177" s="321" t="n"/>
      <c r="L177" s="322" t="n"/>
      <c r="M177" s="321" t="n"/>
      <c r="N177" s="320" t="n"/>
    </row>
    <row r="178" ht="30" customHeight="1" s="131">
      <c r="A178" s="321" t="n"/>
      <c r="B178" s="321" t="n"/>
      <c r="C178" s="321" t="n"/>
      <c r="D178" s="322" t="n"/>
      <c r="E178" s="321" t="n"/>
      <c r="F178" s="321" t="n"/>
      <c r="G178" s="322" t="n"/>
      <c r="H178" s="322" t="n"/>
      <c r="I178" s="322" t="n"/>
      <c r="J178" s="322" t="n"/>
      <c r="K178" s="321" t="n"/>
      <c r="L178" s="322" t="n"/>
      <c r="M178" s="321" t="n"/>
      <c r="N178" s="320" t="n"/>
    </row>
    <row r="179" ht="30" customHeight="1" s="131">
      <c r="A179" s="321" t="n"/>
      <c r="B179" s="321" t="n"/>
      <c r="C179" s="321" t="n"/>
      <c r="D179" s="322" t="n"/>
      <c r="E179" s="321" t="n"/>
      <c r="F179" s="321" t="n"/>
      <c r="G179" s="322" t="n"/>
      <c r="H179" s="322" t="n"/>
      <c r="I179" s="322" t="n"/>
      <c r="J179" s="322" t="n"/>
      <c r="K179" s="321" t="n"/>
      <c r="L179" s="322" t="n"/>
      <c r="M179" s="321" t="n"/>
      <c r="N179" s="320" t="n"/>
    </row>
    <row r="180" ht="30" customHeight="1" s="131">
      <c r="A180" s="321" t="n"/>
      <c r="B180" s="321" t="n"/>
      <c r="C180" s="321" t="n"/>
      <c r="D180" s="322" t="n"/>
      <c r="E180" s="321" t="n"/>
      <c r="F180" s="321" t="n"/>
      <c r="G180" s="322" t="n"/>
      <c r="H180" s="322" t="n"/>
      <c r="I180" s="322" t="n"/>
      <c r="J180" s="322" t="n"/>
      <c r="K180" s="321" t="n"/>
      <c r="L180" s="322" t="n"/>
      <c r="M180" s="321" t="n"/>
      <c r="N180" s="320" t="n"/>
    </row>
    <row r="181" ht="30" customHeight="1" s="131">
      <c r="A181" s="321" t="n"/>
      <c r="B181" s="321" t="n"/>
      <c r="C181" s="321" t="n"/>
      <c r="D181" s="322" t="n"/>
      <c r="E181" s="321" t="n"/>
      <c r="F181" s="321" t="n"/>
      <c r="G181" s="322" t="n"/>
      <c r="H181" s="322" t="n"/>
      <c r="I181" s="322" t="n"/>
      <c r="J181" s="322" t="n"/>
      <c r="K181" s="321" t="n"/>
      <c r="L181" s="322" t="n"/>
      <c r="M181" s="321" t="n"/>
      <c r="N181" s="320" t="n"/>
    </row>
    <row r="182" ht="30" customHeight="1" s="131">
      <c r="A182" s="321" t="n"/>
      <c r="B182" s="321" t="n"/>
      <c r="C182" s="321" t="n"/>
      <c r="D182" s="322" t="n"/>
      <c r="E182" s="321" t="n"/>
      <c r="F182" s="321" t="n"/>
      <c r="G182" s="322" t="n"/>
      <c r="H182" s="322" t="n"/>
      <c r="I182" s="322" t="n"/>
      <c r="J182" s="322" t="n"/>
      <c r="K182" s="321" t="n"/>
      <c r="L182" s="322" t="n"/>
      <c r="M182" s="321" t="n"/>
      <c r="N182" s="320" t="n"/>
    </row>
    <row r="183" ht="30" customHeight="1" s="131">
      <c r="A183" s="321" t="n"/>
      <c r="B183" s="321" t="n"/>
      <c r="C183" s="321" t="n"/>
      <c r="D183" s="322" t="n"/>
      <c r="E183" s="321" t="n"/>
      <c r="F183" s="321" t="n"/>
      <c r="G183" s="322" t="n"/>
      <c r="H183" s="322" t="n"/>
      <c r="I183" s="322" t="n"/>
      <c r="J183" s="322" t="n"/>
      <c r="K183" s="321" t="n"/>
      <c r="L183" s="322" t="n"/>
      <c r="M183" s="321" t="n"/>
      <c r="N183" s="320" t="n"/>
    </row>
    <row r="184" ht="30" customHeight="1" s="131">
      <c r="A184" s="321" t="n"/>
      <c r="B184" s="321" t="n"/>
      <c r="C184" s="321" t="n"/>
      <c r="D184" s="322" t="n"/>
      <c r="E184" s="321" t="n"/>
      <c r="F184" s="321" t="n"/>
      <c r="G184" s="322" t="n"/>
      <c r="H184" s="322" t="n"/>
      <c r="I184" s="322" t="n"/>
      <c r="J184" s="322" t="n"/>
      <c r="K184" s="321" t="n"/>
      <c r="L184" s="322" t="n"/>
      <c r="M184" s="321" t="n"/>
      <c r="N184" s="320" t="n"/>
    </row>
    <row r="185" ht="30" customHeight="1" s="131">
      <c r="A185" s="321" t="n"/>
      <c r="B185" s="321" t="n"/>
      <c r="C185" s="321" t="n"/>
      <c r="D185" s="322" t="n"/>
      <c r="E185" s="321" t="n"/>
      <c r="F185" s="321" t="n"/>
      <c r="G185" s="322" t="n"/>
      <c r="H185" s="322" t="n"/>
      <c r="I185" s="322" t="n"/>
      <c r="J185" s="322" t="n"/>
      <c r="K185" s="321" t="n"/>
      <c r="L185" s="322" t="n"/>
      <c r="M185" s="321" t="n"/>
      <c r="N185" s="320" t="n"/>
    </row>
    <row r="186" ht="30" customHeight="1" s="131">
      <c r="A186" s="321" t="n"/>
      <c r="B186" s="321" t="n"/>
      <c r="C186" s="321" t="n"/>
      <c r="D186" s="322" t="n"/>
      <c r="E186" s="321" t="n"/>
      <c r="F186" s="321" t="n"/>
      <c r="G186" s="322" t="n"/>
      <c r="H186" s="322" t="n"/>
      <c r="I186" s="322" t="n"/>
      <c r="J186" s="322" t="n"/>
      <c r="K186" s="321" t="n"/>
      <c r="L186" s="322" t="n"/>
      <c r="M186" s="321" t="n"/>
      <c r="N186" s="320" t="n"/>
    </row>
    <row r="187" ht="30" customHeight="1" s="131">
      <c r="A187" s="321" t="n"/>
      <c r="B187" s="321" t="n"/>
      <c r="C187" s="321" t="n"/>
      <c r="D187" s="322" t="n"/>
      <c r="E187" s="321" t="n"/>
      <c r="F187" s="321" t="n"/>
      <c r="G187" s="322" t="n"/>
      <c r="H187" s="322" t="n"/>
      <c r="I187" s="322" t="n"/>
      <c r="J187" s="322" t="n"/>
      <c r="K187" s="321" t="n"/>
      <c r="L187" s="322" t="n"/>
      <c r="M187" s="321" t="n"/>
      <c r="N187" s="320" t="n"/>
    </row>
    <row r="188" ht="30" customHeight="1" s="131">
      <c r="A188" s="321" t="n"/>
      <c r="B188" s="321" t="n"/>
      <c r="C188" s="321" t="n"/>
      <c r="D188" s="322" t="n"/>
      <c r="E188" s="321" t="n"/>
      <c r="F188" s="321" t="n"/>
      <c r="G188" s="322" t="n"/>
      <c r="H188" s="322" t="n"/>
      <c r="I188" s="322" t="n"/>
      <c r="J188" s="322" t="n"/>
      <c r="K188" s="321" t="n"/>
      <c r="L188" s="322" t="n"/>
      <c r="M188" s="321" t="n"/>
      <c r="N188" s="320" t="n"/>
    </row>
    <row r="189" ht="30" customHeight="1" s="131">
      <c r="A189" s="321" t="n"/>
      <c r="B189" s="321" t="n"/>
      <c r="C189" s="321" t="n"/>
      <c r="D189" s="322" t="n"/>
      <c r="E189" s="321" t="n"/>
      <c r="F189" s="321" t="n"/>
      <c r="G189" s="322" t="n"/>
      <c r="H189" s="322" t="n"/>
      <c r="I189" s="322" t="n"/>
      <c r="J189" s="322" t="n"/>
      <c r="K189" s="321" t="n"/>
      <c r="L189" s="322" t="n"/>
      <c r="M189" s="321" t="n"/>
      <c r="N189" s="320" t="n"/>
    </row>
    <row r="190" ht="30" customHeight="1" s="131">
      <c r="A190" s="321" t="n"/>
      <c r="B190" s="321" t="n"/>
      <c r="C190" s="321" t="n"/>
      <c r="D190" s="322" t="n"/>
      <c r="E190" s="321" t="n"/>
      <c r="F190" s="321" t="n"/>
      <c r="G190" s="322" t="n"/>
      <c r="H190" s="322" t="n"/>
      <c r="I190" s="322" t="n"/>
      <c r="J190" s="322" t="n"/>
      <c r="K190" s="321" t="n"/>
      <c r="L190" s="322" t="n"/>
      <c r="M190" s="321" t="n"/>
      <c r="N190" s="320" t="n"/>
    </row>
    <row r="191" ht="30" customHeight="1" s="131">
      <c r="A191" s="321" t="n"/>
      <c r="B191" s="321" t="n"/>
      <c r="C191" s="321" t="n"/>
      <c r="D191" s="322" t="n"/>
      <c r="E191" s="321" t="n"/>
      <c r="F191" s="321" t="n"/>
      <c r="G191" s="322" t="n"/>
      <c r="H191" s="322" t="n"/>
      <c r="I191" s="322" t="n"/>
      <c r="J191" s="322" t="n"/>
      <c r="K191" s="321" t="n"/>
      <c r="L191" s="322" t="n"/>
      <c r="M191" s="321" t="n"/>
      <c r="N191" s="320" t="n"/>
    </row>
    <row r="192" ht="30" customHeight="1" s="131">
      <c r="A192" s="321" t="n"/>
      <c r="B192" s="321" t="n"/>
      <c r="C192" s="321" t="n"/>
      <c r="D192" s="322" t="n"/>
      <c r="E192" s="321" t="n"/>
      <c r="F192" s="321" t="n"/>
      <c r="G192" s="322" t="n"/>
      <c r="H192" s="322" t="n"/>
      <c r="I192" s="322" t="n"/>
      <c r="J192" s="322" t="n"/>
      <c r="K192" s="321" t="n"/>
      <c r="L192" s="322" t="n"/>
      <c r="M192" s="321" t="n"/>
      <c r="N192" s="320" t="n"/>
    </row>
    <row r="193" ht="30" customHeight="1" s="131">
      <c r="A193" s="321" t="n"/>
      <c r="B193" s="321" t="n"/>
      <c r="C193" s="321" t="n"/>
      <c r="D193" s="322" t="n"/>
      <c r="E193" s="321" t="n"/>
      <c r="F193" s="321" t="n"/>
      <c r="G193" s="322" t="n"/>
      <c r="H193" s="322" t="n"/>
      <c r="I193" s="322" t="n"/>
      <c r="J193" s="322" t="n"/>
      <c r="K193" s="321" t="n"/>
      <c r="L193" s="322" t="n"/>
      <c r="M193" s="321" t="n"/>
      <c r="N193" s="320" t="n"/>
    </row>
    <row r="194" ht="30" customHeight="1" s="131">
      <c r="A194" s="321" t="n"/>
      <c r="B194" s="321" t="n"/>
      <c r="C194" s="321" t="n"/>
      <c r="D194" s="322" t="n"/>
      <c r="E194" s="321" t="n"/>
      <c r="F194" s="321" t="n"/>
      <c r="G194" s="322" t="n"/>
      <c r="H194" s="322" t="n"/>
      <c r="I194" s="322" t="n"/>
      <c r="J194" s="322" t="n"/>
      <c r="K194" s="321" t="n"/>
      <c r="L194" s="322" t="n"/>
      <c r="M194" s="321" t="n"/>
      <c r="N194" s="320" t="n"/>
    </row>
    <row r="195" ht="30" customHeight="1" s="131">
      <c r="A195" s="321" t="n"/>
      <c r="B195" s="321" t="n"/>
      <c r="C195" s="321" t="n"/>
      <c r="D195" s="322" t="n"/>
      <c r="E195" s="321" t="n"/>
      <c r="F195" s="321" t="n"/>
      <c r="G195" s="322" t="n"/>
      <c r="H195" s="322" t="n"/>
      <c r="I195" s="322" t="n"/>
      <c r="J195" s="322" t="n"/>
      <c r="K195" s="321" t="n"/>
      <c r="L195" s="322" t="n"/>
      <c r="M195" s="321" t="n"/>
      <c r="N195" s="320" t="n"/>
    </row>
    <row r="196" ht="30" customHeight="1" s="131">
      <c r="A196" s="321" t="n"/>
      <c r="B196" s="321" t="n"/>
      <c r="C196" s="321" t="n"/>
      <c r="D196" s="322" t="n"/>
      <c r="E196" s="321" t="n"/>
      <c r="F196" s="321" t="n"/>
      <c r="G196" s="322" t="n"/>
      <c r="H196" s="322" t="n"/>
      <c r="I196" s="322" t="n"/>
      <c r="J196" s="322" t="n"/>
      <c r="K196" s="321" t="n"/>
      <c r="L196" s="322" t="n"/>
      <c r="M196" s="321" t="n"/>
      <c r="N196" s="320" t="n"/>
    </row>
    <row r="197" ht="30" customHeight="1" s="131">
      <c r="A197" s="321" t="n"/>
      <c r="B197" s="321" t="n"/>
      <c r="C197" s="321" t="n"/>
      <c r="D197" s="322" t="n"/>
      <c r="E197" s="321" t="n"/>
      <c r="F197" s="321" t="n"/>
      <c r="G197" s="322" t="n"/>
      <c r="H197" s="322" t="n"/>
      <c r="I197" s="322" t="n"/>
      <c r="J197" s="322" t="n"/>
      <c r="K197" s="321" t="n"/>
      <c r="L197" s="322" t="n"/>
      <c r="M197" s="321" t="n"/>
      <c r="N197" s="320" t="n"/>
    </row>
    <row r="198" ht="30" customHeight="1" s="131">
      <c r="A198" s="321" t="n"/>
      <c r="B198" s="321" t="n"/>
      <c r="C198" s="321" t="n"/>
      <c r="D198" s="322" t="n"/>
      <c r="E198" s="321" t="n"/>
      <c r="F198" s="321" t="n"/>
      <c r="G198" s="322" t="n"/>
      <c r="H198" s="322" t="n"/>
      <c r="I198" s="322" t="n"/>
      <c r="J198" s="322" t="n"/>
      <c r="K198" s="321" t="n"/>
      <c r="L198" s="322" t="n"/>
      <c r="M198" s="321" t="n"/>
      <c r="N198" s="320" t="n"/>
    </row>
    <row r="199" ht="30" customHeight="1" s="131">
      <c r="A199" s="321" t="n"/>
      <c r="B199" s="321" t="n"/>
      <c r="C199" s="321" t="n"/>
      <c r="D199" s="322" t="n"/>
      <c r="E199" s="321" t="n"/>
      <c r="F199" s="321" t="n"/>
      <c r="G199" s="322" t="n"/>
      <c r="H199" s="322" t="n"/>
      <c r="I199" s="322" t="n"/>
      <c r="J199" s="322" t="n"/>
      <c r="K199" s="321" t="n"/>
      <c r="L199" s="322" t="n"/>
      <c r="M199" s="321" t="n"/>
      <c r="N199" s="320" t="n"/>
    </row>
    <row r="200" ht="30" customHeight="1" s="131">
      <c r="A200" s="321" t="n"/>
      <c r="B200" s="321" t="n"/>
      <c r="C200" s="321" t="n"/>
      <c r="D200" s="322" t="n"/>
      <c r="E200" s="321" t="n"/>
      <c r="F200" s="321" t="n"/>
      <c r="G200" s="322" t="n"/>
      <c r="H200" s="322" t="n"/>
      <c r="I200" s="322" t="n"/>
      <c r="J200" s="322" t="n"/>
      <c r="K200" s="321" t="n"/>
      <c r="L200" s="322" t="n"/>
      <c r="M200" s="321" t="n"/>
      <c r="N200" s="320" t="n"/>
    </row>
    <row r="201" ht="30" customHeight="1" s="131">
      <c r="A201" s="321" t="n"/>
      <c r="B201" s="321" t="n"/>
      <c r="C201" s="321" t="n"/>
      <c r="D201" s="322" t="n"/>
      <c r="E201" s="321" t="n"/>
      <c r="F201" s="321" t="n"/>
      <c r="G201" s="322" t="n"/>
      <c r="H201" s="322" t="n"/>
      <c r="I201" s="322" t="n"/>
      <c r="J201" s="322" t="n"/>
      <c r="K201" s="321" t="n"/>
      <c r="L201" s="322" t="n"/>
      <c r="M201" s="321" t="n"/>
      <c r="N201" s="320" t="n"/>
    </row>
    <row r="202" ht="30" customHeight="1" s="131">
      <c r="A202" s="321" t="n"/>
      <c r="B202" s="321" t="n"/>
      <c r="C202" s="321" t="n"/>
      <c r="D202" s="322" t="n"/>
      <c r="E202" s="321" t="n"/>
      <c r="F202" s="321" t="n"/>
      <c r="G202" s="322" t="n"/>
      <c r="H202" s="322" t="n"/>
      <c r="I202" s="322" t="n"/>
      <c r="J202" s="322" t="n"/>
      <c r="K202" s="321" t="n"/>
      <c r="L202" s="322" t="n"/>
      <c r="M202" s="321" t="n"/>
      <c r="N202" s="320" t="n"/>
    </row>
    <row r="203" ht="30" customHeight="1" s="131">
      <c r="A203" s="321" t="n"/>
      <c r="B203" s="321" t="n"/>
      <c r="C203" s="321" t="n"/>
      <c r="D203" s="322" t="n"/>
      <c r="E203" s="321" t="n"/>
      <c r="F203" s="321" t="n"/>
      <c r="G203" s="322" t="n"/>
      <c r="H203" s="322" t="n"/>
      <c r="I203" s="322" t="n"/>
      <c r="J203" s="322" t="n"/>
      <c r="K203" s="321" t="n"/>
      <c r="L203" s="322" t="n"/>
      <c r="M203" s="321" t="n"/>
      <c r="N203" s="320" t="n"/>
    </row>
    <row r="204" ht="30" customHeight="1" s="131">
      <c r="A204" s="321" t="n"/>
      <c r="B204" s="321" t="n"/>
      <c r="C204" s="321" t="n"/>
      <c r="D204" s="322" t="n"/>
      <c r="E204" s="321" t="n"/>
      <c r="F204" s="321" t="n"/>
      <c r="G204" s="322" t="n"/>
      <c r="H204" s="322" t="n"/>
      <c r="I204" s="322" t="n"/>
      <c r="J204" s="322" t="n"/>
      <c r="K204" s="321" t="n"/>
      <c r="L204" s="322" t="n"/>
      <c r="M204" s="321" t="n"/>
      <c r="N204" s="320" t="n"/>
    </row>
    <row r="205" ht="30" customHeight="1" s="131">
      <c r="A205" s="321" t="n"/>
      <c r="B205" s="321" t="n"/>
      <c r="C205" s="321" t="n"/>
      <c r="D205" s="322" t="n"/>
      <c r="E205" s="321" t="n"/>
      <c r="F205" s="321" t="n"/>
      <c r="G205" s="322" t="n"/>
      <c r="H205" s="322" t="n"/>
      <c r="I205" s="322" t="n"/>
      <c r="J205" s="322" t="n"/>
      <c r="K205" s="321" t="n"/>
      <c r="L205" s="322" t="n"/>
      <c r="M205" s="321" t="n"/>
      <c r="N205" s="320" t="n"/>
    </row>
    <row r="206" ht="30" customHeight="1" s="131">
      <c r="A206" s="321" t="n"/>
      <c r="B206" s="321" t="n"/>
      <c r="C206" s="321" t="n"/>
      <c r="D206" s="322" t="n"/>
      <c r="E206" s="321" t="n"/>
      <c r="F206" s="321" t="n"/>
      <c r="G206" s="322" t="n"/>
      <c r="H206" s="322" t="n"/>
      <c r="I206" s="322" t="n"/>
      <c r="J206" s="322" t="n"/>
      <c r="K206" s="321" t="n"/>
      <c r="L206" s="322" t="n"/>
      <c r="M206" s="321" t="n"/>
      <c r="N206" s="320" t="n"/>
    </row>
    <row r="207" ht="30" customHeight="1" s="131">
      <c r="A207" s="321" t="n"/>
      <c r="B207" s="321" t="n"/>
      <c r="C207" s="321" t="n"/>
      <c r="D207" s="322" t="n"/>
      <c r="E207" s="321" t="n"/>
      <c r="F207" s="321" t="n"/>
      <c r="G207" s="322" t="n"/>
      <c r="H207" s="322" t="n"/>
      <c r="I207" s="322" t="n"/>
      <c r="J207" s="322" t="n"/>
      <c r="K207" s="321" t="n"/>
      <c r="L207" s="322" t="n"/>
      <c r="M207" s="321" t="n"/>
      <c r="N207" s="320" t="n"/>
    </row>
    <row r="208" ht="30" customHeight="1" s="131">
      <c r="A208" s="321" t="n"/>
      <c r="B208" s="321" t="n"/>
      <c r="C208" s="321" t="n"/>
      <c r="D208" s="322" t="n"/>
      <c r="E208" s="321" t="n"/>
      <c r="F208" s="321" t="n"/>
      <c r="G208" s="322" t="n"/>
      <c r="H208" s="322" t="n"/>
      <c r="I208" s="322" t="n"/>
      <c r="J208" s="322" t="n"/>
      <c r="K208" s="321" t="n"/>
      <c r="L208" s="322" t="n"/>
      <c r="M208" s="321" t="n"/>
      <c r="N208" s="320" t="n"/>
    </row>
    <row r="209" ht="30" customHeight="1" s="131">
      <c r="A209" s="321" t="n"/>
      <c r="B209" s="321" t="n"/>
      <c r="C209" s="321" t="n"/>
      <c r="D209" s="322" t="n"/>
      <c r="E209" s="321" t="n"/>
      <c r="F209" s="321" t="n"/>
      <c r="G209" s="322" t="n"/>
      <c r="H209" s="322" t="n"/>
      <c r="I209" s="322" t="n"/>
      <c r="J209" s="322" t="n"/>
      <c r="K209" s="321" t="n"/>
      <c r="L209" s="322" t="n"/>
      <c r="M209" s="321" t="n"/>
      <c r="N209" s="320" t="n"/>
    </row>
    <row r="210" ht="30" customHeight="1" s="131">
      <c r="A210" s="321" t="n"/>
      <c r="B210" s="321" t="n"/>
      <c r="C210" s="321" t="n"/>
      <c r="D210" s="322" t="n"/>
      <c r="E210" s="321" t="n"/>
      <c r="F210" s="321" t="n"/>
      <c r="G210" s="322" t="n"/>
      <c r="H210" s="322" t="n"/>
      <c r="I210" s="322" t="n"/>
      <c r="J210" s="322" t="n"/>
      <c r="K210" s="321" t="n"/>
      <c r="L210" s="322" t="n"/>
      <c r="M210" s="321" t="n"/>
      <c r="N210" s="320" t="n"/>
    </row>
    <row r="211" ht="30" customHeight="1" s="131">
      <c r="A211" s="321" t="n"/>
      <c r="B211" s="321" t="n"/>
      <c r="C211" s="321" t="n"/>
      <c r="D211" s="322" t="n"/>
      <c r="E211" s="321" t="n"/>
      <c r="F211" s="321" t="n"/>
      <c r="G211" s="322" t="n"/>
      <c r="H211" s="322" t="n"/>
      <c r="I211" s="322" t="n"/>
      <c r="J211" s="322" t="n"/>
      <c r="K211" s="321" t="n"/>
      <c r="L211" s="322" t="n"/>
      <c r="M211" s="321" t="n"/>
      <c r="N211" s="320" t="n"/>
    </row>
    <row r="212" ht="30" customHeight="1" s="131">
      <c r="A212" s="321" t="n"/>
      <c r="B212" s="321" t="n"/>
      <c r="C212" s="321" t="n"/>
      <c r="D212" s="322" t="n"/>
      <c r="E212" s="321" t="n"/>
      <c r="F212" s="321" t="n"/>
      <c r="G212" s="322" t="n"/>
      <c r="H212" s="322" t="n"/>
      <c r="I212" s="322" t="n"/>
      <c r="J212" s="322" t="n"/>
      <c r="K212" s="321" t="n"/>
      <c r="L212" s="322" t="n"/>
      <c r="M212" s="321" t="n"/>
      <c r="N212" s="320" t="n"/>
    </row>
    <row r="213" ht="30" customHeight="1" s="131">
      <c r="A213" s="321" t="n"/>
      <c r="B213" s="321" t="n"/>
      <c r="C213" s="321" t="n"/>
      <c r="D213" s="322" t="n"/>
      <c r="E213" s="321" t="n"/>
      <c r="F213" s="321" t="n"/>
      <c r="G213" s="322" t="n"/>
      <c r="H213" s="322" t="n"/>
      <c r="I213" s="322" t="n"/>
      <c r="J213" s="322" t="n"/>
      <c r="K213" s="321" t="n"/>
      <c r="L213" s="322" t="n"/>
      <c r="M213" s="321" t="n"/>
      <c r="N213" s="320" t="n"/>
    </row>
    <row r="214" ht="30" customHeight="1" s="131">
      <c r="A214" s="321" t="n"/>
      <c r="B214" s="321" t="n"/>
      <c r="C214" s="321" t="n"/>
      <c r="D214" s="322" t="n"/>
      <c r="E214" s="321" t="n"/>
      <c r="F214" s="321" t="n"/>
      <c r="G214" s="322" t="n"/>
      <c r="H214" s="322" t="n"/>
      <c r="I214" s="322" t="n"/>
      <c r="J214" s="322" t="n"/>
      <c r="K214" s="321" t="n"/>
      <c r="L214" s="322" t="n"/>
      <c r="M214" s="321" t="n"/>
      <c r="N214" s="320" t="n"/>
    </row>
    <row r="215" ht="30" customHeight="1" s="131">
      <c r="A215" s="321" t="n"/>
      <c r="B215" s="321" t="n"/>
      <c r="C215" s="321" t="n"/>
      <c r="D215" s="322" t="n"/>
      <c r="E215" s="321" t="n"/>
      <c r="F215" s="321" t="n"/>
      <c r="G215" s="322" t="n"/>
      <c r="H215" s="322" t="n"/>
      <c r="I215" s="322" t="n"/>
      <c r="J215" s="322" t="n"/>
      <c r="K215" s="321" t="n"/>
      <c r="L215" s="322" t="n"/>
      <c r="M215" s="321" t="n"/>
      <c r="N215" s="320" t="n"/>
    </row>
    <row r="216" ht="30" customHeight="1" s="131">
      <c r="A216" s="321" t="n"/>
      <c r="B216" s="321" t="n"/>
      <c r="C216" s="321" t="n"/>
      <c r="D216" s="322" t="n"/>
      <c r="E216" s="321" t="n"/>
      <c r="F216" s="321" t="n"/>
      <c r="G216" s="322" t="n"/>
      <c r="H216" s="322" t="n"/>
      <c r="I216" s="322" t="n"/>
      <c r="J216" s="322" t="n"/>
      <c r="K216" s="321" t="n"/>
      <c r="L216" s="322" t="n"/>
      <c r="M216" s="321" t="n"/>
      <c r="N216" s="320" t="n"/>
    </row>
    <row r="217" ht="30" customHeight="1" s="131">
      <c r="A217" s="321" t="n"/>
      <c r="B217" s="321" t="n"/>
      <c r="C217" s="321" t="n"/>
      <c r="D217" s="322" t="n"/>
      <c r="E217" s="321" t="n"/>
      <c r="F217" s="321" t="n"/>
      <c r="G217" s="322" t="n"/>
      <c r="H217" s="322" t="n"/>
      <c r="I217" s="322" t="n"/>
      <c r="J217" s="322" t="n"/>
      <c r="K217" s="321" t="n"/>
      <c r="L217" s="322" t="n"/>
      <c r="M217" s="321" t="n"/>
      <c r="N217" s="320" t="n"/>
    </row>
    <row r="218" ht="30" customHeight="1" s="131">
      <c r="A218" s="321" t="n"/>
      <c r="B218" s="321" t="n"/>
      <c r="C218" s="321" t="n"/>
      <c r="D218" s="322" t="n"/>
      <c r="E218" s="321" t="n"/>
      <c r="F218" s="321" t="n"/>
      <c r="G218" s="322" t="n"/>
      <c r="H218" s="322" t="n"/>
      <c r="I218" s="322" t="n"/>
      <c r="J218" s="322" t="n"/>
      <c r="K218" s="321" t="n"/>
      <c r="L218" s="322" t="n"/>
      <c r="M218" s="321" t="n"/>
      <c r="N218" s="320" t="n"/>
    </row>
    <row r="219" ht="30" customHeight="1" s="131">
      <c r="A219" s="321" t="n"/>
      <c r="B219" s="321" t="n"/>
      <c r="C219" s="321" t="n"/>
      <c r="D219" s="322" t="n"/>
      <c r="E219" s="321" t="n"/>
      <c r="F219" s="321" t="n"/>
      <c r="G219" s="322" t="n"/>
      <c r="H219" s="322" t="n"/>
      <c r="I219" s="322" t="n"/>
      <c r="J219" s="322" t="n"/>
      <c r="K219" s="321" t="n"/>
      <c r="L219" s="322" t="n"/>
      <c r="M219" s="321" t="n"/>
      <c r="N219" s="320" t="n"/>
    </row>
    <row r="220" ht="30" customHeight="1" s="131">
      <c r="A220" s="321" t="n"/>
      <c r="B220" s="321" t="n"/>
      <c r="C220" s="321" t="n"/>
      <c r="D220" s="322" t="n"/>
      <c r="E220" s="321" t="n"/>
      <c r="F220" s="321" t="n"/>
      <c r="G220" s="322" t="n"/>
      <c r="H220" s="322" t="n"/>
      <c r="I220" s="322" t="n"/>
      <c r="J220" s="322" t="n"/>
      <c r="K220" s="321" t="n"/>
      <c r="L220" s="322" t="n"/>
      <c r="M220" s="321" t="n"/>
      <c r="N220" s="320" t="n"/>
    </row>
    <row r="221" ht="30" customHeight="1" s="131">
      <c r="A221" s="321" t="n"/>
      <c r="B221" s="321" t="n"/>
      <c r="C221" s="321" t="n"/>
      <c r="D221" s="322" t="n"/>
      <c r="E221" s="321" t="n"/>
      <c r="F221" s="321" t="n"/>
      <c r="G221" s="322" t="n"/>
      <c r="H221" s="322" t="n"/>
      <c r="I221" s="322" t="n"/>
      <c r="J221" s="322" t="n"/>
      <c r="K221" s="321" t="n"/>
      <c r="L221" s="322" t="n"/>
      <c r="M221" s="321" t="n"/>
      <c r="N221" s="320" t="n"/>
    </row>
    <row r="222" ht="30" customHeight="1" s="131">
      <c r="A222" s="321" t="n"/>
      <c r="B222" s="321" t="n"/>
      <c r="C222" s="321" t="n"/>
      <c r="D222" s="322" t="n"/>
      <c r="E222" s="321" t="n"/>
      <c r="F222" s="321" t="n"/>
      <c r="G222" s="322" t="n"/>
      <c r="H222" s="322" t="n"/>
      <c r="I222" s="322" t="n"/>
      <c r="J222" s="322" t="n"/>
      <c r="K222" s="321" t="n"/>
      <c r="L222" s="322" t="n"/>
      <c r="M222" s="321" t="n"/>
      <c r="N222" s="320" t="n"/>
    </row>
    <row r="223" ht="30" customHeight="1" s="131">
      <c r="A223" s="321" t="n"/>
      <c r="B223" s="321" t="n"/>
      <c r="C223" s="321" t="n"/>
      <c r="D223" s="322" t="n"/>
      <c r="E223" s="321" t="n"/>
      <c r="F223" s="321" t="n"/>
      <c r="G223" s="322" t="n"/>
      <c r="H223" s="322" t="n"/>
      <c r="I223" s="322" t="n"/>
      <c r="J223" s="322" t="n"/>
      <c r="K223" s="321" t="n"/>
      <c r="L223" s="322" t="n"/>
      <c r="M223" s="321" t="n"/>
      <c r="N223" s="320" t="n"/>
    </row>
    <row r="224" ht="30" customHeight="1" s="131">
      <c r="A224" s="321" t="n"/>
      <c r="B224" s="321" t="n"/>
      <c r="C224" s="321" t="n"/>
      <c r="D224" s="322" t="n"/>
      <c r="E224" s="321" t="n"/>
      <c r="F224" s="321" t="n"/>
      <c r="G224" s="322" t="n"/>
      <c r="H224" s="322" t="n"/>
      <c r="I224" s="322" t="n"/>
      <c r="J224" s="322" t="n"/>
      <c r="K224" s="321" t="n"/>
      <c r="L224" s="322" t="n"/>
      <c r="M224" s="321" t="n"/>
      <c r="N224" s="320" t="n"/>
    </row>
    <row r="225" ht="30" customHeight="1" s="131">
      <c r="A225" s="321" t="n"/>
      <c r="B225" s="321" t="n"/>
      <c r="C225" s="321" t="n"/>
      <c r="D225" s="322" t="n"/>
      <c r="E225" s="321" t="n"/>
      <c r="F225" s="321" t="n"/>
      <c r="G225" s="322" t="n"/>
      <c r="H225" s="322" t="n"/>
      <c r="I225" s="322" t="n"/>
      <c r="J225" s="322" t="n"/>
      <c r="K225" s="321" t="n"/>
      <c r="L225" s="322" t="n"/>
      <c r="M225" s="321" t="n"/>
      <c r="N225" s="320" t="n"/>
    </row>
    <row r="226" ht="30" customHeight="1" s="131">
      <c r="A226" s="321" t="n"/>
      <c r="B226" s="321" t="n"/>
      <c r="C226" s="321" t="n"/>
      <c r="D226" s="322" t="n"/>
      <c r="E226" s="321" t="n"/>
      <c r="F226" s="321" t="n"/>
      <c r="G226" s="322" t="n"/>
      <c r="H226" s="322" t="n"/>
      <c r="I226" s="322" t="n"/>
      <c r="J226" s="322" t="n"/>
      <c r="K226" s="321" t="n"/>
      <c r="L226" s="322" t="n"/>
      <c r="M226" s="321" t="n"/>
      <c r="N226" s="320" t="n"/>
    </row>
    <row r="227" ht="30" customHeight="1" s="131">
      <c r="A227" s="321" t="n"/>
      <c r="B227" s="321" t="n"/>
      <c r="C227" s="321" t="n"/>
      <c r="D227" s="322" t="n"/>
      <c r="E227" s="321" t="n"/>
      <c r="F227" s="321" t="n"/>
      <c r="G227" s="322" t="n"/>
      <c r="H227" s="322" t="n"/>
      <c r="I227" s="322" t="n"/>
      <c r="J227" s="322" t="n"/>
      <c r="K227" s="321" t="n"/>
      <c r="L227" s="322" t="n"/>
      <c r="M227" s="321" t="n"/>
      <c r="N227" s="320" t="n"/>
    </row>
    <row r="228" ht="30" customHeight="1" s="131">
      <c r="A228" s="321" t="n"/>
      <c r="B228" s="321" t="n"/>
      <c r="C228" s="321" t="n"/>
      <c r="D228" s="322" t="n"/>
      <c r="E228" s="321" t="n"/>
      <c r="F228" s="321" t="n"/>
      <c r="G228" s="322" t="n"/>
      <c r="H228" s="322" t="n"/>
      <c r="I228" s="322" t="n"/>
      <c r="J228" s="322" t="n"/>
      <c r="K228" s="321" t="n"/>
      <c r="L228" s="322" t="n"/>
      <c r="M228" s="321" t="n"/>
      <c r="N228" s="320" t="n"/>
    </row>
    <row r="229" ht="30" customHeight="1" s="131">
      <c r="A229" s="321" t="n"/>
      <c r="B229" s="321" t="n"/>
      <c r="C229" s="321" t="n"/>
      <c r="D229" s="322" t="n"/>
      <c r="E229" s="321" t="n"/>
      <c r="F229" s="321" t="n"/>
      <c r="G229" s="322" t="n"/>
      <c r="H229" s="322" t="n"/>
      <c r="I229" s="322" t="n"/>
      <c r="J229" s="322" t="n"/>
      <c r="K229" s="321" t="n"/>
      <c r="L229" s="322" t="n"/>
      <c r="M229" s="321" t="n"/>
      <c r="N229" s="320" t="n"/>
    </row>
    <row r="230" ht="30" customHeight="1" s="131">
      <c r="A230" s="321" t="n"/>
      <c r="B230" s="321" t="n"/>
      <c r="C230" s="321" t="n"/>
      <c r="D230" s="322" t="n"/>
      <c r="E230" s="321" t="n"/>
      <c r="F230" s="321" t="n"/>
      <c r="G230" s="322" t="n"/>
      <c r="H230" s="322" t="n"/>
      <c r="I230" s="322" t="n"/>
      <c r="J230" s="322" t="n"/>
      <c r="K230" s="321" t="n"/>
      <c r="L230" s="322" t="n"/>
      <c r="M230" s="321" t="n"/>
      <c r="N230" s="320" t="n"/>
    </row>
    <row r="231" ht="30" customHeight="1" s="131">
      <c r="A231" s="321" t="n"/>
      <c r="B231" s="321" t="n"/>
      <c r="C231" s="321" t="n"/>
      <c r="D231" s="322" t="n"/>
      <c r="E231" s="321" t="n"/>
      <c r="F231" s="321" t="n"/>
      <c r="G231" s="322" t="n"/>
      <c r="H231" s="322" t="n"/>
      <c r="I231" s="322" t="n"/>
      <c r="J231" s="322" t="n"/>
      <c r="K231" s="321" t="n"/>
      <c r="L231" s="322" t="n"/>
      <c r="M231" s="321" t="n"/>
      <c r="N231" s="320" t="n"/>
    </row>
    <row r="232" ht="30" customHeight="1" s="131">
      <c r="A232" s="321" t="n"/>
      <c r="B232" s="321" t="n"/>
      <c r="C232" s="321" t="n"/>
      <c r="D232" s="322" t="n"/>
      <c r="E232" s="321" t="n"/>
      <c r="F232" s="321" t="n"/>
      <c r="G232" s="322" t="n"/>
      <c r="H232" s="322" t="n"/>
      <c r="I232" s="322" t="n"/>
      <c r="J232" s="322" t="n"/>
      <c r="K232" s="321" t="n"/>
      <c r="L232" s="322" t="n"/>
      <c r="M232" s="321" t="n"/>
      <c r="N232" s="320" t="n"/>
    </row>
    <row r="233" ht="30" customHeight="1" s="131">
      <c r="A233" s="321" t="n"/>
      <c r="B233" s="321" t="n"/>
      <c r="C233" s="321" t="n"/>
      <c r="D233" s="322" t="n"/>
      <c r="E233" s="321" t="n"/>
      <c r="F233" s="321" t="n"/>
      <c r="G233" s="322" t="n"/>
      <c r="H233" s="322" t="n"/>
      <c r="I233" s="322" t="n"/>
      <c r="J233" s="322" t="n"/>
      <c r="K233" s="321" t="n"/>
      <c r="L233" s="322" t="n"/>
      <c r="M233" s="321" t="n"/>
      <c r="N233" s="320" t="n"/>
    </row>
    <row r="234" ht="30" customHeight="1" s="131">
      <c r="A234" s="321" t="n"/>
      <c r="B234" s="321" t="n"/>
      <c r="C234" s="321" t="n"/>
      <c r="D234" s="322" t="n"/>
      <c r="E234" s="321" t="n"/>
      <c r="F234" s="321" t="n"/>
      <c r="G234" s="322" t="n"/>
      <c r="H234" s="322" t="n"/>
      <c r="I234" s="322" t="n"/>
      <c r="J234" s="322" t="n"/>
      <c r="K234" s="321" t="n"/>
      <c r="L234" s="322" t="n"/>
      <c r="M234" s="321" t="n"/>
      <c r="N234" s="320" t="n"/>
    </row>
    <row r="235" ht="30" customHeight="1" s="131">
      <c r="A235" s="321" t="n"/>
      <c r="B235" s="321" t="n"/>
      <c r="C235" s="321" t="n"/>
      <c r="D235" s="322" t="n"/>
      <c r="E235" s="321" t="n"/>
      <c r="F235" s="321" t="n"/>
      <c r="G235" s="322" t="n"/>
      <c r="H235" s="322" t="n"/>
      <c r="I235" s="322" t="n"/>
      <c r="J235" s="322" t="n"/>
      <c r="K235" s="321" t="n"/>
      <c r="L235" s="322" t="n"/>
      <c r="M235" s="321" t="n"/>
      <c r="N235" s="320" t="n"/>
    </row>
    <row r="236" ht="30" customHeight="1" s="131">
      <c r="A236" s="321" t="n"/>
      <c r="B236" s="321" t="n"/>
      <c r="C236" s="321" t="n"/>
      <c r="D236" s="322" t="n"/>
      <c r="E236" s="321" t="n"/>
      <c r="F236" s="321" t="n"/>
      <c r="G236" s="322" t="n"/>
      <c r="H236" s="322" t="n"/>
      <c r="I236" s="322" t="n"/>
      <c r="J236" s="322" t="n"/>
      <c r="K236" s="321" t="n"/>
      <c r="L236" s="322" t="n"/>
      <c r="M236" s="321" t="n"/>
      <c r="N236" s="320" t="n"/>
    </row>
    <row r="237" ht="30" customHeight="1" s="131">
      <c r="A237" s="321" t="n"/>
      <c r="B237" s="321" t="n"/>
      <c r="C237" s="321" t="n"/>
      <c r="D237" s="322" t="n"/>
      <c r="E237" s="321" t="n"/>
      <c r="F237" s="321" t="n"/>
      <c r="G237" s="322" t="n"/>
      <c r="H237" s="322" t="n"/>
      <c r="I237" s="322" t="n"/>
      <c r="J237" s="322" t="n"/>
      <c r="K237" s="321" t="n"/>
      <c r="L237" s="322" t="n"/>
      <c r="M237" s="321" t="n"/>
      <c r="N237" s="320" t="n"/>
    </row>
    <row r="238" ht="30" customHeight="1" s="131">
      <c r="A238" s="321" t="n"/>
      <c r="B238" s="321" t="n"/>
      <c r="C238" s="321" t="n"/>
      <c r="D238" s="322" t="n"/>
      <c r="E238" s="321" t="n"/>
      <c r="F238" s="321" t="n"/>
      <c r="G238" s="322" t="n"/>
      <c r="H238" s="322" t="n"/>
      <c r="I238" s="322" t="n"/>
      <c r="J238" s="322" t="n"/>
      <c r="K238" s="321" t="n"/>
      <c r="L238" s="322" t="n"/>
      <c r="M238" s="321" t="n"/>
      <c r="N238" s="320" t="n"/>
    </row>
    <row r="239" ht="30" customHeight="1" s="131">
      <c r="A239" s="321" t="n"/>
      <c r="B239" s="321" t="n"/>
      <c r="C239" s="321" t="n"/>
      <c r="D239" s="322" t="n"/>
      <c r="E239" s="321" t="n"/>
      <c r="F239" s="321" t="n"/>
      <c r="G239" s="322" t="n"/>
      <c r="H239" s="322" t="n"/>
      <c r="I239" s="322" t="n"/>
      <c r="J239" s="322" t="n"/>
      <c r="K239" s="321" t="n"/>
      <c r="L239" s="322" t="n"/>
      <c r="M239" s="321" t="n"/>
      <c r="N239" s="320" t="n"/>
    </row>
    <row r="240" ht="30" customHeight="1" s="131">
      <c r="A240" s="321" t="n"/>
      <c r="B240" s="321" t="n"/>
      <c r="C240" s="321" t="n"/>
      <c r="D240" s="322" t="n"/>
      <c r="E240" s="321" t="n"/>
      <c r="F240" s="321" t="n"/>
      <c r="G240" s="322" t="n"/>
      <c r="H240" s="322" t="n"/>
      <c r="I240" s="322" t="n"/>
      <c r="J240" s="322" t="n"/>
      <c r="K240" s="321" t="n"/>
      <c r="L240" s="322" t="n"/>
      <c r="M240" s="321" t="n"/>
      <c r="N240" s="320" t="n"/>
    </row>
    <row r="241" ht="30" customHeight="1" s="131">
      <c r="A241" s="321" t="n"/>
      <c r="B241" s="321" t="n"/>
      <c r="C241" s="321" t="n"/>
      <c r="D241" s="322" t="n"/>
      <c r="E241" s="321" t="n"/>
      <c r="F241" s="321" t="n"/>
      <c r="G241" s="322" t="n"/>
      <c r="H241" s="322" t="n"/>
      <c r="I241" s="322" t="n"/>
      <c r="J241" s="322" t="n"/>
      <c r="K241" s="321" t="n"/>
      <c r="L241" s="322" t="n"/>
      <c r="M241" s="321" t="n"/>
      <c r="N241" s="320" t="n"/>
    </row>
    <row r="242" ht="30" customHeight="1" s="131">
      <c r="A242" s="321" t="n"/>
      <c r="B242" s="321" t="n"/>
      <c r="C242" s="321" t="n"/>
      <c r="D242" s="322" t="n"/>
      <c r="E242" s="321" t="n"/>
      <c r="F242" s="321" t="n"/>
      <c r="G242" s="322" t="n"/>
      <c r="H242" s="322" t="n"/>
      <c r="I242" s="322" t="n"/>
      <c r="J242" s="322" t="n"/>
      <c r="K242" s="321" t="n"/>
      <c r="L242" s="322" t="n"/>
      <c r="M242" s="321" t="n"/>
      <c r="N242" s="320" t="n"/>
    </row>
    <row r="243" ht="30" customHeight="1" s="131">
      <c r="A243" s="321" t="n"/>
      <c r="B243" s="321" t="n"/>
      <c r="C243" s="321" t="n"/>
      <c r="D243" s="322" t="n"/>
      <c r="E243" s="321" t="n"/>
      <c r="F243" s="321" t="n"/>
      <c r="G243" s="322" t="n"/>
      <c r="H243" s="322" t="n"/>
      <c r="I243" s="322" t="n"/>
      <c r="J243" s="322" t="n"/>
      <c r="K243" s="321" t="n"/>
      <c r="L243" s="322" t="n"/>
      <c r="M243" s="321" t="n"/>
      <c r="N243" s="320" t="n"/>
    </row>
    <row r="244" ht="30" customHeight="1" s="131">
      <c r="A244" s="321" t="n"/>
      <c r="B244" s="321" t="n"/>
      <c r="C244" s="321" t="n"/>
      <c r="D244" s="322" t="n"/>
      <c r="E244" s="321" t="n"/>
      <c r="F244" s="321" t="n"/>
      <c r="G244" s="322" t="n"/>
      <c r="H244" s="322" t="n"/>
      <c r="I244" s="322" t="n"/>
      <c r="J244" s="322" t="n"/>
      <c r="K244" s="321" t="n"/>
      <c r="L244" s="322" t="n"/>
      <c r="M244" s="321" t="n"/>
      <c r="N244" s="320" t="n"/>
    </row>
    <row r="245" ht="30" customHeight="1" s="131">
      <c r="A245" s="321" t="n"/>
      <c r="B245" s="321" t="n"/>
      <c r="C245" s="321" t="n"/>
      <c r="D245" s="322" t="n"/>
      <c r="E245" s="321" t="n"/>
      <c r="F245" s="321" t="n"/>
      <c r="G245" s="322" t="n"/>
      <c r="H245" s="322" t="n"/>
      <c r="I245" s="322" t="n"/>
      <c r="J245" s="322" t="n"/>
      <c r="K245" s="321" t="n"/>
      <c r="L245" s="322" t="n"/>
      <c r="M245" s="321" t="n"/>
      <c r="N245" s="320" t="n"/>
    </row>
    <row r="246" ht="30" customHeight="1" s="131">
      <c r="A246" s="321" t="n"/>
      <c r="B246" s="321" t="n"/>
      <c r="C246" s="321" t="n"/>
      <c r="D246" s="322" t="n"/>
      <c r="E246" s="321" t="n"/>
      <c r="F246" s="321" t="n"/>
      <c r="G246" s="322" t="n"/>
      <c r="H246" s="322" t="n"/>
      <c r="I246" s="322" t="n"/>
      <c r="J246" s="322" t="n"/>
      <c r="K246" s="321" t="n"/>
      <c r="L246" s="322" t="n"/>
      <c r="M246" s="321" t="n"/>
      <c r="N246" s="320" t="n"/>
    </row>
    <row r="247" ht="30" customHeight="1" s="131">
      <c r="A247" s="321" t="n"/>
      <c r="B247" s="321" t="n"/>
      <c r="C247" s="321" t="n"/>
      <c r="D247" s="322" t="n"/>
      <c r="E247" s="321" t="n"/>
      <c r="F247" s="321" t="n"/>
      <c r="G247" s="322" t="n"/>
      <c r="H247" s="322" t="n"/>
      <c r="I247" s="322" t="n"/>
      <c r="J247" s="322" t="n"/>
      <c r="K247" s="321" t="n"/>
      <c r="L247" s="322" t="n"/>
      <c r="M247" s="321" t="n"/>
      <c r="N247" s="320" t="n"/>
    </row>
    <row r="248" ht="30" customHeight="1" s="131">
      <c r="A248" s="321" t="n"/>
      <c r="B248" s="321" t="n"/>
      <c r="C248" s="321" t="n"/>
      <c r="D248" s="322" t="n"/>
      <c r="E248" s="321" t="n"/>
      <c r="F248" s="321" t="n"/>
      <c r="G248" s="322" t="n"/>
      <c r="H248" s="322" t="n"/>
      <c r="I248" s="322" t="n"/>
      <c r="J248" s="322" t="n"/>
      <c r="K248" s="321" t="n"/>
      <c r="L248" s="322" t="n"/>
      <c r="M248" s="321" t="n"/>
      <c r="N248" s="320" t="n"/>
    </row>
    <row r="249" ht="30" customHeight="1" s="131">
      <c r="A249" s="321" t="n"/>
      <c r="B249" s="321" t="n"/>
      <c r="C249" s="321" t="n"/>
      <c r="D249" s="322" t="n"/>
      <c r="E249" s="321" t="n"/>
      <c r="F249" s="321" t="n"/>
      <c r="G249" s="322" t="n"/>
      <c r="H249" s="322" t="n"/>
      <c r="I249" s="322" t="n"/>
      <c r="J249" s="322" t="n"/>
      <c r="K249" s="321" t="n"/>
      <c r="L249" s="322" t="n"/>
      <c r="M249" s="321" t="n"/>
      <c r="N249" s="320" t="n"/>
    </row>
    <row r="250" ht="30" customHeight="1" s="131">
      <c r="A250" s="321" t="n"/>
      <c r="B250" s="321" t="n"/>
      <c r="C250" s="321" t="n"/>
      <c r="D250" s="322" t="n"/>
      <c r="E250" s="321" t="n"/>
      <c r="F250" s="321" t="n"/>
      <c r="G250" s="322" t="n"/>
      <c r="H250" s="322" t="n"/>
      <c r="I250" s="322" t="n"/>
      <c r="J250" s="322" t="n"/>
      <c r="K250" s="321" t="n"/>
      <c r="L250" s="322" t="n"/>
      <c r="M250" s="321" t="n"/>
      <c r="N250" s="320" t="n"/>
    </row>
    <row r="251" ht="30" customHeight="1" s="131">
      <c r="A251" s="321" t="n"/>
      <c r="B251" s="321" t="n"/>
      <c r="C251" s="321" t="n"/>
      <c r="D251" s="322" t="n"/>
      <c r="E251" s="321" t="n"/>
      <c r="F251" s="321" t="n"/>
      <c r="G251" s="322" t="n"/>
      <c r="H251" s="322" t="n"/>
      <c r="I251" s="322" t="n"/>
      <c r="J251" s="322" t="n"/>
      <c r="K251" s="321" t="n"/>
      <c r="L251" s="322" t="n"/>
      <c r="M251" s="321" t="n"/>
      <c r="N251" s="320" t="n"/>
    </row>
    <row r="252" ht="30" customHeight="1" s="131">
      <c r="A252" s="321" t="n"/>
      <c r="B252" s="321" t="n"/>
      <c r="C252" s="321" t="n"/>
      <c r="D252" s="322" t="n"/>
      <c r="E252" s="321" t="n"/>
      <c r="F252" s="321" t="n"/>
      <c r="G252" s="322" t="n"/>
      <c r="H252" s="322" t="n"/>
      <c r="I252" s="322" t="n"/>
      <c r="J252" s="322" t="n"/>
      <c r="K252" s="321" t="n"/>
      <c r="L252" s="322" t="n"/>
      <c r="M252" s="321" t="n"/>
      <c r="N252" s="320" t="n"/>
    </row>
    <row r="253" ht="30" customHeight="1" s="131">
      <c r="A253" s="321" t="n"/>
      <c r="B253" s="321" t="n"/>
      <c r="C253" s="321" t="n"/>
      <c r="D253" s="322" t="n"/>
      <c r="E253" s="321" t="n"/>
      <c r="F253" s="321" t="n"/>
      <c r="G253" s="322" t="n"/>
      <c r="H253" s="322" t="n"/>
      <c r="I253" s="322" t="n"/>
      <c r="J253" s="322" t="n"/>
      <c r="K253" s="321" t="n"/>
      <c r="L253" s="322" t="n"/>
      <c r="M253" s="321" t="n"/>
      <c r="N253" s="320" t="n"/>
    </row>
    <row r="254" ht="30" customHeight="1" s="131">
      <c r="A254" s="321" t="n"/>
      <c r="B254" s="321" t="n"/>
      <c r="C254" s="321" t="n"/>
      <c r="D254" s="322" t="n"/>
      <c r="E254" s="321" t="n"/>
      <c r="F254" s="321" t="n"/>
      <c r="G254" s="322" t="n"/>
      <c r="H254" s="322" t="n"/>
      <c r="I254" s="322" t="n"/>
      <c r="J254" s="322" t="n"/>
      <c r="K254" s="321" t="n"/>
      <c r="L254" s="322" t="n"/>
      <c r="M254" s="321" t="n"/>
      <c r="N254" s="320" t="n"/>
    </row>
    <row r="255" ht="30" customHeight="1" s="131">
      <c r="A255" s="321" t="n"/>
      <c r="B255" s="321" t="n"/>
      <c r="C255" s="321" t="n"/>
      <c r="D255" s="322" t="n"/>
      <c r="E255" s="321" t="n"/>
      <c r="F255" s="321" t="n"/>
      <c r="G255" s="322" t="n"/>
      <c r="H255" s="322" t="n"/>
      <c r="I255" s="322" t="n"/>
      <c r="J255" s="322" t="n"/>
      <c r="K255" s="321" t="n"/>
      <c r="L255" s="322" t="n"/>
      <c r="M255" s="321" t="n"/>
      <c r="N255" s="320" t="n"/>
    </row>
    <row r="256" ht="30" customHeight="1" s="131">
      <c r="A256" s="321" t="n"/>
      <c r="B256" s="321" t="n"/>
      <c r="C256" s="321" t="n"/>
      <c r="D256" s="322" t="n"/>
      <c r="E256" s="321" t="n"/>
      <c r="F256" s="321" t="n"/>
      <c r="G256" s="322" t="n"/>
      <c r="H256" s="322" t="n"/>
      <c r="I256" s="322" t="n"/>
      <c r="J256" s="322" t="n"/>
      <c r="K256" s="321" t="n"/>
      <c r="L256" s="322" t="n"/>
      <c r="M256" s="321" t="n"/>
      <c r="N256" s="320" t="n"/>
    </row>
    <row r="257" ht="30" customHeight="1" s="131">
      <c r="A257" s="321" t="n"/>
      <c r="B257" s="321" t="n"/>
      <c r="C257" s="321" t="n"/>
      <c r="D257" s="322" t="n"/>
      <c r="E257" s="321" t="n"/>
      <c r="F257" s="321" t="n"/>
      <c r="G257" s="322" t="n"/>
      <c r="H257" s="322" t="n"/>
      <c r="I257" s="322" t="n"/>
      <c r="J257" s="322" t="n"/>
      <c r="K257" s="321" t="n"/>
      <c r="L257" s="322" t="n"/>
      <c r="M257" s="321" t="n"/>
      <c r="N257" s="320" t="n"/>
    </row>
    <row r="258" ht="30" customHeight="1" s="131">
      <c r="A258" s="321" t="n"/>
      <c r="B258" s="321" t="n"/>
      <c r="C258" s="321" t="n"/>
      <c r="D258" s="322" t="n"/>
      <c r="E258" s="321" t="n"/>
      <c r="F258" s="321" t="n"/>
      <c r="G258" s="322" t="n"/>
      <c r="H258" s="322" t="n"/>
      <c r="I258" s="322" t="n"/>
      <c r="J258" s="322" t="n"/>
      <c r="K258" s="321" t="n"/>
      <c r="L258" s="322" t="n"/>
      <c r="M258" s="321" t="n"/>
      <c r="N258" s="320" t="n"/>
    </row>
    <row r="259" ht="30" customHeight="1" s="131">
      <c r="A259" s="321" t="n"/>
      <c r="B259" s="321" t="n"/>
      <c r="C259" s="321" t="n"/>
      <c r="D259" s="322" t="n"/>
      <c r="E259" s="321" t="n"/>
      <c r="F259" s="321" t="n"/>
      <c r="G259" s="322" t="n"/>
      <c r="H259" s="322" t="n"/>
      <c r="I259" s="322" t="n"/>
      <c r="J259" s="322" t="n"/>
      <c r="K259" s="321" t="n"/>
      <c r="L259" s="322" t="n"/>
      <c r="M259" s="321" t="n"/>
      <c r="N259" s="320" t="n"/>
    </row>
    <row r="260" ht="30" customHeight="1" s="131">
      <c r="A260" s="321" t="n"/>
      <c r="B260" s="321" t="n"/>
      <c r="C260" s="321" t="n"/>
      <c r="D260" s="322" t="n"/>
      <c r="E260" s="321" t="n"/>
      <c r="F260" s="321" t="n"/>
      <c r="G260" s="322" t="n"/>
      <c r="H260" s="322" t="n"/>
      <c r="I260" s="322" t="n"/>
      <c r="J260" s="322" t="n"/>
      <c r="K260" s="321" t="n"/>
      <c r="L260" s="322" t="n"/>
      <c r="M260" s="321" t="n"/>
      <c r="N260" s="320" t="n"/>
    </row>
    <row r="261" ht="30" customHeight="1" s="131">
      <c r="A261" s="321" t="n"/>
      <c r="B261" s="321" t="n"/>
      <c r="C261" s="321" t="n"/>
      <c r="D261" s="322" t="n"/>
      <c r="E261" s="321" t="n"/>
      <c r="F261" s="321" t="n"/>
      <c r="G261" s="322" t="n"/>
      <c r="H261" s="322" t="n"/>
      <c r="I261" s="322" t="n"/>
      <c r="J261" s="322" t="n"/>
      <c r="K261" s="321" t="n"/>
      <c r="L261" s="322" t="n"/>
      <c r="M261" s="321" t="n"/>
      <c r="N261" s="320" t="n"/>
    </row>
    <row r="262" ht="30" customHeight="1" s="131">
      <c r="A262" s="321" t="n"/>
      <c r="B262" s="321" t="n"/>
      <c r="C262" s="321" t="n"/>
      <c r="D262" s="322" t="n"/>
      <c r="E262" s="321" t="n"/>
      <c r="F262" s="321" t="n"/>
      <c r="G262" s="322" t="n"/>
      <c r="H262" s="322" t="n"/>
      <c r="I262" s="322" t="n"/>
      <c r="J262" s="322" t="n"/>
      <c r="K262" s="321" t="n"/>
      <c r="L262" s="322" t="n"/>
      <c r="M262" s="321" t="n"/>
      <c r="N262" s="320" t="n"/>
    </row>
    <row r="263" ht="30" customHeight="1" s="131">
      <c r="A263" s="321" t="n"/>
      <c r="B263" s="321" t="n"/>
      <c r="C263" s="321" t="n"/>
      <c r="D263" s="322" t="n"/>
      <c r="E263" s="321" t="n"/>
      <c r="F263" s="321" t="n"/>
      <c r="G263" s="322" t="n"/>
      <c r="H263" s="322" t="n"/>
      <c r="I263" s="322" t="n"/>
      <c r="J263" s="322" t="n"/>
      <c r="K263" s="321" t="n"/>
      <c r="L263" s="322" t="n"/>
      <c r="M263" s="321" t="n"/>
      <c r="N263" s="320" t="n"/>
    </row>
    <row r="264" ht="30" customHeight="1" s="131">
      <c r="A264" s="321" t="n"/>
      <c r="B264" s="321" t="n"/>
      <c r="C264" s="321" t="n"/>
      <c r="D264" s="322" t="n"/>
      <c r="E264" s="321" t="n"/>
      <c r="F264" s="321" t="n"/>
      <c r="G264" s="322" t="n"/>
      <c r="H264" s="322" t="n"/>
      <c r="I264" s="322" t="n"/>
      <c r="J264" s="322" t="n"/>
      <c r="K264" s="321" t="n"/>
      <c r="L264" s="322" t="n"/>
      <c r="M264" s="321" t="n"/>
      <c r="N264" s="320" t="n"/>
    </row>
    <row r="265" ht="30" customHeight="1" s="131">
      <c r="A265" s="321" t="n"/>
      <c r="B265" s="321" t="n"/>
      <c r="C265" s="321" t="n"/>
      <c r="D265" s="322" t="n"/>
      <c r="E265" s="321" t="n"/>
      <c r="F265" s="321" t="n"/>
      <c r="G265" s="322" t="n"/>
      <c r="H265" s="322" t="n"/>
      <c r="I265" s="322" t="n"/>
      <c r="J265" s="322" t="n"/>
      <c r="K265" s="321" t="n"/>
      <c r="L265" s="322" t="n"/>
      <c r="M265" s="321" t="n"/>
      <c r="N265" s="320" t="n"/>
    </row>
    <row r="266" ht="30" customHeight="1" s="131">
      <c r="A266" s="321" t="n"/>
      <c r="B266" s="321" t="n"/>
      <c r="C266" s="321" t="n"/>
      <c r="D266" s="322" t="n"/>
      <c r="E266" s="321" t="n"/>
      <c r="F266" s="321" t="n"/>
      <c r="G266" s="322" t="n"/>
      <c r="H266" s="322" t="n"/>
      <c r="I266" s="322" t="n"/>
      <c r="J266" s="322" t="n"/>
      <c r="K266" s="321" t="n"/>
      <c r="L266" s="322" t="n"/>
      <c r="M266" s="321" t="n"/>
      <c r="N266" s="320" t="n"/>
    </row>
    <row r="267" ht="30" customHeight="1" s="131">
      <c r="A267" s="321" t="n"/>
      <c r="B267" s="321" t="n"/>
      <c r="C267" s="321" t="n"/>
      <c r="D267" s="322" t="n"/>
      <c r="E267" s="321" t="n"/>
      <c r="F267" s="321" t="n"/>
      <c r="G267" s="322" t="n"/>
      <c r="H267" s="322" t="n"/>
      <c r="I267" s="322" t="n"/>
      <c r="J267" s="322" t="n"/>
      <c r="K267" s="321" t="n"/>
      <c r="L267" s="322" t="n"/>
      <c r="M267" s="321" t="n"/>
      <c r="N267" s="320" t="n"/>
    </row>
    <row r="268" ht="30" customHeight="1" s="131">
      <c r="A268" s="321" t="n"/>
      <c r="B268" s="321" t="n"/>
      <c r="C268" s="321" t="n"/>
      <c r="D268" s="322" t="n"/>
      <c r="E268" s="321" t="n"/>
      <c r="F268" s="321" t="n"/>
      <c r="G268" s="322" t="n"/>
      <c r="H268" s="322" t="n"/>
      <c r="I268" s="322" t="n"/>
      <c r="J268" s="322" t="n"/>
      <c r="K268" s="321" t="n"/>
      <c r="L268" s="322" t="n"/>
      <c r="M268" s="321" t="n"/>
      <c r="N268" s="320" t="n"/>
    </row>
    <row r="269" ht="30" customHeight="1" s="131">
      <c r="A269" s="321" t="n"/>
      <c r="B269" s="321" t="n"/>
      <c r="C269" s="321" t="n"/>
      <c r="D269" s="322" t="n"/>
      <c r="E269" s="321" t="n"/>
      <c r="F269" s="321" t="n"/>
      <c r="G269" s="322" t="n"/>
      <c r="H269" s="322" t="n"/>
      <c r="I269" s="322" t="n"/>
      <c r="J269" s="322" t="n"/>
      <c r="K269" s="321" t="n"/>
      <c r="L269" s="322" t="n"/>
      <c r="M269" s="321" t="n"/>
      <c r="N269" s="320" t="n"/>
    </row>
    <row r="270" ht="30" customHeight="1" s="131">
      <c r="A270" s="321" t="n"/>
      <c r="B270" s="321" t="n"/>
      <c r="C270" s="321" t="n"/>
      <c r="D270" s="322" t="n"/>
      <c r="E270" s="321" t="n"/>
      <c r="F270" s="321" t="n"/>
      <c r="G270" s="322" t="n"/>
      <c r="H270" s="322" t="n"/>
      <c r="I270" s="322" t="n"/>
      <c r="J270" s="322" t="n"/>
      <c r="K270" s="321" t="n"/>
      <c r="L270" s="322" t="n"/>
      <c r="M270" s="321" t="n"/>
      <c r="N270" s="320" t="n"/>
    </row>
    <row r="271" ht="30" customHeight="1" s="131">
      <c r="A271" s="321" t="n"/>
      <c r="B271" s="321" t="n"/>
      <c r="C271" s="321" t="n"/>
      <c r="D271" s="322" t="n"/>
      <c r="E271" s="321" t="n"/>
      <c r="F271" s="321" t="n"/>
      <c r="G271" s="322" t="n"/>
      <c r="H271" s="322" t="n"/>
      <c r="I271" s="322" t="n"/>
      <c r="J271" s="322" t="n"/>
      <c r="K271" s="321" t="n"/>
      <c r="L271" s="322" t="n"/>
      <c r="M271" s="321" t="n"/>
      <c r="N271" s="320" t="n"/>
    </row>
    <row r="272" ht="30" customHeight="1" s="131">
      <c r="A272" s="321" t="n"/>
      <c r="B272" s="321" t="n"/>
      <c r="C272" s="321" t="n"/>
      <c r="D272" s="322" t="n"/>
      <c r="E272" s="321" t="n"/>
      <c r="F272" s="321" t="n"/>
      <c r="G272" s="322" t="n"/>
      <c r="H272" s="322" t="n"/>
      <c r="I272" s="322" t="n"/>
      <c r="J272" s="322" t="n"/>
      <c r="K272" s="321" t="n"/>
      <c r="L272" s="322" t="n"/>
      <c r="M272" s="321" t="n"/>
      <c r="N272" s="320" t="n"/>
    </row>
    <row r="273" ht="30" customHeight="1" s="131">
      <c r="A273" s="321" t="n"/>
      <c r="B273" s="321" t="n"/>
      <c r="C273" s="321" t="n"/>
      <c r="D273" s="322" t="n"/>
      <c r="E273" s="321" t="n"/>
      <c r="F273" s="321" t="n"/>
      <c r="G273" s="322" t="n"/>
      <c r="H273" s="322" t="n"/>
      <c r="I273" s="322" t="n"/>
      <c r="J273" s="322" t="n"/>
      <c r="K273" s="321" t="n"/>
      <c r="L273" s="322" t="n"/>
      <c r="M273" s="321" t="n"/>
      <c r="N273" s="320" t="n"/>
    </row>
    <row r="274" ht="30" customHeight="1" s="131">
      <c r="A274" s="321" t="n"/>
      <c r="B274" s="321" t="n"/>
      <c r="C274" s="321" t="n"/>
      <c r="D274" s="322" t="n"/>
      <c r="E274" s="321" t="n"/>
      <c r="F274" s="321" t="n"/>
      <c r="G274" s="322" t="n"/>
      <c r="H274" s="322" t="n"/>
      <c r="I274" s="322" t="n"/>
      <c r="J274" s="322" t="n"/>
      <c r="K274" s="321" t="n"/>
      <c r="L274" s="322" t="n"/>
      <c r="M274" s="321" t="n"/>
      <c r="N274" s="320" t="n"/>
    </row>
    <row r="275" ht="30" customHeight="1" s="131">
      <c r="A275" s="321" t="n"/>
      <c r="B275" s="321" t="n"/>
      <c r="C275" s="321" t="n"/>
      <c r="D275" s="322" t="n"/>
      <c r="E275" s="321" t="n"/>
      <c r="F275" s="321" t="n"/>
      <c r="G275" s="322" t="n"/>
      <c r="H275" s="322" t="n"/>
      <c r="I275" s="322" t="n"/>
      <c r="J275" s="322" t="n"/>
      <c r="K275" s="321" t="n"/>
      <c r="L275" s="322" t="n"/>
      <c r="M275" s="321" t="n"/>
      <c r="N275" s="320" t="n"/>
    </row>
    <row r="276" ht="30" customHeight="1" s="131">
      <c r="A276" s="321" t="n"/>
      <c r="B276" s="321" t="n"/>
      <c r="C276" s="321" t="n"/>
      <c r="D276" s="322" t="n"/>
      <c r="E276" s="321" t="n"/>
      <c r="F276" s="321" t="n"/>
      <c r="G276" s="322" t="n"/>
      <c r="H276" s="322" t="n"/>
      <c r="I276" s="322" t="n"/>
      <c r="J276" s="322" t="n"/>
      <c r="K276" s="321" t="n"/>
      <c r="L276" s="322" t="n"/>
      <c r="M276" s="321" t="n"/>
      <c r="N276" s="320" t="n"/>
    </row>
    <row r="277" ht="30" customHeight="1" s="131">
      <c r="A277" s="321" t="n"/>
      <c r="B277" s="321" t="n"/>
      <c r="C277" s="321" t="n"/>
      <c r="D277" s="322" t="n"/>
      <c r="E277" s="321" t="n"/>
      <c r="F277" s="321" t="n"/>
      <c r="G277" s="322" t="n"/>
      <c r="H277" s="322" t="n"/>
      <c r="I277" s="322" t="n"/>
      <c r="J277" s="322" t="n"/>
      <c r="K277" s="321" t="n"/>
      <c r="L277" s="322" t="n"/>
      <c r="M277" s="321" t="n"/>
      <c r="N277" s="320" t="n"/>
    </row>
    <row r="278" ht="30" customHeight="1" s="131">
      <c r="A278" s="321" t="n"/>
      <c r="B278" s="321" t="n"/>
      <c r="C278" s="321" t="n"/>
      <c r="D278" s="322" t="n"/>
      <c r="E278" s="321" t="n"/>
      <c r="F278" s="321" t="n"/>
      <c r="G278" s="322" t="n"/>
      <c r="H278" s="322" t="n"/>
      <c r="I278" s="322" t="n"/>
      <c r="J278" s="322" t="n"/>
      <c r="K278" s="321" t="n"/>
      <c r="L278" s="322" t="n"/>
      <c r="M278" s="321" t="n"/>
      <c r="N278" s="320" t="n"/>
    </row>
    <row r="279" ht="30" customHeight="1" s="131">
      <c r="A279" s="321" t="n"/>
      <c r="B279" s="321" t="n"/>
      <c r="C279" s="321" t="n"/>
      <c r="D279" s="322" t="n"/>
      <c r="E279" s="321" t="n"/>
      <c r="F279" s="321" t="n"/>
      <c r="G279" s="322" t="n"/>
      <c r="H279" s="322" t="n"/>
      <c r="I279" s="322" t="n"/>
      <c r="J279" s="322" t="n"/>
      <c r="K279" s="321" t="n"/>
      <c r="L279" s="322" t="n"/>
      <c r="M279" s="321" t="n"/>
      <c r="N279" s="320" t="n"/>
    </row>
    <row r="280" ht="30" customHeight="1" s="131">
      <c r="A280" s="321" t="n"/>
      <c r="B280" s="321" t="n"/>
      <c r="C280" s="321" t="n"/>
      <c r="D280" s="322" t="n"/>
      <c r="E280" s="321" t="n"/>
      <c r="F280" s="321" t="n"/>
      <c r="G280" s="322" t="n"/>
      <c r="H280" s="322" t="n"/>
      <c r="I280" s="322" t="n"/>
      <c r="J280" s="322" t="n"/>
      <c r="K280" s="321" t="n"/>
      <c r="L280" s="322" t="n"/>
      <c r="M280" s="321" t="n"/>
      <c r="N280" s="320" t="n"/>
    </row>
    <row r="281" ht="30" customHeight="1" s="131">
      <c r="A281" s="321" t="n"/>
      <c r="B281" s="321" t="n"/>
      <c r="C281" s="321" t="n"/>
      <c r="D281" s="322" t="n"/>
      <c r="E281" s="321" t="n"/>
      <c r="F281" s="321" t="n"/>
      <c r="G281" s="322" t="n"/>
      <c r="H281" s="322" t="n"/>
      <c r="I281" s="322" t="n"/>
      <c r="J281" s="322" t="n"/>
      <c r="K281" s="321" t="n"/>
      <c r="L281" s="322" t="n"/>
      <c r="M281" s="321" t="n"/>
      <c r="N281" s="320" t="n"/>
    </row>
    <row r="282" ht="30" customHeight="1" s="131">
      <c r="A282" s="321" t="n"/>
      <c r="B282" s="321" t="n"/>
      <c r="C282" s="321" t="n"/>
      <c r="D282" s="322" t="n"/>
      <c r="E282" s="321" t="n"/>
      <c r="F282" s="321" t="n"/>
      <c r="G282" s="322" t="n"/>
      <c r="H282" s="322" t="n"/>
      <c r="I282" s="322" t="n"/>
      <c r="J282" s="322" t="n"/>
      <c r="K282" s="321" t="n"/>
      <c r="L282" s="322" t="n"/>
      <c r="M282" s="321" t="n"/>
      <c r="N282" s="320" t="n"/>
    </row>
    <row r="283" ht="30" customHeight="1" s="131">
      <c r="A283" s="321" t="n"/>
      <c r="B283" s="321" t="n"/>
      <c r="C283" s="321" t="n"/>
      <c r="D283" s="322" t="n"/>
      <c r="E283" s="321" t="n"/>
      <c r="F283" s="321" t="n"/>
      <c r="G283" s="322" t="n"/>
      <c r="H283" s="322" t="n"/>
      <c r="I283" s="322" t="n"/>
      <c r="J283" s="322" t="n"/>
      <c r="K283" s="321" t="n"/>
      <c r="L283" s="322" t="n"/>
      <c r="M283" s="321" t="n"/>
      <c r="N283" s="320" t="n"/>
    </row>
    <row r="284" ht="30" customHeight="1" s="131">
      <c r="A284" s="321" t="n"/>
      <c r="B284" s="321" t="n"/>
      <c r="C284" s="321" t="n"/>
      <c r="D284" s="322" t="n"/>
      <c r="E284" s="321" t="n"/>
      <c r="F284" s="321" t="n"/>
      <c r="G284" s="322" t="n"/>
      <c r="H284" s="322" t="n"/>
      <c r="I284" s="322" t="n"/>
      <c r="J284" s="322" t="n"/>
      <c r="K284" s="321" t="n"/>
      <c r="L284" s="322" t="n"/>
      <c r="M284" s="321" t="n"/>
      <c r="N284" s="320" t="n"/>
    </row>
    <row r="285" ht="30" customHeight="1" s="131">
      <c r="A285" s="321" t="n"/>
      <c r="B285" s="321" t="n"/>
      <c r="C285" s="321" t="n"/>
      <c r="D285" s="322" t="n"/>
      <c r="E285" s="321" t="n"/>
      <c r="F285" s="321" t="n"/>
      <c r="G285" s="322" t="n"/>
      <c r="H285" s="322" t="n"/>
      <c r="I285" s="322" t="n"/>
      <c r="J285" s="322" t="n"/>
      <c r="K285" s="321" t="n"/>
      <c r="L285" s="322" t="n"/>
      <c r="M285" s="321" t="n"/>
      <c r="N285" s="320" t="n"/>
    </row>
    <row r="286" ht="30" customHeight="1" s="131">
      <c r="A286" s="321" t="n"/>
      <c r="B286" s="321" t="n"/>
      <c r="C286" s="321" t="n"/>
      <c r="D286" s="322" t="n"/>
      <c r="E286" s="321" t="n"/>
      <c r="F286" s="321" t="n"/>
      <c r="G286" s="322" t="n"/>
      <c r="H286" s="322" t="n"/>
      <c r="I286" s="322" t="n"/>
      <c r="J286" s="322" t="n"/>
      <c r="K286" s="321" t="n"/>
      <c r="L286" s="322" t="n"/>
      <c r="M286" s="321" t="n"/>
      <c r="N286" s="320" t="n"/>
    </row>
    <row r="287" ht="30" customHeight="1" s="131">
      <c r="A287" s="321" t="n"/>
      <c r="B287" s="321" t="n"/>
      <c r="C287" s="321" t="n"/>
      <c r="D287" s="322" t="n"/>
      <c r="E287" s="321" t="n"/>
      <c r="F287" s="321" t="n"/>
      <c r="G287" s="322" t="n"/>
      <c r="H287" s="322" t="n"/>
      <c r="I287" s="322" t="n"/>
      <c r="J287" s="322" t="n"/>
      <c r="K287" s="321" t="n"/>
      <c r="L287" s="322" t="n"/>
      <c r="M287" s="321" t="n"/>
      <c r="N287" s="320" t="n"/>
    </row>
    <row r="288" ht="30" customHeight="1" s="131">
      <c r="A288" s="321" t="n"/>
      <c r="B288" s="321" t="n"/>
      <c r="C288" s="321" t="n"/>
      <c r="D288" s="322" t="n"/>
      <c r="E288" s="321" t="n"/>
      <c r="F288" s="321" t="n"/>
      <c r="G288" s="322" t="n"/>
      <c r="H288" s="322" t="n"/>
      <c r="I288" s="322" t="n"/>
      <c r="J288" s="322" t="n"/>
      <c r="K288" s="321" t="n"/>
      <c r="L288" s="322" t="n"/>
      <c r="M288" s="321" t="n"/>
      <c r="N288" s="320" t="n"/>
    </row>
    <row r="289" ht="30" customHeight="1" s="131">
      <c r="A289" s="321" t="n"/>
      <c r="B289" s="321" t="n"/>
      <c r="C289" s="321" t="n"/>
      <c r="D289" s="322" t="n"/>
      <c r="E289" s="321" t="n"/>
      <c r="F289" s="321" t="n"/>
      <c r="G289" s="322" t="n"/>
      <c r="H289" s="322" t="n"/>
      <c r="I289" s="322" t="n"/>
      <c r="J289" s="322" t="n"/>
      <c r="K289" s="321" t="n"/>
      <c r="L289" s="322" t="n"/>
      <c r="M289" s="321" t="n"/>
      <c r="N289" s="320" t="n"/>
    </row>
    <row r="290" ht="30" customHeight="1" s="131">
      <c r="A290" s="321" t="n"/>
      <c r="B290" s="321" t="n"/>
      <c r="C290" s="321" t="n"/>
      <c r="D290" s="322" t="n"/>
      <c r="E290" s="321" t="n"/>
      <c r="F290" s="321" t="n"/>
      <c r="G290" s="322" t="n"/>
      <c r="H290" s="322" t="n"/>
      <c r="I290" s="322" t="n"/>
      <c r="J290" s="322" t="n"/>
      <c r="K290" s="321" t="n"/>
      <c r="L290" s="322" t="n"/>
      <c r="M290" s="321" t="n"/>
      <c r="N290" s="320" t="n"/>
    </row>
    <row r="291" ht="30" customHeight="1" s="131">
      <c r="A291" s="321" t="n"/>
      <c r="B291" s="321" t="n"/>
      <c r="C291" s="321" t="n"/>
      <c r="D291" s="322" t="n"/>
      <c r="E291" s="321" t="n"/>
      <c r="F291" s="321" t="n"/>
      <c r="G291" s="322" t="n"/>
      <c r="H291" s="322" t="n"/>
      <c r="I291" s="322" t="n"/>
      <c r="J291" s="322" t="n"/>
      <c r="K291" s="321" t="n"/>
      <c r="L291" s="322" t="n"/>
      <c r="M291" s="321" t="n"/>
      <c r="N291" s="320" t="n"/>
    </row>
    <row r="292" ht="30" customHeight="1" s="131">
      <c r="A292" s="321" t="n"/>
      <c r="B292" s="321" t="n"/>
      <c r="C292" s="321" t="n"/>
      <c r="D292" s="322" t="n"/>
      <c r="E292" s="321" t="n"/>
      <c r="F292" s="321" t="n"/>
      <c r="G292" s="322" t="n"/>
      <c r="H292" s="322" t="n"/>
      <c r="I292" s="322" t="n"/>
      <c r="J292" s="322" t="n"/>
      <c r="K292" s="321" t="n"/>
      <c r="L292" s="322" t="n"/>
      <c r="M292" s="321" t="n"/>
      <c r="N292" s="320" t="n"/>
    </row>
    <row r="293" ht="30" customHeight="1" s="131">
      <c r="A293" s="321" t="n"/>
      <c r="B293" s="321" t="n"/>
      <c r="C293" s="321" t="n"/>
      <c r="D293" s="322" t="n"/>
      <c r="E293" s="321" t="n"/>
      <c r="F293" s="321" t="n"/>
      <c r="G293" s="322" t="n"/>
      <c r="H293" s="322" t="n"/>
      <c r="I293" s="322" t="n"/>
      <c r="J293" s="322" t="n"/>
      <c r="K293" s="321" t="n"/>
      <c r="L293" s="322" t="n"/>
      <c r="M293" s="321" t="n"/>
      <c r="N293" s="320" t="n"/>
    </row>
    <row r="294" ht="30" customHeight="1" s="131">
      <c r="A294" s="321" t="n"/>
      <c r="B294" s="321" t="n"/>
      <c r="C294" s="321" t="n"/>
      <c r="D294" s="322" t="n"/>
      <c r="E294" s="321" t="n"/>
      <c r="F294" s="321" t="n"/>
      <c r="G294" s="322" t="n"/>
      <c r="H294" s="322" t="n"/>
      <c r="I294" s="322" t="n"/>
      <c r="J294" s="322" t="n"/>
      <c r="K294" s="321" t="n"/>
      <c r="L294" s="322" t="n"/>
      <c r="M294" s="321" t="n"/>
      <c r="N294" s="320" t="n"/>
    </row>
    <row r="295" ht="30" customHeight="1" s="131">
      <c r="A295" s="321" t="n"/>
      <c r="B295" s="321" t="n"/>
      <c r="C295" s="321" t="n"/>
      <c r="D295" s="322" t="n"/>
      <c r="E295" s="321" t="n"/>
      <c r="F295" s="321" t="n"/>
      <c r="G295" s="322" t="n"/>
      <c r="H295" s="322" t="n"/>
      <c r="I295" s="322" t="n"/>
      <c r="J295" s="322" t="n"/>
      <c r="K295" s="321" t="n"/>
      <c r="L295" s="322" t="n"/>
      <c r="M295" s="321" t="n"/>
      <c r="N295" s="320" t="n"/>
    </row>
    <row r="296" ht="30" customHeight="1" s="131">
      <c r="A296" s="321" t="n"/>
      <c r="B296" s="321" t="n"/>
      <c r="C296" s="321" t="n"/>
      <c r="D296" s="322" t="n"/>
      <c r="E296" s="321" t="n"/>
      <c r="F296" s="321" t="n"/>
      <c r="G296" s="322" t="n"/>
      <c r="H296" s="322" t="n"/>
      <c r="I296" s="322" t="n"/>
      <c r="J296" s="322" t="n"/>
      <c r="K296" s="321" t="n"/>
      <c r="L296" s="322" t="n"/>
      <c r="M296" s="321" t="n"/>
      <c r="N296" s="320" t="n"/>
    </row>
    <row r="297" ht="30" customHeight="1" s="131">
      <c r="A297" s="321" t="n"/>
      <c r="B297" s="321" t="n"/>
      <c r="C297" s="321" t="n"/>
      <c r="D297" s="322" t="n"/>
      <c r="E297" s="321" t="n"/>
      <c r="F297" s="321" t="n"/>
      <c r="G297" s="322" t="n"/>
      <c r="H297" s="322" t="n"/>
      <c r="I297" s="322" t="n"/>
      <c r="J297" s="322" t="n"/>
      <c r="K297" s="321" t="n"/>
      <c r="L297" s="322" t="n"/>
      <c r="M297" s="321" t="n"/>
      <c r="N297" s="320" t="n"/>
    </row>
    <row r="298" ht="30" customHeight="1" s="131">
      <c r="A298" s="321" t="n"/>
      <c r="B298" s="321" t="n"/>
      <c r="C298" s="321" t="n"/>
      <c r="D298" s="322" t="n"/>
      <c r="E298" s="321" t="n"/>
      <c r="F298" s="321" t="n"/>
      <c r="G298" s="322" t="n"/>
      <c r="H298" s="322" t="n"/>
      <c r="I298" s="322" t="n"/>
      <c r="J298" s="322" t="n"/>
      <c r="K298" s="321" t="n"/>
      <c r="L298" s="322" t="n"/>
      <c r="M298" s="321" t="n"/>
      <c r="N298" s="320" t="n"/>
    </row>
    <row r="299" ht="30" customHeight="1" s="131">
      <c r="A299" s="321" t="n"/>
      <c r="B299" s="321" t="n"/>
      <c r="C299" s="321" t="n"/>
      <c r="D299" s="322" t="n"/>
      <c r="E299" s="321" t="n"/>
      <c r="F299" s="321" t="n"/>
      <c r="G299" s="322" t="n"/>
      <c r="H299" s="322" t="n"/>
      <c r="I299" s="322" t="n"/>
      <c r="J299" s="322" t="n"/>
      <c r="K299" s="321" t="n"/>
      <c r="L299" s="322" t="n"/>
      <c r="M299" s="321" t="n"/>
      <c r="N299" s="320" t="n"/>
    </row>
    <row r="300" ht="30" customHeight="1" s="131">
      <c r="A300" s="321" t="n"/>
      <c r="B300" s="321" t="n"/>
      <c r="C300" s="321" t="n"/>
      <c r="D300" s="322" t="n"/>
      <c r="E300" s="321" t="n"/>
      <c r="F300" s="321" t="n"/>
      <c r="G300" s="322" t="n"/>
      <c r="H300" s="322" t="n"/>
      <c r="I300" s="322" t="n"/>
      <c r="J300" s="322" t="n"/>
      <c r="K300" s="321" t="n"/>
      <c r="L300" s="322" t="n"/>
      <c r="M300" s="321" t="n"/>
      <c r="N300" s="320" t="n"/>
    </row>
    <row r="301" ht="30" customHeight="1" s="131">
      <c r="A301" s="321" t="n"/>
      <c r="B301" s="321" t="n"/>
      <c r="C301" s="321" t="n"/>
      <c r="D301" s="322" t="n"/>
      <c r="E301" s="321" t="n"/>
      <c r="F301" s="321" t="n"/>
      <c r="G301" s="322" t="n"/>
      <c r="H301" s="322" t="n"/>
      <c r="I301" s="322" t="n"/>
      <c r="J301" s="322" t="n"/>
      <c r="K301" s="321" t="n"/>
      <c r="L301" s="322" t="n"/>
      <c r="M301" s="321" t="n"/>
      <c r="N301" s="320" t="n"/>
    </row>
    <row r="302" ht="30" customHeight="1" s="131">
      <c r="A302" s="321" t="n"/>
      <c r="B302" s="321" t="n"/>
      <c r="C302" s="321" t="n"/>
      <c r="D302" s="322" t="n"/>
      <c r="E302" s="321" t="n"/>
      <c r="F302" s="321" t="n"/>
      <c r="G302" s="322" t="n"/>
      <c r="H302" s="322" t="n"/>
      <c r="I302" s="322" t="n"/>
      <c r="J302" s="322" t="n"/>
      <c r="K302" s="321" t="n"/>
      <c r="L302" s="322" t="n"/>
      <c r="M302" s="321" t="n"/>
      <c r="N302" s="320" t="n"/>
    </row>
    <row r="303" ht="30" customHeight="1" s="131">
      <c r="A303" s="321" t="n"/>
      <c r="B303" s="321" t="n"/>
      <c r="C303" s="321" t="n"/>
      <c r="D303" s="322" t="n"/>
      <c r="E303" s="321" t="n"/>
      <c r="F303" s="321" t="n"/>
      <c r="G303" s="322" t="n"/>
      <c r="H303" s="322" t="n"/>
      <c r="I303" s="322" t="n"/>
      <c r="J303" s="322" t="n"/>
      <c r="K303" s="321" t="n"/>
      <c r="L303" s="322" t="n"/>
      <c r="M303" s="321" t="n"/>
      <c r="N303" s="320" t="n"/>
    </row>
    <row r="304" ht="30" customHeight="1" s="131">
      <c r="A304" s="321" t="n"/>
      <c r="B304" s="321" t="n"/>
      <c r="C304" s="321" t="n"/>
      <c r="D304" s="322" t="n"/>
      <c r="E304" s="321" t="n"/>
      <c r="F304" s="321" t="n"/>
      <c r="G304" s="322" t="n"/>
      <c r="H304" s="322" t="n"/>
      <c r="I304" s="322" t="n"/>
      <c r="J304" s="322" t="n"/>
      <c r="K304" s="321" t="n"/>
      <c r="L304" s="322" t="n"/>
      <c r="M304" s="321" t="n"/>
      <c r="N304" s="320" t="n"/>
    </row>
    <row r="305" ht="30" customHeight="1" s="131">
      <c r="A305" s="321" t="n"/>
      <c r="B305" s="321" t="n"/>
      <c r="C305" s="321" t="n"/>
      <c r="D305" s="322" t="n"/>
      <c r="E305" s="321" t="n"/>
      <c r="F305" s="321" t="n"/>
      <c r="G305" s="322" t="n"/>
      <c r="H305" s="322" t="n"/>
      <c r="I305" s="322" t="n"/>
      <c r="J305" s="322" t="n"/>
      <c r="K305" s="321" t="n"/>
      <c r="L305" s="322" t="n"/>
      <c r="M305" s="321" t="n"/>
      <c r="N305" s="320" t="n"/>
    </row>
    <row r="306" ht="30" customHeight="1" s="131">
      <c r="A306" s="321" t="n"/>
      <c r="B306" s="321" t="n"/>
      <c r="C306" s="321" t="n"/>
      <c r="D306" s="322" t="n"/>
      <c r="E306" s="321" t="n"/>
      <c r="F306" s="321" t="n"/>
      <c r="G306" s="322" t="n"/>
      <c r="H306" s="322" t="n"/>
      <c r="I306" s="322" t="n"/>
      <c r="J306" s="322" t="n"/>
      <c r="K306" s="321" t="n"/>
      <c r="L306" s="322" t="n"/>
      <c r="M306" s="321" t="n"/>
      <c r="N306" s="320" t="n"/>
    </row>
    <row r="307" ht="30" customHeight="1" s="131">
      <c r="A307" s="321" t="n"/>
      <c r="B307" s="321" t="n"/>
      <c r="C307" s="321" t="n"/>
      <c r="D307" s="322" t="n"/>
      <c r="E307" s="321" t="n"/>
      <c r="F307" s="321" t="n"/>
      <c r="G307" s="322" t="n"/>
      <c r="H307" s="322" t="n"/>
      <c r="I307" s="322" t="n"/>
      <c r="J307" s="322" t="n"/>
      <c r="K307" s="321" t="n"/>
      <c r="L307" s="322" t="n"/>
      <c r="M307" s="321" t="n"/>
      <c r="N307" s="320" t="n"/>
    </row>
    <row r="308" ht="30" customHeight="1" s="131">
      <c r="A308" s="216" t="n"/>
      <c r="B308" s="216" t="n"/>
      <c r="C308" s="216" t="n"/>
      <c r="D308" s="217" t="n"/>
      <c r="E308" s="216" t="n"/>
      <c r="F308" s="216" t="n"/>
      <c r="G308" s="217" t="n"/>
      <c r="H308" s="217" t="n"/>
      <c r="I308" s="217" t="n"/>
      <c r="J308" s="217" t="n"/>
      <c r="K308" s="216" t="n"/>
      <c r="L308" s="217" t="n"/>
      <c r="M308" s="216" t="n"/>
      <c r="N308" s="164" t="n"/>
    </row>
    <row r="309"/>
    <row r="310" ht="15" customHeight="1" s="131">
      <c r="A310" s="140" t="n"/>
    </row>
  </sheetData>
  <mergeCells count="2">
    <mergeCell ref="A2:N2"/>
    <mergeCell ref="A1:N1"/>
  </mergeCells>
  <dataValidations count="1">
    <dataValidation sqref="M8:M307" showDropDown="0" showInputMessage="0" showErrorMessage="0" allowBlank="1" type="list">
      <formula1>"Não iniciado,Em andamento,Concluído,Atrasado,Cancelado"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J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42" customWidth="1" style="130" min="2" max="2"/>
    <col width="15" customWidth="1" style="130" min="3" max="6"/>
    <col width="18" customWidth="1" style="131" min="4" max="4"/>
    <col width="16" customWidth="1" style="131" min="5" max="5"/>
    <col width="18" customWidth="1" style="131" min="6" max="6"/>
    <col width="16" customWidth="1" style="130" min="7" max="7"/>
    <col width="18" customWidth="1" style="130" min="8" max="8"/>
    <col width="28" customWidth="1" style="130" min="9" max="9"/>
    <col width="36" customWidth="1" style="130" min="10" max="10"/>
  </cols>
  <sheetData>
    <row r="1" ht="24" customHeight="1" s="131">
      <c r="A1" s="262" t="inlineStr">
        <is>
          <t>ENTRADA — DTNH-01 · NPS Discente</t>
        </is>
      </c>
    </row>
    <row r="2" ht="30" customHeight="1" s="131">
      <c r="A2" s="263" t="inlineStr">
        <is>
          <t>Uma linha por período e curso. Período aceita AAAA-MM ou AAAA-SEM1/AAAA-SEM2.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Respondentes</t>
        </is>
      </c>
      <c r="D4" s="282" t="inlineStr">
        <is>
          <t>Promotores (9-10)</t>
        </is>
      </c>
      <c r="E4" s="282" t="inlineStr">
        <is>
          <t>Neutros (7-8)</t>
        </is>
      </c>
      <c r="F4" s="282" t="inlineStr">
        <is>
          <t>Detratores (0-6)</t>
        </is>
      </c>
      <c r="G4" s="282" t="inlineStr">
        <is>
          <t>Valor da Linha</t>
        </is>
      </c>
      <c r="H4" s="282" t="inlineStr">
        <is>
          <t>Data do lançamento</t>
        </is>
      </c>
      <c r="I4" s="282" t="inlineStr">
        <is>
          <t>Lançado por</t>
        </is>
      </c>
      <c r="J4" s="282" t="inlineStr">
        <is>
          <t>Validação da linha</t>
        </is>
      </c>
    </row>
    <row r="5" ht="15" customHeight="1" s="131">
      <c r="A5" s="320" t="n"/>
      <c r="B5" s="323" t="n"/>
      <c r="C5" s="320" t="n"/>
      <c r="D5" s="320" t="n"/>
      <c r="E5" s="320" t="n"/>
      <c r="F5" s="320" t="n"/>
      <c r="G5" s="284">
        <f>IFERROR((D5-F5)/C5*100,"")</f>
        <v/>
      </c>
      <c r="H5" s="324" t="n"/>
      <c r="I5" s="320" t="n"/>
      <c r="J5" s="325">
        <f>IF(COUNTA(A5:F5)=0,"",IF(OR(C5&lt;0,D5&lt;0,E5&lt;0,F5&lt;0),"ERRO: valor negativo",IF(C5&lt;&gt;SUM(D5:F5),"ERRO: categorias diferem dos respondentes",IF(COUNTIFS($A$5:$A$1200,A5,$B$5:$B$1200,B5)&gt;1,"ERRO: período e curso duplicados","OK"))))</f>
        <v/>
      </c>
    </row>
    <row r="6" ht="15" customHeight="1" s="131">
      <c r="A6" s="320" t="n"/>
      <c r="B6" s="323" t="n"/>
      <c r="C6" s="320" t="n"/>
      <c r="D6" s="320" t="n"/>
      <c r="E6" s="320" t="n"/>
      <c r="F6" s="320" t="n"/>
      <c r="G6" s="284">
        <f>IFERROR((D6-F6)/C6*100,"")</f>
        <v/>
      </c>
      <c r="H6" s="324" t="n"/>
      <c r="I6" s="320" t="n"/>
      <c r="J6" s="325">
        <f>IF(COUNTA(A6:F6)=0,"",IF(OR(C6&lt;0,D6&lt;0,E6&lt;0,F6&lt;0),"ERRO: valor negativo",IF(C6&lt;&gt;SUM(D6:F6),"ERRO: categorias diferem dos respondentes",IF(COUNTIFS($A$5:$A$1200,A6,$B$5:$B$1200,B6)&gt;1,"ERRO: período e curso duplicados","OK"))))</f>
        <v/>
      </c>
    </row>
    <row r="7" ht="15" customHeight="1" s="131">
      <c r="A7" s="320" t="n"/>
      <c r="B7" s="323" t="n"/>
      <c r="C7" s="320" t="n"/>
      <c r="D7" s="320" t="n"/>
      <c r="E7" s="320" t="n"/>
      <c r="F7" s="320" t="n"/>
      <c r="G7" s="284">
        <f>IFERROR((D7-F7)/C7*100,"")</f>
        <v/>
      </c>
      <c r="H7" s="324" t="n"/>
      <c r="I7" s="320" t="n"/>
      <c r="J7" s="325">
        <f>IF(COUNTA(A7:F7)=0,"",IF(OR(C7&lt;0,D7&lt;0,E7&lt;0,F7&lt;0),"ERRO: valor negativo",IF(C7&lt;&gt;SUM(D7:F7),"ERRO: categorias diferem dos respondentes",IF(COUNTIFS($A$5:$A$1200,A7,$B$5:$B$1200,B7)&gt;1,"ERRO: período e curso duplicados","OK"))))</f>
        <v/>
      </c>
    </row>
    <row r="8" ht="15" customHeight="1" s="131">
      <c r="A8" s="320" t="n"/>
      <c r="B8" s="323" t="n"/>
      <c r="C8" s="320" t="n"/>
      <c r="D8" s="320" t="n"/>
      <c r="E8" s="320" t="n"/>
      <c r="F8" s="320" t="n"/>
      <c r="G8" s="284">
        <f>IFERROR((D8-F8)/C8*100,"")</f>
        <v/>
      </c>
      <c r="H8" s="324" t="n"/>
      <c r="I8" s="320" t="n"/>
      <c r="J8" s="325">
        <f>IF(COUNTA(A8:F8)=0,"",IF(OR(C8&lt;0,D8&lt;0,E8&lt;0,F8&lt;0),"ERRO: valor negativo",IF(C8&lt;&gt;SUM(D8:F8),"ERRO: categorias diferem dos respondentes",IF(COUNTIFS($A$5:$A$1200,A8,$B$5:$B$1200,B8)&gt;1,"ERRO: período e curso duplicados","OK"))))</f>
        <v/>
      </c>
    </row>
    <row r="9" ht="15" customHeight="1" s="131">
      <c r="A9" s="320" t="n"/>
      <c r="B9" s="323" t="n"/>
      <c r="C9" s="320" t="n"/>
      <c r="D9" s="320" t="n"/>
      <c r="E9" s="320" t="n"/>
      <c r="F9" s="320" t="n"/>
      <c r="G9" s="284">
        <f>IFERROR((D9-F9)/C9*100,"")</f>
        <v/>
      </c>
      <c r="H9" s="324" t="n"/>
      <c r="I9" s="320" t="n"/>
      <c r="J9" s="325">
        <f>IF(COUNTA(A9:F9)=0,"",IF(OR(C9&lt;0,D9&lt;0,E9&lt;0,F9&lt;0),"ERRO: valor negativo",IF(C9&lt;&gt;SUM(D9:F9),"ERRO: categorias diferem dos respondentes",IF(COUNTIFS($A$5:$A$1200,A9,$B$5:$B$1200,B9)&gt;1,"ERRO: período e curso duplicados","OK"))))</f>
        <v/>
      </c>
    </row>
    <row r="10" ht="15" customHeight="1" s="131">
      <c r="A10" s="320" t="n"/>
      <c r="B10" s="323" t="n"/>
      <c r="C10" s="320" t="n"/>
      <c r="D10" s="320" t="n"/>
      <c r="E10" s="320" t="n"/>
      <c r="F10" s="320" t="n"/>
      <c r="G10" s="284">
        <f>IFERROR((D10-F10)/C10*100,"")</f>
        <v/>
      </c>
      <c r="H10" s="324" t="n"/>
      <c r="I10" s="320" t="n"/>
      <c r="J10" s="325">
        <f>IF(COUNTA(A10:F10)=0,"",IF(OR(C10&lt;0,D10&lt;0,E10&lt;0,F10&lt;0),"ERRO: valor negativo",IF(C10&lt;&gt;SUM(D10:F10),"ERRO: categorias diferem dos respondentes",IF(COUNTIFS($A$5:$A$1200,A10,$B$5:$B$1200,B10)&gt;1,"ERRO: período e curso duplicados","OK"))))</f>
        <v/>
      </c>
    </row>
    <row r="11" ht="15" customHeight="1" s="131">
      <c r="A11" s="320" t="n"/>
      <c r="B11" s="323" t="n"/>
      <c r="C11" s="320" t="n"/>
      <c r="D11" s="320" t="n"/>
      <c r="E11" s="320" t="n"/>
      <c r="F11" s="320" t="n"/>
      <c r="G11" s="284">
        <f>IFERROR((D11-F11)/C11*100,"")</f>
        <v/>
      </c>
      <c r="H11" s="324" t="n"/>
      <c r="I11" s="320" t="n"/>
      <c r="J11" s="325">
        <f>IF(COUNTA(A11:F11)=0,"",IF(OR(C11&lt;0,D11&lt;0,E11&lt;0,F11&lt;0),"ERRO: valor negativo",IF(C11&lt;&gt;SUM(D11:F11),"ERRO: categorias diferem dos respondentes",IF(COUNTIFS($A$5:$A$1200,A11,$B$5:$B$1200,B11)&gt;1,"ERRO: período e curso duplicados","OK"))))</f>
        <v/>
      </c>
    </row>
    <row r="12" ht="15" customHeight="1" s="131">
      <c r="A12" s="320" t="n"/>
      <c r="B12" s="323" t="n"/>
      <c r="C12" s="320" t="n"/>
      <c r="D12" s="320" t="n"/>
      <c r="E12" s="320" t="n"/>
      <c r="F12" s="320" t="n"/>
      <c r="G12" s="284">
        <f>IFERROR((D12-F12)/C12*100,"")</f>
        <v/>
      </c>
      <c r="H12" s="324" t="n"/>
      <c r="I12" s="320" t="n"/>
      <c r="J12" s="325">
        <f>IF(COUNTA(A12:F12)=0,"",IF(OR(C12&lt;0,D12&lt;0,E12&lt;0,F12&lt;0),"ERRO: valor negativo",IF(C12&lt;&gt;SUM(D12:F12),"ERRO: categorias diferem dos respondentes",IF(COUNTIFS($A$5:$A$1200,A12,$B$5:$B$1200,B12)&gt;1,"ERRO: período e curso duplicados","OK"))))</f>
        <v/>
      </c>
    </row>
    <row r="13" ht="15" customHeight="1" s="131">
      <c r="A13" s="320" t="n"/>
      <c r="B13" s="323" t="n"/>
      <c r="C13" s="320" t="n"/>
      <c r="D13" s="320" t="n"/>
      <c r="E13" s="320" t="n"/>
      <c r="F13" s="320" t="n"/>
      <c r="G13" s="284">
        <f>IFERROR((D13-F13)/C13*100,"")</f>
        <v/>
      </c>
      <c r="H13" s="324" t="n"/>
      <c r="I13" s="320" t="n"/>
      <c r="J13" s="325">
        <f>IF(COUNTA(A13:F13)=0,"",IF(OR(C13&lt;0,D13&lt;0,E13&lt;0,F13&lt;0),"ERRO: valor negativo",IF(C13&lt;&gt;SUM(D13:F13),"ERRO: categorias diferem dos respondentes",IF(COUNTIFS($A$5:$A$1200,A13,$B$5:$B$1200,B13)&gt;1,"ERRO: período e curso duplicados","OK"))))</f>
        <v/>
      </c>
    </row>
    <row r="14" ht="15" customHeight="1" s="131">
      <c r="A14" s="320" t="n"/>
      <c r="B14" s="323" t="n"/>
      <c r="C14" s="320" t="n"/>
      <c r="D14" s="320" t="n"/>
      <c r="E14" s="320" t="n"/>
      <c r="F14" s="320" t="n"/>
      <c r="G14" s="284">
        <f>IFERROR((D14-F14)/C14*100,"")</f>
        <v/>
      </c>
      <c r="H14" s="324" t="n"/>
      <c r="I14" s="320" t="n"/>
      <c r="J14" s="325">
        <f>IF(COUNTA(A14:F14)=0,"",IF(OR(C14&lt;0,D14&lt;0,E14&lt;0,F14&lt;0),"ERRO: valor negativo",IF(C14&lt;&gt;SUM(D14:F14),"ERRO: categorias diferem dos respondentes",IF(COUNTIFS($A$5:$A$1200,A14,$B$5:$B$1200,B14)&gt;1,"ERRO: período e curso duplicados","OK"))))</f>
        <v/>
      </c>
    </row>
    <row r="15" ht="15" customHeight="1" s="131">
      <c r="A15" s="320" t="n"/>
      <c r="B15" s="323" t="n"/>
      <c r="C15" s="320" t="n"/>
      <c r="D15" s="320" t="n"/>
      <c r="E15" s="320" t="n"/>
      <c r="F15" s="320" t="n"/>
      <c r="G15" s="284">
        <f>IFERROR((D15-F15)/C15*100,"")</f>
        <v/>
      </c>
      <c r="H15" s="324" t="n"/>
      <c r="I15" s="320" t="n"/>
      <c r="J15" s="325">
        <f>IF(COUNTA(A15:F15)=0,"",IF(OR(C15&lt;0,D15&lt;0,E15&lt;0,F15&lt;0),"ERRO: valor negativo",IF(C15&lt;&gt;SUM(D15:F15),"ERRO: categorias diferem dos respondentes",IF(COUNTIFS($A$5:$A$1200,A15,$B$5:$B$1200,B15)&gt;1,"ERRO: período e curso duplicados","OK"))))</f>
        <v/>
      </c>
    </row>
    <row r="16" ht="15" customHeight="1" s="131">
      <c r="A16" s="320" t="n"/>
      <c r="B16" s="323" t="n"/>
      <c r="C16" s="320" t="n"/>
      <c r="D16" s="320" t="n"/>
      <c r="E16" s="320" t="n"/>
      <c r="F16" s="320" t="n"/>
      <c r="G16" s="284">
        <f>IFERROR((D16-F16)/C16*100,"")</f>
        <v/>
      </c>
      <c r="H16" s="324" t="n"/>
      <c r="I16" s="320" t="n"/>
      <c r="J16" s="325">
        <f>IF(COUNTA(A16:F16)=0,"",IF(OR(C16&lt;0,D16&lt;0,E16&lt;0,F16&lt;0),"ERRO: valor negativo",IF(C16&lt;&gt;SUM(D16:F16),"ERRO: categorias diferem dos respondentes",IF(COUNTIFS($A$5:$A$1200,A16,$B$5:$B$1200,B16)&gt;1,"ERRO: período e curso duplicados","OK"))))</f>
        <v/>
      </c>
    </row>
    <row r="17" ht="15" customHeight="1" s="131">
      <c r="A17" s="320" t="n"/>
      <c r="B17" s="323" t="n"/>
      <c r="C17" s="320" t="n"/>
      <c r="D17" s="320" t="n"/>
      <c r="E17" s="320" t="n"/>
      <c r="F17" s="320" t="n"/>
      <c r="G17" s="284">
        <f>IFERROR((D17-F17)/C17*100,"")</f>
        <v/>
      </c>
      <c r="H17" s="324" t="n"/>
      <c r="I17" s="320" t="n"/>
      <c r="J17" s="325">
        <f>IF(COUNTA(A17:F17)=0,"",IF(OR(C17&lt;0,D17&lt;0,E17&lt;0,F17&lt;0),"ERRO: valor negativo",IF(C17&lt;&gt;SUM(D17:F17),"ERRO: categorias diferem dos respondentes",IF(COUNTIFS($A$5:$A$1200,A17,$B$5:$B$1200,B17)&gt;1,"ERRO: período e curso duplicados","OK"))))</f>
        <v/>
      </c>
    </row>
    <row r="18" ht="15" customHeight="1" s="131">
      <c r="A18" s="320" t="n"/>
      <c r="B18" s="323" t="n"/>
      <c r="C18" s="320" t="n"/>
      <c r="D18" s="320" t="n"/>
      <c r="E18" s="320" t="n"/>
      <c r="F18" s="320" t="n"/>
      <c r="G18" s="284">
        <f>IFERROR((D18-F18)/C18*100,"")</f>
        <v/>
      </c>
      <c r="H18" s="324" t="n"/>
      <c r="I18" s="320" t="n"/>
      <c r="J18" s="325">
        <f>IF(COUNTA(A18:F18)=0,"",IF(OR(C18&lt;0,D18&lt;0,E18&lt;0,F18&lt;0),"ERRO: valor negativo",IF(C18&lt;&gt;SUM(D18:F18),"ERRO: categorias diferem dos respondentes",IF(COUNTIFS($A$5:$A$1200,A18,$B$5:$B$1200,B18)&gt;1,"ERRO: período e curso duplicados","OK"))))</f>
        <v/>
      </c>
    </row>
    <row r="19" ht="15" customHeight="1" s="131">
      <c r="A19" s="320" t="n"/>
      <c r="B19" s="323" t="n"/>
      <c r="C19" s="320" t="n"/>
      <c r="D19" s="320" t="n"/>
      <c r="E19" s="320" t="n"/>
      <c r="F19" s="320" t="n"/>
      <c r="G19" s="284">
        <f>IFERROR((D19-F19)/C19*100,"")</f>
        <v/>
      </c>
      <c r="H19" s="324" t="n"/>
      <c r="I19" s="320" t="n"/>
      <c r="J19" s="325">
        <f>IF(COUNTA(A19:F19)=0,"",IF(OR(C19&lt;0,D19&lt;0,E19&lt;0,F19&lt;0),"ERRO: valor negativo",IF(C19&lt;&gt;SUM(D19:F19),"ERRO: categorias diferem dos respondentes",IF(COUNTIFS($A$5:$A$1200,A19,$B$5:$B$1200,B19)&gt;1,"ERRO: período e curso duplicados","OK"))))</f>
        <v/>
      </c>
    </row>
    <row r="20" ht="15" customHeight="1" s="131">
      <c r="A20" s="320" t="n"/>
      <c r="B20" s="323" t="n"/>
      <c r="C20" s="320" t="n"/>
      <c r="D20" s="320" t="n"/>
      <c r="E20" s="320" t="n"/>
      <c r="F20" s="320" t="n"/>
      <c r="G20" s="284">
        <f>IFERROR((D20-F20)/C20*100,"")</f>
        <v/>
      </c>
      <c r="H20" s="324" t="n"/>
      <c r="I20" s="320" t="n"/>
      <c r="J20" s="325">
        <f>IF(COUNTA(A20:F20)=0,"",IF(OR(C20&lt;0,D20&lt;0,E20&lt;0,F20&lt;0),"ERRO: valor negativo",IF(C20&lt;&gt;SUM(D20:F20),"ERRO: categorias diferem dos respondentes",IF(COUNTIFS($A$5:$A$1200,A20,$B$5:$B$1200,B20)&gt;1,"ERRO: período e curso duplicados","OK"))))</f>
        <v/>
      </c>
    </row>
    <row r="21" ht="15" customHeight="1" s="131">
      <c r="A21" s="320" t="n"/>
      <c r="B21" s="323" t="n"/>
      <c r="C21" s="320" t="n"/>
      <c r="D21" s="320" t="n"/>
      <c r="E21" s="320" t="n"/>
      <c r="F21" s="320" t="n"/>
      <c r="G21" s="284">
        <f>IFERROR((D21-F21)/C21*100,"")</f>
        <v/>
      </c>
      <c r="H21" s="324" t="n"/>
      <c r="I21" s="320" t="n"/>
      <c r="J21" s="325">
        <f>IF(COUNTA(A21:F21)=0,"",IF(OR(C21&lt;0,D21&lt;0,E21&lt;0,F21&lt;0),"ERRO: valor negativo",IF(C21&lt;&gt;SUM(D21:F21),"ERRO: categorias diferem dos respondentes",IF(COUNTIFS($A$5:$A$1200,A21,$B$5:$B$1200,B21)&gt;1,"ERRO: período e curso duplicados","OK"))))</f>
        <v/>
      </c>
    </row>
    <row r="22" ht="15" customHeight="1" s="131">
      <c r="A22" s="320" t="n"/>
      <c r="B22" s="323" t="n"/>
      <c r="C22" s="320" t="n"/>
      <c r="D22" s="320" t="n"/>
      <c r="E22" s="320" t="n"/>
      <c r="F22" s="320" t="n"/>
      <c r="G22" s="284">
        <f>IFERROR((D22-F22)/C22*100,"")</f>
        <v/>
      </c>
      <c r="H22" s="324" t="n"/>
      <c r="I22" s="320" t="n"/>
      <c r="J22" s="325">
        <f>IF(COUNTA(A22:F22)=0,"",IF(OR(C22&lt;0,D22&lt;0,E22&lt;0,F22&lt;0),"ERRO: valor negativo",IF(C22&lt;&gt;SUM(D22:F22),"ERRO: categorias diferem dos respondentes",IF(COUNTIFS($A$5:$A$1200,A22,$B$5:$B$1200,B22)&gt;1,"ERRO: período e curso duplicados","OK"))))</f>
        <v/>
      </c>
    </row>
    <row r="23" ht="15" customHeight="1" s="131">
      <c r="A23" s="320" t="n"/>
      <c r="B23" s="323" t="n"/>
      <c r="C23" s="320" t="n"/>
      <c r="D23" s="320" t="n"/>
      <c r="E23" s="320" t="n"/>
      <c r="F23" s="320" t="n"/>
      <c r="G23" s="284">
        <f>IFERROR((D23-F23)/C23*100,"")</f>
        <v/>
      </c>
      <c r="H23" s="324" t="n"/>
      <c r="I23" s="320" t="n"/>
      <c r="J23" s="325">
        <f>IF(COUNTA(A23:F23)=0,"",IF(OR(C23&lt;0,D23&lt;0,E23&lt;0,F23&lt;0),"ERRO: valor negativo",IF(C23&lt;&gt;SUM(D23:F23),"ERRO: categorias diferem dos respondentes",IF(COUNTIFS($A$5:$A$1200,A23,$B$5:$B$1200,B23)&gt;1,"ERRO: período e curso duplicados","OK"))))</f>
        <v/>
      </c>
    </row>
    <row r="24" ht="15" customHeight="1" s="131">
      <c r="A24" s="320" t="n"/>
      <c r="B24" s="323" t="n"/>
      <c r="C24" s="320" t="n"/>
      <c r="D24" s="320" t="n"/>
      <c r="E24" s="320" t="n"/>
      <c r="F24" s="320" t="n"/>
      <c r="G24" s="284">
        <f>IFERROR((D24-F24)/C24*100,"")</f>
        <v/>
      </c>
      <c r="H24" s="324" t="n"/>
      <c r="I24" s="320" t="n"/>
      <c r="J24" s="325">
        <f>IF(COUNTA(A24:F24)=0,"",IF(OR(C24&lt;0,D24&lt;0,E24&lt;0,F24&lt;0),"ERRO: valor negativo",IF(C24&lt;&gt;SUM(D24:F24),"ERRO: categorias diferem dos respondentes",IF(COUNTIFS($A$5:$A$1200,A24,$B$5:$B$1200,B24)&gt;1,"ERRO: período e curso duplicados","OK"))))</f>
        <v/>
      </c>
    </row>
    <row r="25" ht="15" customHeight="1" s="131">
      <c r="A25" s="320" t="n"/>
      <c r="B25" s="323" t="n"/>
      <c r="C25" s="320" t="n"/>
      <c r="D25" s="320" t="n"/>
      <c r="E25" s="320" t="n"/>
      <c r="F25" s="320" t="n"/>
      <c r="G25" s="284">
        <f>IFERROR((D25-F25)/C25*100,"")</f>
        <v/>
      </c>
      <c r="H25" s="324" t="n"/>
      <c r="I25" s="320" t="n"/>
      <c r="J25" s="325">
        <f>IF(COUNTA(A25:F25)=0,"",IF(OR(C25&lt;0,D25&lt;0,E25&lt;0,F25&lt;0),"ERRO: valor negativo",IF(C25&lt;&gt;SUM(D25:F25),"ERRO: categorias diferem dos respondentes",IF(COUNTIFS($A$5:$A$1200,A25,$B$5:$B$1200,B25)&gt;1,"ERRO: período e curso duplicados","OK"))))</f>
        <v/>
      </c>
    </row>
    <row r="26" ht="15" customHeight="1" s="131">
      <c r="A26" s="320" t="n"/>
      <c r="B26" s="323" t="n"/>
      <c r="C26" s="320" t="n"/>
      <c r="D26" s="320" t="n"/>
      <c r="E26" s="320" t="n"/>
      <c r="F26" s="320" t="n"/>
      <c r="G26" s="284">
        <f>IFERROR((D26-F26)/C26*100,"")</f>
        <v/>
      </c>
      <c r="H26" s="324" t="n"/>
      <c r="I26" s="320" t="n"/>
      <c r="J26" s="325">
        <f>IF(COUNTA(A26:F26)=0,"",IF(OR(C26&lt;0,D26&lt;0,E26&lt;0,F26&lt;0),"ERRO: valor negativo",IF(C26&lt;&gt;SUM(D26:F26),"ERRO: categorias diferem dos respondentes",IF(COUNTIFS($A$5:$A$1200,A26,$B$5:$B$1200,B26)&gt;1,"ERRO: período e curso duplicados","OK"))))</f>
        <v/>
      </c>
    </row>
    <row r="27" ht="15" customHeight="1" s="131">
      <c r="A27" s="320" t="n"/>
      <c r="B27" s="323" t="n"/>
      <c r="C27" s="320" t="n"/>
      <c r="D27" s="320" t="n"/>
      <c r="E27" s="320" t="n"/>
      <c r="F27" s="320" t="n"/>
      <c r="G27" s="284">
        <f>IFERROR((D27-F27)/C27*100,"")</f>
        <v/>
      </c>
      <c r="H27" s="324" t="n"/>
      <c r="I27" s="320" t="n"/>
      <c r="J27" s="325">
        <f>IF(COUNTA(A27:F27)=0,"",IF(OR(C27&lt;0,D27&lt;0,E27&lt;0,F27&lt;0),"ERRO: valor negativo",IF(C27&lt;&gt;SUM(D27:F27),"ERRO: categorias diferem dos respondentes",IF(COUNTIFS($A$5:$A$1200,A27,$B$5:$B$1200,B27)&gt;1,"ERRO: período e curso duplicados","OK"))))</f>
        <v/>
      </c>
    </row>
    <row r="28" ht="15" customHeight="1" s="131">
      <c r="A28" s="320" t="n"/>
      <c r="B28" s="323" t="n"/>
      <c r="C28" s="320" t="n"/>
      <c r="D28" s="320" t="n"/>
      <c r="E28" s="320" t="n"/>
      <c r="F28" s="320" t="n"/>
      <c r="G28" s="284">
        <f>IFERROR((D28-F28)/C28*100,"")</f>
        <v/>
      </c>
      <c r="H28" s="324" t="n"/>
      <c r="I28" s="320" t="n"/>
      <c r="J28" s="325">
        <f>IF(COUNTA(A28:F28)=0,"",IF(OR(C28&lt;0,D28&lt;0,E28&lt;0,F28&lt;0),"ERRO: valor negativo",IF(C28&lt;&gt;SUM(D28:F28),"ERRO: categorias diferem dos respondentes",IF(COUNTIFS($A$5:$A$1200,A28,$B$5:$B$1200,B28)&gt;1,"ERRO: período e curso duplicados","OK"))))</f>
        <v/>
      </c>
    </row>
    <row r="29" ht="15" customHeight="1" s="131">
      <c r="A29" s="320" t="n"/>
      <c r="B29" s="323" t="n"/>
      <c r="C29" s="320" t="n"/>
      <c r="D29" s="320" t="n"/>
      <c r="E29" s="320" t="n"/>
      <c r="F29" s="320" t="n"/>
      <c r="G29" s="284">
        <f>IFERROR((D29-F29)/C29*100,"")</f>
        <v/>
      </c>
      <c r="H29" s="324" t="n"/>
      <c r="I29" s="320" t="n"/>
      <c r="J29" s="325">
        <f>IF(COUNTA(A29:F29)=0,"",IF(OR(C29&lt;0,D29&lt;0,E29&lt;0,F29&lt;0),"ERRO: valor negativo",IF(C29&lt;&gt;SUM(D29:F29),"ERRO: categorias diferem dos respondentes",IF(COUNTIFS($A$5:$A$1200,A29,$B$5:$B$1200,B29)&gt;1,"ERRO: período e curso duplicados","OK"))))</f>
        <v/>
      </c>
    </row>
    <row r="30" ht="15" customHeight="1" s="131">
      <c r="A30" s="320" t="n"/>
      <c r="B30" s="323" t="n"/>
      <c r="C30" s="320" t="n"/>
      <c r="D30" s="320" t="n"/>
      <c r="E30" s="320" t="n"/>
      <c r="F30" s="320" t="n"/>
      <c r="G30" s="284">
        <f>IFERROR((D30-F30)/C30*100,"")</f>
        <v/>
      </c>
      <c r="H30" s="324" t="n"/>
      <c r="I30" s="320" t="n"/>
      <c r="J30" s="325">
        <f>IF(COUNTA(A30:F30)=0,"",IF(OR(C30&lt;0,D30&lt;0,E30&lt;0,F30&lt;0),"ERRO: valor negativo",IF(C30&lt;&gt;SUM(D30:F30),"ERRO: categorias diferem dos respondentes",IF(COUNTIFS($A$5:$A$1200,A30,$B$5:$B$1200,B30)&gt;1,"ERRO: período e curso duplicados","OK"))))</f>
        <v/>
      </c>
    </row>
    <row r="31" ht="15" customHeight="1" s="131">
      <c r="A31" s="320" t="n"/>
      <c r="B31" s="323" t="n"/>
      <c r="C31" s="320" t="n"/>
      <c r="D31" s="320" t="n"/>
      <c r="E31" s="320" t="n"/>
      <c r="F31" s="320" t="n"/>
      <c r="G31" s="284">
        <f>IFERROR((D31-F31)/C31*100,"")</f>
        <v/>
      </c>
      <c r="H31" s="324" t="n"/>
      <c r="I31" s="320" t="n"/>
      <c r="J31" s="325">
        <f>IF(COUNTA(A31:F31)=0,"",IF(OR(C31&lt;0,D31&lt;0,E31&lt;0,F31&lt;0),"ERRO: valor negativo",IF(C31&lt;&gt;SUM(D31:F31),"ERRO: categorias diferem dos respondentes",IF(COUNTIFS($A$5:$A$1200,A31,$B$5:$B$1200,B31)&gt;1,"ERRO: período e curso duplicados","OK"))))</f>
        <v/>
      </c>
    </row>
    <row r="32" ht="15" customHeight="1" s="131">
      <c r="A32" s="320" t="n"/>
      <c r="B32" s="323" t="n"/>
      <c r="C32" s="320" t="n"/>
      <c r="D32" s="320" t="n"/>
      <c r="E32" s="320" t="n"/>
      <c r="F32" s="320" t="n"/>
      <c r="G32" s="284">
        <f>IFERROR((D32-F32)/C32*100,"")</f>
        <v/>
      </c>
      <c r="H32" s="324" t="n"/>
      <c r="I32" s="320" t="n"/>
      <c r="J32" s="325">
        <f>IF(COUNTA(A32:F32)=0,"",IF(OR(C32&lt;0,D32&lt;0,E32&lt;0,F32&lt;0),"ERRO: valor negativo",IF(C32&lt;&gt;SUM(D32:F32),"ERRO: categorias diferem dos respondentes",IF(COUNTIFS($A$5:$A$1200,A32,$B$5:$B$1200,B32)&gt;1,"ERRO: período e curso duplicados","OK"))))</f>
        <v/>
      </c>
    </row>
    <row r="33" ht="15" customHeight="1" s="131">
      <c r="A33" s="320" t="n"/>
      <c r="B33" s="323" t="n"/>
      <c r="C33" s="320" t="n"/>
      <c r="D33" s="320" t="n"/>
      <c r="E33" s="320" t="n"/>
      <c r="F33" s="320" t="n"/>
      <c r="G33" s="284">
        <f>IFERROR((D33-F33)/C33*100,"")</f>
        <v/>
      </c>
      <c r="H33" s="324" t="n"/>
      <c r="I33" s="320" t="n"/>
      <c r="J33" s="325">
        <f>IF(COUNTA(A33:F33)=0,"",IF(OR(C33&lt;0,D33&lt;0,E33&lt;0,F33&lt;0),"ERRO: valor negativo",IF(C33&lt;&gt;SUM(D33:F33),"ERRO: categorias diferem dos respondentes",IF(COUNTIFS($A$5:$A$1200,A33,$B$5:$B$1200,B33)&gt;1,"ERRO: período e curso duplicados","OK"))))</f>
        <v/>
      </c>
    </row>
    <row r="34" ht="15" customHeight="1" s="131">
      <c r="A34" s="320" t="n"/>
      <c r="B34" s="323" t="n"/>
      <c r="C34" s="320" t="n"/>
      <c r="D34" s="320" t="n"/>
      <c r="E34" s="320" t="n"/>
      <c r="F34" s="320" t="n"/>
      <c r="G34" s="284">
        <f>IFERROR((D34-F34)/C34*100,"")</f>
        <v/>
      </c>
      <c r="H34" s="324" t="n"/>
      <c r="I34" s="320" t="n"/>
      <c r="J34" s="325">
        <f>IF(COUNTA(A34:F34)=0,"",IF(OR(C34&lt;0,D34&lt;0,E34&lt;0,F34&lt;0),"ERRO: valor negativo",IF(C34&lt;&gt;SUM(D34:F34),"ERRO: categorias diferem dos respondentes",IF(COUNTIFS($A$5:$A$1200,A34,$B$5:$B$1200,B34)&gt;1,"ERRO: período e curso duplicados","OK"))))</f>
        <v/>
      </c>
    </row>
    <row r="35" ht="15" customHeight="1" s="131">
      <c r="A35" s="320" t="n"/>
      <c r="B35" s="323" t="n"/>
      <c r="C35" s="320" t="n"/>
      <c r="D35" s="320" t="n"/>
      <c r="E35" s="320" t="n"/>
      <c r="F35" s="320" t="n"/>
      <c r="G35" s="284">
        <f>IFERROR((D35-F35)/C35*100,"")</f>
        <v/>
      </c>
      <c r="H35" s="324" t="n"/>
      <c r="I35" s="320" t="n"/>
      <c r="J35" s="325">
        <f>IF(COUNTA(A35:F35)=0,"",IF(OR(C35&lt;0,D35&lt;0,E35&lt;0,F35&lt;0),"ERRO: valor negativo",IF(C35&lt;&gt;SUM(D35:F35),"ERRO: categorias diferem dos respondentes",IF(COUNTIFS($A$5:$A$1200,A35,$B$5:$B$1200,B35)&gt;1,"ERRO: período e curso duplicados","OK"))))</f>
        <v/>
      </c>
    </row>
    <row r="36" ht="15" customHeight="1" s="131">
      <c r="A36" s="320" t="n"/>
      <c r="B36" s="323" t="n"/>
      <c r="C36" s="320" t="n"/>
      <c r="D36" s="320" t="n"/>
      <c r="E36" s="320" t="n"/>
      <c r="F36" s="320" t="n"/>
      <c r="G36" s="284">
        <f>IFERROR((D36-F36)/C36*100,"")</f>
        <v/>
      </c>
      <c r="H36" s="324" t="n"/>
      <c r="I36" s="320" t="n"/>
      <c r="J36" s="325">
        <f>IF(COUNTA(A36:F36)=0,"",IF(OR(C36&lt;0,D36&lt;0,E36&lt;0,F36&lt;0),"ERRO: valor negativo",IF(C36&lt;&gt;SUM(D36:F36),"ERRO: categorias diferem dos respondentes",IF(COUNTIFS($A$5:$A$1200,A36,$B$5:$B$1200,B36)&gt;1,"ERRO: período e curso duplicados","OK"))))</f>
        <v/>
      </c>
    </row>
    <row r="37" ht="15" customHeight="1" s="131">
      <c r="A37" s="320" t="n"/>
      <c r="B37" s="323" t="n"/>
      <c r="C37" s="320" t="n"/>
      <c r="D37" s="320" t="n"/>
      <c r="E37" s="320" t="n"/>
      <c r="F37" s="320" t="n"/>
      <c r="G37" s="284">
        <f>IFERROR((D37-F37)/C37*100,"")</f>
        <v/>
      </c>
      <c r="H37" s="324" t="n"/>
      <c r="I37" s="320" t="n"/>
      <c r="J37" s="325">
        <f>IF(COUNTA(A37:F37)=0,"",IF(OR(C37&lt;0,D37&lt;0,E37&lt;0,F37&lt;0),"ERRO: valor negativo",IF(C37&lt;&gt;SUM(D37:F37),"ERRO: categorias diferem dos respondentes",IF(COUNTIFS($A$5:$A$1200,A37,$B$5:$B$1200,B37)&gt;1,"ERRO: período e curso duplicados","OK"))))</f>
        <v/>
      </c>
    </row>
    <row r="38" ht="15" customHeight="1" s="131">
      <c r="A38" s="320" t="n"/>
      <c r="B38" s="323" t="n"/>
      <c r="C38" s="320" t="n"/>
      <c r="D38" s="320" t="n"/>
      <c r="E38" s="320" t="n"/>
      <c r="F38" s="320" t="n"/>
      <c r="G38" s="284">
        <f>IFERROR((D38-F38)/C38*100,"")</f>
        <v/>
      </c>
      <c r="H38" s="324" t="n"/>
      <c r="I38" s="320" t="n"/>
      <c r="J38" s="325">
        <f>IF(COUNTA(A38:F38)=0,"",IF(OR(C38&lt;0,D38&lt;0,E38&lt;0,F38&lt;0),"ERRO: valor negativo",IF(C38&lt;&gt;SUM(D38:F38),"ERRO: categorias diferem dos respondentes",IF(COUNTIFS($A$5:$A$1200,A38,$B$5:$B$1200,B38)&gt;1,"ERRO: período e curso duplicados","OK"))))</f>
        <v/>
      </c>
    </row>
    <row r="39" ht="15" customHeight="1" s="131">
      <c r="A39" s="320" t="n"/>
      <c r="B39" s="323" t="n"/>
      <c r="C39" s="320" t="n"/>
      <c r="D39" s="320" t="n"/>
      <c r="E39" s="320" t="n"/>
      <c r="F39" s="320" t="n"/>
      <c r="G39" s="284">
        <f>IFERROR((D39-F39)/C39*100,"")</f>
        <v/>
      </c>
      <c r="H39" s="324" t="n"/>
      <c r="I39" s="320" t="n"/>
      <c r="J39" s="325">
        <f>IF(COUNTA(A39:F39)=0,"",IF(OR(C39&lt;0,D39&lt;0,E39&lt;0,F39&lt;0),"ERRO: valor negativo",IF(C39&lt;&gt;SUM(D39:F39),"ERRO: categorias diferem dos respondentes",IF(COUNTIFS($A$5:$A$1200,A39,$B$5:$B$1200,B39)&gt;1,"ERRO: período e curso duplicados","OK"))))</f>
        <v/>
      </c>
    </row>
    <row r="40" ht="15" customHeight="1" s="131">
      <c r="A40" s="320" t="n"/>
      <c r="B40" s="323" t="n"/>
      <c r="C40" s="320" t="n"/>
      <c r="D40" s="320" t="n"/>
      <c r="E40" s="320" t="n"/>
      <c r="F40" s="320" t="n"/>
      <c r="G40" s="284">
        <f>IFERROR((D40-F40)/C40*100,"")</f>
        <v/>
      </c>
      <c r="H40" s="324" t="n"/>
      <c r="I40" s="320" t="n"/>
      <c r="J40" s="325">
        <f>IF(COUNTA(A40:F40)=0,"",IF(OR(C40&lt;0,D40&lt;0,E40&lt;0,F40&lt;0),"ERRO: valor negativo",IF(C40&lt;&gt;SUM(D40:F40),"ERRO: categorias diferem dos respondentes",IF(COUNTIFS($A$5:$A$1200,A40,$B$5:$B$1200,B40)&gt;1,"ERRO: período e curso duplicados","OK"))))</f>
        <v/>
      </c>
    </row>
    <row r="41" ht="15" customHeight="1" s="131">
      <c r="A41" s="320" t="n"/>
      <c r="B41" s="323" t="n"/>
      <c r="C41" s="320" t="n"/>
      <c r="D41" s="320" t="n"/>
      <c r="E41" s="320" t="n"/>
      <c r="F41" s="320" t="n"/>
      <c r="G41" s="284">
        <f>IFERROR((D41-F41)/C41*100,"")</f>
        <v/>
      </c>
      <c r="H41" s="324" t="n"/>
      <c r="I41" s="320" t="n"/>
      <c r="J41" s="325">
        <f>IF(COUNTA(A41:F41)=0,"",IF(OR(C41&lt;0,D41&lt;0,E41&lt;0,F41&lt;0),"ERRO: valor negativo",IF(C41&lt;&gt;SUM(D41:F41),"ERRO: categorias diferem dos respondentes",IF(COUNTIFS($A$5:$A$1200,A41,$B$5:$B$1200,B41)&gt;1,"ERRO: período e curso duplicados","OK"))))</f>
        <v/>
      </c>
    </row>
    <row r="42" ht="15" customHeight="1" s="131">
      <c r="A42" s="320" t="n"/>
      <c r="B42" s="323" t="n"/>
      <c r="C42" s="320" t="n"/>
      <c r="D42" s="320" t="n"/>
      <c r="E42" s="320" t="n"/>
      <c r="F42" s="320" t="n"/>
      <c r="G42" s="284">
        <f>IFERROR((D42-F42)/C42*100,"")</f>
        <v/>
      </c>
      <c r="H42" s="324" t="n"/>
      <c r="I42" s="320" t="n"/>
      <c r="J42" s="325">
        <f>IF(COUNTA(A42:F42)=0,"",IF(OR(C42&lt;0,D42&lt;0,E42&lt;0,F42&lt;0),"ERRO: valor negativo",IF(C42&lt;&gt;SUM(D42:F42),"ERRO: categorias diferem dos respondentes",IF(COUNTIFS($A$5:$A$1200,A42,$B$5:$B$1200,B42)&gt;1,"ERRO: período e curso duplicados","OK"))))</f>
        <v/>
      </c>
    </row>
    <row r="43" ht="15" customHeight="1" s="131">
      <c r="A43" s="320" t="n"/>
      <c r="B43" s="323" t="n"/>
      <c r="C43" s="320" t="n"/>
      <c r="D43" s="320" t="n"/>
      <c r="E43" s="320" t="n"/>
      <c r="F43" s="320" t="n"/>
      <c r="G43" s="284">
        <f>IFERROR((D43-F43)/C43*100,"")</f>
        <v/>
      </c>
      <c r="H43" s="324" t="n"/>
      <c r="I43" s="320" t="n"/>
      <c r="J43" s="325">
        <f>IF(COUNTA(A43:F43)=0,"",IF(OR(C43&lt;0,D43&lt;0,E43&lt;0,F43&lt;0),"ERRO: valor negativo",IF(C43&lt;&gt;SUM(D43:F43),"ERRO: categorias diferem dos respondentes",IF(COUNTIFS($A$5:$A$1200,A43,$B$5:$B$1200,B43)&gt;1,"ERRO: período e curso duplicados","OK"))))</f>
        <v/>
      </c>
    </row>
    <row r="44" ht="15" customHeight="1" s="131">
      <c r="A44" s="320" t="n"/>
      <c r="B44" s="323" t="n"/>
      <c r="C44" s="320" t="n"/>
      <c r="D44" s="320" t="n"/>
      <c r="E44" s="320" t="n"/>
      <c r="F44" s="320" t="n"/>
      <c r="G44" s="284">
        <f>IFERROR((D44-F44)/C44*100,"")</f>
        <v/>
      </c>
      <c r="H44" s="324" t="n"/>
      <c r="I44" s="320" t="n"/>
      <c r="J44" s="325">
        <f>IF(COUNTA(A44:F44)=0,"",IF(OR(C44&lt;0,D44&lt;0,E44&lt;0,F44&lt;0),"ERRO: valor negativo",IF(C44&lt;&gt;SUM(D44:F44),"ERRO: categorias diferem dos respondentes",IF(COUNTIFS($A$5:$A$1200,A44,$B$5:$B$1200,B44)&gt;1,"ERRO: período e curso duplicados","OK"))))</f>
        <v/>
      </c>
    </row>
    <row r="45" ht="15" customHeight="1" s="131">
      <c r="A45" s="320" t="n"/>
      <c r="B45" s="323" t="n"/>
      <c r="C45" s="320" t="n"/>
      <c r="D45" s="320" t="n"/>
      <c r="E45" s="320" t="n"/>
      <c r="F45" s="320" t="n"/>
      <c r="G45" s="284">
        <f>IFERROR((D45-F45)/C45*100,"")</f>
        <v/>
      </c>
      <c r="H45" s="324" t="n"/>
      <c r="I45" s="320" t="n"/>
      <c r="J45" s="325">
        <f>IF(COUNTA(A45:F45)=0,"",IF(OR(C45&lt;0,D45&lt;0,E45&lt;0,F45&lt;0),"ERRO: valor negativo",IF(C45&lt;&gt;SUM(D45:F45),"ERRO: categorias diferem dos respondentes",IF(COUNTIFS($A$5:$A$1200,A45,$B$5:$B$1200,B45)&gt;1,"ERRO: período e curso duplicados","OK"))))</f>
        <v/>
      </c>
    </row>
    <row r="46" ht="15" customHeight="1" s="131">
      <c r="A46" s="320" t="n"/>
      <c r="B46" s="323" t="n"/>
      <c r="C46" s="320" t="n"/>
      <c r="D46" s="320" t="n"/>
      <c r="E46" s="320" t="n"/>
      <c r="F46" s="320" t="n"/>
      <c r="G46" s="284">
        <f>IFERROR((D46-F46)/C46*100,"")</f>
        <v/>
      </c>
      <c r="H46" s="324" t="n"/>
      <c r="I46" s="320" t="n"/>
      <c r="J46" s="325">
        <f>IF(COUNTA(A46:F46)=0,"",IF(OR(C46&lt;0,D46&lt;0,E46&lt;0,F46&lt;0),"ERRO: valor negativo",IF(C46&lt;&gt;SUM(D46:F46),"ERRO: categorias diferem dos respondentes",IF(COUNTIFS($A$5:$A$1200,A46,$B$5:$B$1200,B46)&gt;1,"ERRO: período e curso duplicados","OK"))))</f>
        <v/>
      </c>
    </row>
    <row r="47" ht="15" customHeight="1" s="131">
      <c r="A47" s="320" t="n"/>
      <c r="B47" s="323" t="n"/>
      <c r="C47" s="320" t="n"/>
      <c r="D47" s="320" t="n"/>
      <c r="E47" s="320" t="n"/>
      <c r="F47" s="320" t="n"/>
      <c r="G47" s="284">
        <f>IFERROR((D47-F47)/C47*100,"")</f>
        <v/>
      </c>
      <c r="H47" s="324" t="n"/>
      <c r="I47" s="320" t="n"/>
      <c r="J47" s="325">
        <f>IF(COUNTA(A47:F47)=0,"",IF(OR(C47&lt;0,D47&lt;0,E47&lt;0,F47&lt;0),"ERRO: valor negativo",IF(C47&lt;&gt;SUM(D47:F47),"ERRO: categorias diferem dos respondentes",IF(COUNTIFS($A$5:$A$1200,A47,$B$5:$B$1200,B47)&gt;1,"ERRO: período e curso duplicados","OK"))))</f>
        <v/>
      </c>
    </row>
    <row r="48" ht="15" customHeight="1" s="131">
      <c r="A48" s="320" t="n"/>
      <c r="B48" s="323" t="n"/>
      <c r="C48" s="320" t="n"/>
      <c r="D48" s="320" t="n"/>
      <c r="E48" s="320" t="n"/>
      <c r="F48" s="320" t="n"/>
      <c r="G48" s="284">
        <f>IFERROR((D48-F48)/C48*100,"")</f>
        <v/>
      </c>
      <c r="H48" s="324" t="n"/>
      <c r="I48" s="320" t="n"/>
      <c r="J48" s="325">
        <f>IF(COUNTA(A48:F48)=0,"",IF(OR(C48&lt;0,D48&lt;0,E48&lt;0,F48&lt;0),"ERRO: valor negativo",IF(C48&lt;&gt;SUM(D48:F48),"ERRO: categorias diferem dos respondentes",IF(COUNTIFS($A$5:$A$1200,A48,$B$5:$B$1200,B48)&gt;1,"ERRO: período e curso duplicados","OK"))))</f>
        <v/>
      </c>
    </row>
    <row r="49" ht="15" customHeight="1" s="131">
      <c r="A49" s="320" t="n"/>
      <c r="B49" s="323" t="n"/>
      <c r="C49" s="320" t="n"/>
      <c r="D49" s="320" t="n"/>
      <c r="E49" s="320" t="n"/>
      <c r="F49" s="320" t="n"/>
      <c r="G49" s="284">
        <f>IFERROR((D49-F49)/C49*100,"")</f>
        <v/>
      </c>
      <c r="H49" s="324" t="n"/>
      <c r="I49" s="320" t="n"/>
      <c r="J49" s="325">
        <f>IF(COUNTA(A49:F49)=0,"",IF(OR(C49&lt;0,D49&lt;0,E49&lt;0,F49&lt;0),"ERRO: valor negativo",IF(C49&lt;&gt;SUM(D49:F49),"ERRO: categorias diferem dos respondentes",IF(COUNTIFS($A$5:$A$1200,A49,$B$5:$B$1200,B49)&gt;1,"ERRO: período e curso duplicados","OK"))))</f>
        <v/>
      </c>
    </row>
    <row r="50" ht="15" customHeight="1" s="131">
      <c r="A50" s="320" t="n"/>
      <c r="B50" s="323" t="n"/>
      <c r="C50" s="320" t="n"/>
      <c r="D50" s="320" t="n"/>
      <c r="E50" s="320" t="n"/>
      <c r="F50" s="320" t="n"/>
      <c r="G50" s="284">
        <f>IFERROR((D50-F50)/C50*100,"")</f>
        <v/>
      </c>
      <c r="H50" s="324" t="n"/>
      <c r="I50" s="320" t="n"/>
      <c r="J50" s="325">
        <f>IF(COUNTA(A50:F50)=0,"",IF(OR(C50&lt;0,D50&lt;0,E50&lt;0,F50&lt;0),"ERRO: valor negativo",IF(C50&lt;&gt;SUM(D50:F50),"ERRO: categorias diferem dos respondentes",IF(COUNTIFS($A$5:$A$1200,A50,$B$5:$B$1200,B50)&gt;1,"ERRO: período e curso duplicados","OK"))))</f>
        <v/>
      </c>
    </row>
    <row r="51" ht="15" customHeight="1" s="131">
      <c r="A51" s="320" t="n"/>
      <c r="B51" s="323" t="n"/>
      <c r="C51" s="320" t="n"/>
      <c r="D51" s="320" t="n"/>
      <c r="E51" s="320" t="n"/>
      <c r="F51" s="320" t="n"/>
      <c r="G51" s="284">
        <f>IFERROR((D51-F51)/C51*100,"")</f>
        <v/>
      </c>
      <c r="H51" s="324" t="n"/>
      <c r="I51" s="320" t="n"/>
      <c r="J51" s="325">
        <f>IF(COUNTA(A51:F51)=0,"",IF(OR(C51&lt;0,D51&lt;0,E51&lt;0,F51&lt;0),"ERRO: valor negativo",IF(C51&lt;&gt;SUM(D51:F51),"ERRO: categorias diferem dos respondentes",IF(COUNTIFS($A$5:$A$1200,A51,$B$5:$B$1200,B51)&gt;1,"ERRO: período e curso duplicados","OK"))))</f>
        <v/>
      </c>
    </row>
    <row r="52" ht="15" customHeight="1" s="131">
      <c r="A52" s="320" t="n"/>
      <c r="B52" s="323" t="n"/>
      <c r="C52" s="320" t="n"/>
      <c r="D52" s="320" t="n"/>
      <c r="E52" s="320" t="n"/>
      <c r="F52" s="320" t="n"/>
      <c r="G52" s="284">
        <f>IFERROR((D52-F52)/C52*100,"")</f>
        <v/>
      </c>
      <c r="H52" s="324" t="n"/>
      <c r="I52" s="320" t="n"/>
      <c r="J52" s="325">
        <f>IF(COUNTA(A52:F52)=0,"",IF(OR(C52&lt;0,D52&lt;0,E52&lt;0,F52&lt;0),"ERRO: valor negativo",IF(C52&lt;&gt;SUM(D52:F52),"ERRO: categorias diferem dos respondentes",IF(COUNTIFS($A$5:$A$1200,A52,$B$5:$B$1200,B52)&gt;1,"ERRO: período e curso duplicados","OK"))))</f>
        <v/>
      </c>
    </row>
    <row r="53" ht="15" customHeight="1" s="131">
      <c r="A53" s="320" t="n"/>
      <c r="B53" s="323" t="n"/>
      <c r="C53" s="320" t="n"/>
      <c r="D53" s="320" t="n"/>
      <c r="E53" s="320" t="n"/>
      <c r="F53" s="320" t="n"/>
      <c r="G53" s="284">
        <f>IFERROR((D53-F53)/C53*100,"")</f>
        <v/>
      </c>
      <c r="H53" s="324" t="n"/>
      <c r="I53" s="320" t="n"/>
      <c r="J53" s="325">
        <f>IF(COUNTA(A53:F53)=0,"",IF(OR(C53&lt;0,D53&lt;0,E53&lt;0,F53&lt;0),"ERRO: valor negativo",IF(C53&lt;&gt;SUM(D53:F53),"ERRO: categorias diferem dos respondentes",IF(COUNTIFS($A$5:$A$1200,A53,$B$5:$B$1200,B53)&gt;1,"ERRO: período e curso duplicados","OK"))))</f>
        <v/>
      </c>
    </row>
    <row r="54" ht="15" customHeight="1" s="131">
      <c r="A54" s="320" t="n"/>
      <c r="B54" s="323" t="n"/>
      <c r="C54" s="320" t="n"/>
      <c r="D54" s="320" t="n"/>
      <c r="E54" s="320" t="n"/>
      <c r="F54" s="320" t="n"/>
      <c r="G54" s="284">
        <f>IFERROR((D54-F54)/C54*100,"")</f>
        <v/>
      </c>
      <c r="H54" s="324" t="n"/>
      <c r="I54" s="320" t="n"/>
      <c r="J54" s="325">
        <f>IF(COUNTA(A54:F54)=0,"",IF(OR(C54&lt;0,D54&lt;0,E54&lt;0,F54&lt;0),"ERRO: valor negativo",IF(C54&lt;&gt;SUM(D54:F54),"ERRO: categorias diferem dos respondentes",IF(COUNTIFS($A$5:$A$1200,A54,$B$5:$B$1200,B54)&gt;1,"ERRO: período e curso duplicados","OK"))))</f>
        <v/>
      </c>
    </row>
    <row r="55" ht="15" customHeight="1" s="131">
      <c r="A55" s="320" t="n"/>
      <c r="B55" s="323" t="n"/>
      <c r="C55" s="320" t="n"/>
      <c r="D55" s="320" t="n"/>
      <c r="E55" s="320" t="n"/>
      <c r="F55" s="320" t="n"/>
      <c r="G55" s="284">
        <f>IFERROR((D55-F55)/C55*100,"")</f>
        <v/>
      </c>
      <c r="H55" s="324" t="n"/>
      <c r="I55" s="320" t="n"/>
      <c r="J55" s="325">
        <f>IF(COUNTA(A55:F55)=0,"",IF(OR(C55&lt;0,D55&lt;0,E55&lt;0,F55&lt;0),"ERRO: valor negativo",IF(C55&lt;&gt;SUM(D55:F55),"ERRO: categorias diferem dos respondentes",IF(COUNTIFS($A$5:$A$1200,A55,$B$5:$B$1200,B55)&gt;1,"ERRO: período e curso duplicados","OK"))))</f>
        <v/>
      </c>
    </row>
    <row r="56" ht="15" customHeight="1" s="131">
      <c r="A56" s="320" t="n"/>
      <c r="B56" s="323" t="n"/>
      <c r="C56" s="320" t="n"/>
      <c r="D56" s="320" t="n"/>
      <c r="E56" s="320" t="n"/>
      <c r="F56" s="320" t="n"/>
      <c r="G56" s="284">
        <f>IFERROR((D56-F56)/C56*100,"")</f>
        <v/>
      </c>
      <c r="H56" s="324" t="n"/>
      <c r="I56" s="320" t="n"/>
      <c r="J56" s="325">
        <f>IF(COUNTA(A56:F56)=0,"",IF(OR(C56&lt;0,D56&lt;0,E56&lt;0,F56&lt;0),"ERRO: valor negativo",IF(C56&lt;&gt;SUM(D56:F56),"ERRO: categorias diferem dos respondentes",IF(COUNTIFS($A$5:$A$1200,A56,$B$5:$B$1200,B56)&gt;1,"ERRO: período e curso duplicados","OK"))))</f>
        <v/>
      </c>
    </row>
    <row r="57" ht="15" customHeight="1" s="131">
      <c r="A57" s="320" t="n"/>
      <c r="B57" s="323" t="n"/>
      <c r="C57" s="320" t="n"/>
      <c r="D57" s="320" t="n"/>
      <c r="E57" s="320" t="n"/>
      <c r="F57" s="320" t="n"/>
      <c r="G57" s="284">
        <f>IFERROR((D57-F57)/C57*100,"")</f>
        <v/>
      </c>
      <c r="H57" s="324" t="n"/>
      <c r="I57" s="320" t="n"/>
      <c r="J57" s="325">
        <f>IF(COUNTA(A57:F57)=0,"",IF(OR(C57&lt;0,D57&lt;0,E57&lt;0,F57&lt;0),"ERRO: valor negativo",IF(C57&lt;&gt;SUM(D57:F57),"ERRO: categorias diferem dos respondentes",IF(COUNTIFS($A$5:$A$1200,A57,$B$5:$B$1200,B57)&gt;1,"ERRO: período e curso duplicados","OK"))))</f>
        <v/>
      </c>
    </row>
    <row r="58" ht="15" customHeight="1" s="131">
      <c r="A58" s="320" t="n"/>
      <c r="B58" s="323" t="n"/>
      <c r="C58" s="320" t="n"/>
      <c r="D58" s="320" t="n"/>
      <c r="E58" s="320" t="n"/>
      <c r="F58" s="320" t="n"/>
      <c r="G58" s="284">
        <f>IFERROR((D58-F58)/C58*100,"")</f>
        <v/>
      </c>
      <c r="H58" s="324" t="n"/>
      <c r="I58" s="320" t="n"/>
      <c r="J58" s="325">
        <f>IF(COUNTA(A58:F58)=0,"",IF(OR(C58&lt;0,D58&lt;0,E58&lt;0,F58&lt;0),"ERRO: valor negativo",IF(C58&lt;&gt;SUM(D58:F58),"ERRO: categorias diferem dos respondentes",IF(COUNTIFS($A$5:$A$1200,A58,$B$5:$B$1200,B58)&gt;1,"ERRO: período e curso duplicados","OK"))))</f>
        <v/>
      </c>
    </row>
    <row r="59" ht="15" customHeight="1" s="131">
      <c r="A59" s="320" t="n"/>
      <c r="B59" s="323" t="n"/>
      <c r="C59" s="320" t="n"/>
      <c r="D59" s="320" t="n"/>
      <c r="E59" s="320" t="n"/>
      <c r="F59" s="320" t="n"/>
      <c r="G59" s="284">
        <f>IFERROR((D59-F59)/C59*100,"")</f>
        <v/>
      </c>
      <c r="H59" s="324" t="n"/>
      <c r="I59" s="320" t="n"/>
      <c r="J59" s="325">
        <f>IF(COUNTA(A59:F59)=0,"",IF(OR(C59&lt;0,D59&lt;0,E59&lt;0,F59&lt;0),"ERRO: valor negativo",IF(C59&lt;&gt;SUM(D59:F59),"ERRO: categorias diferem dos respondentes",IF(COUNTIFS($A$5:$A$1200,A59,$B$5:$B$1200,B59)&gt;1,"ERRO: período e curso duplicados","OK"))))</f>
        <v/>
      </c>
    </row>
    <row r="60" ht="15" customHeight="1" s="131">
      <c r="A60" s="320" t="n"/>
      <c r="B60" s="323" t="n"/>
      <c r="C60" s="320" t="n"/>
      <c r="D60" s="320" t="n"/>
      <c r="E60" s="320" t="n"/>
      <c r="F60" s="320" t="n"/>
      <c r="G60" s="284">
        <f>IFERROR((D60-F60)/C60*100,"")</f>
        <v/>
      </c>
      <c r="H60" s="324" t="n"/>
      <c r="I60" s="320" t="n"/>
      <c r="J60" s="325">
        <f>IF(COUNTA(A60:F60)=0,"",IF(OR(C60&lt;0,D60&lt;0,E60&lt;0,F60&lt;0),"ERRO: valor negativo",IF(C60&lt;&gt;SUM(D60:F60),"ERRO: categorias diferem dos respondentes",IF(COUNTIFS($A$5:$A$1200,A60,$B$5:$B$1200,B60)&gt;1,"ERRO: período e curso duplicados","OK"))))</f>
        <v/>
      </c>
    </row>
    <row r="61" ht="15" customHeight="1" s="131">
      <c r="A61" s="320" t="n"/>
      <c r="B61" s="323" t="n"/>
      <c r="C61" s="320" t="n"/>
      <c r="D61" s="320" t="n"/>
      <c r="E61" s="320" t="n"/>
      <c r="F61" s="320" t="n"/>
      <c r="G61" s="284">
        <f>IFERROR((D61-F61)/C61*100,"")</f>
        <v/>
      </c>
      <c r="H61" s="324" t="n"/>
      <c r="I61" s="320" t="n"/>
      <c r="J61" s="325">
        <f>IF(COUNTA(A61:F61)=0,"",IF(OR(C61&lt;0,D61&lt;0,E61&lt;0,F61&lt;0),"ERRO: valor negativo",IF(C61&lt;&gt;SUM(D61:F61),"ERRO: categorias diferem dos respondentes",IF(COUNTIFS($A$5:$A$1200,A61,$B$5:$B$1200,B61)&gt;1,"ERRO: período e curso duplicados","OK"))))</f>
        <v/>
      </c>
    </row>
    <row r="62" ht="15" customHeight="1" s="131">
      <c r="A62" s="320" t="n"/>
      <c r="B62" s="323" t="n"/>
      <c r="C62" s="320" t="n"/>
      <c r="D62" s="320" t="n"/>
      <c r="E62" s="320" t="n"/>
      <c r="F62" s="320" t="n"/>
      <c r="G62" s="284">
        <f>IFERROR((D62-F62)/C62*100,"")</f>
        <v/>
      </c>
      <c r="H62" s="324" t="n"/>
      <c r="I62" s="320" t="n"/>
      <c r="J62" s="325">
        <f>IF(COUNTA(A62:F62)=0,"",IF(OR(C62&lt;0,D62&lt;0,E62&lt;0,F62&lt;0),"ERRO: valor negativo",IF(C62&lt;&gt;SUM(D62:F62),"ERRO: categorias diferem dos respondentes",IF(COUNTIFS($A$5:$A$1200,A62,$B$5:$B$1200,B62)&gt;1,"ERRO: período e curso duplicados","OK"))))</f>
        <v/>
      </c>
    </row>
    <row r="63" ht="15" customHeight="1" s="131">
      <c r="A63" s="320" t="n"/>
      <c r="B63" s="323" t="n"/>
      <c r="C63" s="320" t="n"/>
      <c r="D63" s="320" t="n"/>
      <c r="E63" s="320" t="n"/>
      <c r="F63" s="320" t="n"/>
      <c r="G63" s="284">
        <f>IFERROR((D63-F63)/C63*100,"")</f>
        <v/>
      </c>
      <c r="H63" s="324" t="n"/>
      <c r="I63" s="320" t="n"/>
      <c r="J63" s="325">
        <f>IF(COUNTA(A63:F63)=0,"",IF(OR(C63&lt;0,D63&lt;0,E63&lt;0,F63&lt;0),"ERRO: valor negativo",IF(C63&lt;&gt;SUM(D63:F63),"ERRO: categorias diferem dos respondentes",IF(COUNTIFS($A$5:$A$1200,A63,$B$5:$B$1200,B63)&gt;1,"ERRO: período e curso duplicados","OK"))))</f>
        <v/>
      </c>
    </row>
    <row r="64" ht="15" customHeight="1" s="131">
      <c r="A64" s="320" t="n"/>
      <c r="B64" s="323" t="n"/>
      <c r="C64" s="320" t="n"/>
      <c r="D64" s="320" t="n"/>
      <c r="E64" s="320" t="n"/>
      <c r="F64" s="320" t="n"/>
      <c r="G64" s="284">
        <f>IFERROR((D64-F64)/C64*100,"")</f>
        <v/>
      </c>
      <c r="H64" s="324" t="n"/>
      <c r="I64" s="320" t="n"/>
      <c r="J64" s="325">
        <f>IF(COUNTA(A64:F64)=0,"",IF(OR(C64&lt;0,D64&lt;0,E64&lt;0,F64&lt;0),"ERRO: valor negativo",IF(C64&lt;&gt;SUM(D64:F64),"ERRO: categorias diferem dos respondentes",IF(COUNTIFS($A$5:$A$1200,A64,$B$5:$B$1200,B64)&gt;1,"ERRO: período e curso duplicados","OK"))))</f>
        <v/>
      </c>
    </row>
    <row r="65" ht="15" customHeight="1" s="131">
      <c r="A65" s="320" t="n"/>
      <c r="B65" s="323" t="n"/>
      <c r="C65" s="320" t="n"/>
      <c r="D65" s="320" t="n"/>
      <c r="E65" s="320" t="n"/>
      <c r="F65" s="320" t="n"/>
      <c r="G65" s="284">
        <f>IFERROR((D65-F65)/C65*100,"")</f>
        <v/>
      </c>
      <c r="H65" s="324" t="n"/>
      <c r="I65" s="320" t="n"/>
      <c r="J65" s="325">
        <f>IF(COUNTA(A65:F65)=0,"",IF(OR(C65&lt;0,D65&lt;0,E65&lt;0,F65&lt;0),"ERRO: valor negativo",IF(C65&lt;&gt;SUM(D65:F65),"ERRO: categorias diferem dos respondentes",IF(COUNTIFS($A$5:$A$1200,A65,$B$5:$B$1200,B65)&gt;1,"ERRO: período e curso duplicados","OK"))))</f>
        <v/>
      </c>
    </row>
    <row r="66" ht="15" customHeight="1" s="131">
      <c r="A66" s="320" t="n"/>
      <c r="B66" s="323" t="n"/>
      <c r="C66" s="320" t="n"/>
      <c r="D66" s="320" t="n"/>
      <c r="E66" s="320" t="n"/>
      <c r="F66" s="320" t="n"/>
      <c r="G66" s="284">
        <f>IFERROR((D66-F66)/C66*100,"")</f>
        <v/>
      </c>
      <c r="H66" s="324" t="n"/>
      <c r="I66" s="320" t="n"/>
      <c r="J66" s="325">
        <f>IF(COUNTA(A66:F66)=0,"",IF(OR(C66&lt;0,D66&lt;0,E66&lt;0,F66&lt;0),"ERRO: valor negativo",IF(C66&lt;&gt;SUM(D66:F66),"ERRO: categorias diferem dos respondentes",IF(COUNTIFS($A$5:$A$1200,A66,$B$5:$B$1200,B66)&gt;1,"ERRO: período e curso duplicados","OK"))))</f>
        <v/>
      </c>
    </row>
    <row r="67" ht="15" customHeight="1" s="131">
      <c r="A67" s="320" t="n"/>
      <c r="B67" s="323" t="n"/>
      <c r="C67" s="320" t="n"/>
      <c r="D67" s="320" t="n"/>
      <c r="E67" s="320" t="n"/>
      <c r="F67" s="320" t="n"/>
      <c r="G67" s="284">
        <f>IFERROR((D67-F67)/C67*100,"")</f>
        <v/>
      </c>
      <c r="H67" s="324" t="n"/>
      <c r="I67" s="320" t="n"/>
      <c r="J67" s="325">
        <f>IF(COUNTA(A67:F67)=0,"",IF(OR(C67&lt;0,D67&lt;0,E67&lt;0,F67&lt;0),"ERRO: valor negativo",IF(C67&lt;&gt;SUM(D67:F67),"ERRO: categorias diferem dos respondentes",IF(COUNTIFS($A$5:$A$1200,A67,$B$5:$B$1200,B67)&gt;1,"ERRO: período e curso duplicados","OK"))))</f>
        <v/>
      </c>
    </row>
    <row r="68" ht="15" customHeight="1" s="131">
      <c r="A68" s="320" t="n"/>
      <c r="B68" s="323" t="n"/>
      <c r="C68" s="320" t="n"/>
      <c r="D68" s="320" t="n"/>
      <c r="E68" s="320" t="n"/>
      <c r="F68" s="320" t="n"/>
      <c r="G68" s="284">
        <f>IFERROR((D68-F68)/C68*100,"")</f>
        <v/>
      </c>
      <c r="H68" s="324" t="n"/>
      <c r="I68" s="320" t="n"/>
      <c r="J68" s="325">
        <f>IF(COUNTA(A68:F68)=0,"",IF(OR(C68&lt;0,D68&lt;0,E68&lt;0,F68&lt;0),"ERRO: valor negativo",IF(C68&lt;&gt;SUM(D68:F68),"ERRO: categorias diferem dos respondentes",IF(COUNTIFS($A$5:$A$1200,A68,$B$5:$B$1200,B68)&gt;1,"ERRO: período e curso duplicados","OK"))))</f>
        <v/>
      </c>
    </row>
    <row r="69" ht="15" customHeight="1" s="131">
      <c r="A69" s="320" t="n"/>
      <c r="B69" s="323" t="n"/>
      <c r="C69" s="320" t="n"/>
      <c r="D69" s="320" t="n"/>
      <c r="E69" s="320" t="n"/>
      <c r="F69" s="320" t="n"/>
      <c r="G69" s="284">
        <f>IFERROR((D69-F69)/C69*100,"")</f>
        <v/>
      </c>
      <c r="H69" s="324" t="n"/>
      <c r="I69" s="320" t="n"/>
      <c r="J69" s="325">
        <f>IF(COUNTA(A69:F69)=0,"",IF(OR(C69&lt;0,D69&lt;0,E69&lt;0,F69&lt;0),"ERRO: valor negativo",IF(C69&lt;&gt;SUM(D69:F69),"ERRO: categorias diferem dos respondentes",IF(COUNTIFS($A$5:$A$1200,A69,$B$5:$B$1200,B69)&gt;1,"ERRO: período e curso duplicados","OK"))))</f>
        <v/>
      </c>
    </row>
    <row r="70" ht="15" customHeight="1" s="131">
      <c r="A70" s="320" t="n"/>
      <c r="B70" s="323" t="n"/>
      <c r="C70" s="320" t="n"/>
      <c r="D70" s="320" t="n"/>
      <c r="E70" s="320" t="n"/>
      <c r="F70" s="320" t="n"/>
      <c r="G70" s="284">
        <f>IFERROR((D70-F70)/C70*100,"")</f>
        <v/>
      </c>
      <c r="H70" s="324" t="n"/>
      <c r="I70" s="320" t="n"/>
      <c r="J70" s="325">
        <f>IF(COUNTA(A70:F70)=0,"",IF(OR(C70&lt;0,D70&lt;0,E70&lt;0,F70&lt;0),"ERRO: valor negativo",IF(C70&lt;&gt;SUM(D70:F70),"ERRO: categorias diferem dos respondentes",IF(COUNTIFS($A$5:$A$1200,A70,$B$5:$B$1200,B70)&gt;1,"ERRO: período e curso duplicados","OK"))))</f>
        <v/>
      </c>
    </row>
    <row r="71" ht="15" customHeight="1" s="131">
      <c r="A71" s="320" t="n"/>
      <c r="B71" s="323" t="n"/>
      <c r="C71" s="320" t="n"/>
      <c r="D71" s="320" t="n"/>
      <c r="E71" s="320" t="n"/>
      <c r="F71" s="320" t="n"/>
      <c r="G71" s="284">
        <f>IFERROR((D71-F71)/C71*100,"")</f>
        <v/>
      </c>
      <c r="H71" s="324" t="n"/>
      <c r="I71" s="320" t="n"/>
      <c r="J71" s="325">
        <f>IF(COUNTA(A71:F71)=0,"",IF(OR(C71&lt;0,D71&lt;0,E71&lt;0,F71&lt;0),"ERRO: valor negativo",IF(C71&lt;&gt;SUM(D71:F71),"ERRO: categorias diferem dos respondentes",IF(COUNTIFS($A$5:$A$1200,A71,$B$5:$B$1200,B71)&gt;1,"ERRO: período e curso duplicados","OK"))))</f>
        <v/>
      </c>
    </row>
    <row r="72" ht="15" customHeight="1" s="131">
      <c r="A72" s="320" t="n"/>
      <c r="B72" s="323" t="n"/>
      <c r="C72" s="320" t="n"/>
      <c r="D72" s="320" t="n"/>
      <c r="E72" s="320" t="n"/>
      <c r="F72" s="320" t="n"/>
      <c r="G72" s="284">
        <f>IFERROR((D72-F72)/C72*100,"")</f>
        <v/>
      </c>
      <c r="H72" s="324" t="n"/>
      <c r="I72" s="320" t="n"/>
      <c r="J72" s="325">
        <f>IF(COUNTA(A72:F72)=0,"",IF(OR(C72&lt;0,D72&lt;0,E72&lt;0,F72&lt;0),"ERRO: valor negativo",IF(C72&lt;&gt;SUM(D72:F72),"ERRO: categorias diferem dos respondentes",IF(COUNTIFS($A$5:$A$1200,A72,$B$5:$B$1200,B72)&gt;1,"ERRO: período e curso duplicados","OK"))))</f>
        <v/>
      </c>
    </row>
    <row r="73" ht="15" customHeight="1" s="131">
      <c r="A73" s="320" t="n"/>
      <c r="B73" s="323" t="n"/>
      <c r="C73" s="320" t="n"/>
      <c r="D73" s="320" t="n"/>
      <c r="E73" s="320" t="n"/>
      <c r="F73" s="320" t="n"/>
      <c r="G73" s="284">
        <f>IFERROR((D73-F73)/C73*100,"")</f>
        <v/>
      </c>
      <c r="H73" s="324" t="n"/>
      <c r="I73" s="320" t="n"/>
      <c r="J73" s="325">
        <f>IF(COUNTA(A73:F73)=0,"",IF(OR(C73&lt;0,D73&lt;0,E73&lt;0,F73&lt;0),"ERRO: valor negativo",IF(C73&lt;&gt;SUM(D73:F73),"ERRO: categorias diferem dos respondentes",IF(COUNTIFS($A$5:$A$1200,A73,$B$5:$B$1200,B73)&gt;1,"ERRO: período e curso duplicados","OK"))))</f>
        <v/>
      </c>
    </row>
    <row r="74" ht="15" customHeight="1" s="131">
      <c r="A74" s="320" t="n"/>
      <c r="B74" s="323" t="n"/>
      <c r="C74" s="320" t="n"/>
      <c r="D74" s="320" t="n"/>
      <c r="E74" s="320" t="n"/>
      <c r="F74" s="320" t="n"/>
      <c r="G74" s="284">
        <f>IFERROR((D74-F74)/C74*100,"")</f>
        <v/>
      </c>
      <c r="H74" s="324" t="n"/>
      <c r="I74" s="320" t="n"/>
      <c r="J74" s="325">
        <f>IF(COUNTA(A74:F74)=0,"",IF(OR(C74&lt;0,D74&lt;0,E74&lt;0,F74&lt;0),"ERRO: valor negativo",IF(C74&lt;&gt;SUM(D74:F74),"ERRO: categorias diferem dos respondentes",IF(COUNTIFS($A$5:$A$1200,A74,$B$5:$B$1200,B74)&gt;1,"ERRO: período e curso duplicados","OK"))))</f>
        <v/>
      </c>
    </row>
    <row r="75" ht="15" customHeight="1" s="131">
      <c r="A75" s="320" t="n"/>
      <c r="B75" s="323" t="n"/>
      <c r="C75" s="320" t="n"/>
      <c r="D75" s="320" t="n"/>
      <c r="E75" s="320" t="n"/>
      <c r="F75" s="320" t="n"/>
      <c r="G75" s="284">
        <f>IFERROR((D75-F75)/C75*100,"")</f>
        <v/>
      </c>
      <c r="H75" s="324" t="n"/>
      <c r="I75" s="320" t="n"/>
      <c r="J75" s="325">
        <f>IF(COUNTA(A75:F75)=0,"",IF(OR(C75&lt;0,D75&lt;0,E75&lt;0,F75&lt;0),"ERRO: valor negativo",IF(C75&lt;&gt;SUM(D75:F75),"ERRO: categorias diferem dos respondentes",IF(COUNTIFS($A$5:$A$1200,A75,$B$5:$B$1200,B75)&gt;1,"ERRO: período e curso duplicados","OK"))))</f>
        <v/>
      </c>
    </row>
    <row r="76" ht="15" customHeight="1" s="131">
      <c r="A76" s="320" t="n"/>
      <c r="B76" s="323" t="n"/>
      <c r="C76" s="320" t="n"/>
      <c r="D76" s="320" t="n"/>
      <c r="E76" s="320" t="n"/>
      <c r="F76" s="320" t="n"/>
      <c r="G76" s="284">
        <f>IFERROR((D76-F76)/C76*100,"")</f>
        <v/>
      </c>
      <c r="H76" s="324" t="n"/>
      <c r="I76" s="320" t="n"/>
      <c r="J76" s="325">
        <f>IF(COUNTA(A76:F76)=0,"",IF(OR(C76&lt;0,D76&lt;0,E76&lt;0,F76&lt;0),"ERRO: valor negativo",IF(C76&lt;&gt;SUM(D76:F76),"ERRO: categorias diferem dos respondentes",IF(COUNTIFS($A$5:$A$1200,A76,$B$5:$B$1200,B76)&gt;1,"ERRO: período e curso duplicados","OK"))))</f>
        <v/>
      </c>
    </row>
    <row r="77" ht="15" customHeight="1" s="131">
      <c r="A77" s="320" t="n"/>
      <c r="B77" s="323" t="n"/>
      <c r="C77" s="320" t="n"/>
      <c r="D77" s="320" t="n"/>
      <c r="E77" s="320" t="n"/>
      <c r="F77" s="320" t="n"/>
      <c r="G77" s="284">
        <f>IFERROR((D77-F77)/C77*100,"")</f>
        <v/>
      </c>
      <c r="H77" s="324" t="n"/>
      <c r="I77" s="320" t="n"/>
      <c r="J77" s="325">
        <f>IF(COUNTA(A77:F77)=0,"",IF(OR(C77&lt;0,D77&lt;0,E77&lt;0,F77&lt;0),"ERRO: valor negativo",IF(C77&lt;&gt;SUM(D77:F77),"ERRO: categorias diferem dos respondentes",IF(COUNTIFS($A$5:$A$1200,A77,$B$5:$B$1200,B77)&gt;1,"ERRO: período e curso duplicados","OK"))))</f>
        <v/>
      </c>
    </row>
    <row r="78" ht="15" customHeight="1" s="131">
      <c r="A78" s="320" t="n"/>
      <c r="B78" s="323" t="n"/>
      <c r="C78" s="320" t="n"/>
      <c r="D78" s="320" t="n"/>
      <c r="E78" s="320" t="n"/>
      <c r="F78" s="320" t="n"/>
      <c r="G78" s="284">
        <f>IFERROR((D78-F78)/C78*100,"")</f>
        <v/>
      </c>
      <c r="H78" s="324" t="n"/>
      <c r="I78" s="320" t="n"/>
      <c r="J78" s="325">
        <f>IF(COUNTA(A78:F78)=0,"",IF(OR(C78&lt;0,D78&lt;0,E78&lt;0,F78&lt;0),"ERRO: valor negativo",IF(C78&lt;&gt;SUM(D78:F78),"ERRO: categorias diferem dos respondentes",IF(COUNTIFS($A$5:$A$1200,A78,$B$5:$B$1200,B78)&gt;1,"ERRO: período e curso duplicados","OK"))))</f>
        <v/>
      </c>
    </row>
    <row r="79" ht="15" customHeight="1" s="131">
      <c r="A79" s="320" t="n"/>
      <c r="B79" s="323" t="n"/>
      <c r="C79" s="320" t="n"/>
      <c r="D79" s="320" t="n"/>
      <c r="E79" s="320" t="n"/>
      <c r="F79" s="320" t="n"/>
      <c r="G79" s="284">
        <f>IFERROR((D79-F79)/C79*100,"")</f>
        <v/>
      </c>
      <c r="H79" s="324" t="n"/>
      <c r="I79" s="320" t="n"/>
      <c r="J79" s="325">
        <f>IF(COUNTA(A79:F79)=0,"",IF(OR(C79&lt;0,D79&lt;0,E79&lt;0,F79&lt;0),"ERRO: valor negativo",IF(C79&lt;&gt;SUM(D79:F79),"ERRO: categorias diferem dos respondentes",IF(COUNTIFS($A$5:$A$1200,A79,$B$5:$B$1200,B79)&gt;1,"ERRO: período e curso duplicados","OK"))))</f>
        <v/>
      </c>
    </row>
    <row r="80" ht="15" customHeight="1" s="131">
      <c r="A80" s="320" t="n"/>
      <c r="B80" s="323" t="n"/>
      <c r="C80" s="320" t="n"/>
      <c r="D80" s="320" t="n"/>
      <c r="E80" s="320" t="n"/>
      <c r="F80" s="320" t="n"/>
      <c r="G80" s="284">
        <f>IFERROR((D80-F80)/C80*100,"")</f>
        <v/>
      </c>
      <c r="H80" s="324" t="n"/>
      <c r="I80" s="320" t="n"/>
      <c r="J80" s="325">
        <f>IF(COUNTA(A80:F80)=0,"",IF(OR(C80&lt;0,D80&lt;0,E80&lt;0,F80&lt;0),"ERRO: valor negativo",IF(C80&lt;&gt;SUM(D80:F80),"ERRO: categorias diferem dos respondentes",IF(COUNTIFS($A$5:$A$1200,A80,$B$5:$B$1200,B80)&gt;1,"ERRO: período e curso duplicados","OK"))))</f>
        <v/>
      </c>
    </row>
    <row r="81" ht="15" customHeight="1" s="131">
      <c r="A81" s="320" t="n"/>
      <c r="B81" s="323" t="n"/>
      <c r="C81" s="320" t="n"/>
      <c r="D81" s="320" t="n"/>
      <c r="E81" s="320" t="n"/>
      <c r="F81" s="320" t="n"/>
      <c r="G81" s="284">
        <f>IFERROR((D81-F81)/C81*100,"")</f>
        <v/>
      </c>
      <c r="H81" s="324" t="n"/>
      <c r="I81" s="320" t="n"/>
      <c r="J81" s="325">
        <f>IF(COUNTA(A81:F81)=0,"",IF(OR(C81&lt;0,D81&lt;0,E81&lt;0,F81&lt;0),"ERRO: valor negativo",IF(C81&lt;&gt;SUM(D81:F81),"ERRO: categorias diferem dos respondentes",IF(COUNTIFS($A$5:$A$1200,A81,$B$5:$B$1200,B81)&gt;1,"ERRO: período e curso duplicados","OK"))))</f>
        <v/>
      </c>
    </row>
    <row r="82" ht="15" customHeight="1" s="131">
      <c r="A82" s="320" t="n"/>
      <c r="B82" s="323" t="n"/>
      <c r="C82" s="320" t="n"/>
      <c r="D82" s="320" t="n"/>
      <c r="E82" s="320" t="n"/>
      <c r="F82" s="320" t="n"/>
      <c r="G82" s="284">
        <f>IFERROR((D82-F82)/C82*100,"")</f>
        <v/>
      </c>
      <c r="H82" s="324" t="n"/>
      <c r="I82" s="320" t="n"/>
      <c r="J82" s="325">
        <f>IF(COUNTA(A82:F82)=0,"",IF(OR(C82&lt;0,D82&lt;0,E82&lt;0,F82&lt;0),"ERRO: valor negativo",IF(C82&lt;&gt;SUM(D82:F82),"ERRO: categorias diferem dos respondentes",IF(COUNTIFS($A$5:$A$1200,A82,$B$5:$B$1200,B82)&gt;1,"ERRO: período e curso duplicados","OK"))))</f>
        <v/>
      </c>
    </row>
    <row r="83" ht="15" customHeight="1" s="131">
      <c r="A83" s="320" t="n"/>
      <c r="B83" s="323" t="n"/>
      <c r="C83" s="320" t="n"/>
      <c r="D83" s="320" t="n"/>
      <c r="E83" s="320" t="n"/>
      <c r="F83" s="320" t="n"/>
      <c r="G83" s="284">
        <f>IFERROR((D83-F83)/C83*100,"")</f>
        <v/>
      </c>
      <c r="H83" s="324" t="n"/>
      <c r="I83" s="320" t="n"/>
      <c r="J83" s="325">
        <f>IF(COUNTA(A83:F83)=0,"",IF(OR(C83&lt;0,D83&lt;0,E83&lt;0,F83&lt;0),"ERRO: valor negativo",IF(C83&lt;&gt;SUM(D83:F83),"ERRO: categorias diferem dos respondentes",IF(COUNTIFS($A$5:$A$1200,A83,$B$5:$B$1200,B83)&gt;1,"ERRO: período e curso duplicados","OK"))))</f>
        <v/>
      </c>
    </row>
    <row r="84" ht="15" customHeight="1" s="131">
      <c r="A84" s="320" t="n"/>
      <c r="B84" s="323" t="n"/>
      <c r="C84" s="320" t="n"/>
      <c r="D84" s="320" t="n"/>
      <c r="E84" s="320" t="n"/>
      <c r="F84" s="320" t="n"/>
      <c r="G84" s="284">
        <f>IFERROR((D84-F84)/C84*100,"")</f>
        <v/>
      </c>
      <c r="H84" s="324" t="n"/>
      <c r="I84" s="320" t="n"/>
      <c r="J84" s="325">
        <f>IF(COUNTA(A84:F84)=0,"",IF(OR(C84&lt;0,D84&lt;0,E84&lt;0,F84&lt;0),"ERRO: valor negativo",IF(C84&lt;&gt;SUM(D84:F84),"ERRO: categorias diferem dos respondentes",IF(COUNTIFS($A$5:$A$1200,A84,$B$5:$B$1200,B84)&gt;1,"ERRO: período e curso duplicados","OK"))))</f>
        <v/>
      </c>
    </row>
    <row r="85" ht="15" customHeight="1" s="131">
      <c r="A85" s="320" t="n"/>
      <c r="B85" s="323" t="n"/>
      <c r="C85" s="320" t="n"/>
      <c r="D85" s="320" t="n"/>
      <c r="E85" s="320" t="n"/>
      <c r="F85" s="320" t="n"/>
      <c r="G85" s="284">
        <f>IFERROR((D85-F85)/C85*100,"")</f>
        <v/>
      </c>
      <c r="H85" s="324" t="n"/>
      <c r="I85" s="320" t="n"/>
      <c r="J85" s="325">
        <f>IF(COUNTA(A85:F85)=0,"",IF(OR(C85&lt;0,D85&lt;0,E85&lt;0,F85&lt;0),"ERRO: valor negativo",IF(C85&lt;&gt;SUM(D85:F85),"ERRO: categorias diferem dos respondentes",IF(COUNTIFS($A$5:$A$1200,A85,$B$5:$B$1200,B85)&gt;1,"ERRO: período e curso duplicados","OK"))))</f>
        <v/>
      </c>
    </row>
    <row r="86" ht="15" customHeight="1" s="131">
      <c r="A86" s="320" t="n"/>
      <c r="B86" s="323" t="n"/>
      <c r="C86" s="320" t="n"/>
      <c r="D86" s="320" t="n"/>
      <c r="E86" s="320" t="n"/>
      <c r="F86" s="320" t="n"/>
      <c r="G86" s="284">
        <f>IFERROR((D86-F86)/C86*100,"")</f>
        <v/>
      </c>
      <c r="H86" s="324" t="n"/>
      <c r="I86" s="320" t="n"/>
      <c r="J86" s="325">
        <f>IF(COUNTA(A86:F86)=0,"",IF(OR(C86&lt;0,D86&lt;0,E86&lt;0,F86&lt;0),"ERRO: valor negativo",IF(C86&lt;&gt;SUM(D86:F86),"ERRO: categorias diferem dos respondentes",IF(COUNTIFS($A$5:$A$1200,A86,$B$5:$B$1200,B86)&gt;1,"ERRO: período e curso duplicados","OK"))))</f>
        <v/>
      </c>
    </row>
    <row r="87" ht="15" customHeight="1" s="131">
      <c r="A87" s="320" t="n"/>
      <c r="B87" s="323" t="n"/>
      <c r="C87" s="320" t="n"/>
      <c r="D87" s="320" t="n"/>
      <c r="E87" s="320" t="n"/>
      <c r="F87" s="320" t="n"/>
      <c r="G87" s="284">
        <f>IFERROR((D87-F87)/C87*100,"")</f>
        <v/>
      </c>
      <c r="H87" s="324" t="n"/>
      <c r="I87" s="320" t="n"/>
      <c r="J87" s="325">
        <f>IF(COUNTA(A87:F87)=0,"",IF(OR(C87&lt;0,D87&lt;0,E87&lt;0,F87&lt;0),"ERRO: valor negativo",IF(C87&lt;&gt;SUM(D87:F87),"ERRO: categorias diferem dos respondentes",IF(COUNTIFS($A$5:$A$1200,A87,$B$5:$B$1200,B87)&gt;1,"ERRO: período e curso duplicados","OK"))))</f>
        <v/>
      </c>
    </row>
    <row r="88" ht="15" customHeight="1" s="131">
      <c r="A88" s="320" t="n"/>
      <c r="B88" s="323" t="n"/>
      <c r="C88" s="320" t="n"/>
      <c r="D88" s="320" t="n"/>
      <c r="E88" s="320" t="n"/>
      <c r="F88" s="320" t="n"/>
      <c r="G88" s="284">
        <f>IFERROR((D88-F88)/C88*100,"")</f>
        <v/>
      </c>
      <c r="H88" s="324" t="n"/>
      <c r="I88" s="320" t="n"/>
      <c r="J88" s="325">
        <f>IF(COUNTA(A88:F88)=0,"",IF(OR(C88&lt;0,D88&lt;0,E88&lt;0,F88&lt;0),"ERRO: valor negativo",IF(C88&lt;&gt;SUM(D88:F88),"ERRO: categorias diferem dos respondentes",IF(COUNTIFS($A$5:$A$1200,A88,$B$5:$B$1200,B88)&gt;1,"ERRO: período e curso duplicados","OK"))))</f>
        <v/>
      </c>
    </row>
    <row r="89" ht="15" customHeight="1" s="131">
      <c r="A89" s="320" t="n"/>
      <c r="B89" s="323" t="n"/>
      <c r="C89" s="320" t="n"/>
      <c r="D89" s="320" t="n"/>
      <c r="E89" s="320" t="n"/>
      <c r="F89" s="320" t="n"/>
      <c r="G89" s="284">
        <f>IFERROR((D89-F89)/C89*100,"")</f>
        <v/>
      </c>
      <c r="H89" s="324" t="n"/>
      <c r="I89" s="320" t="n"/>
      <c r="J89" s="325">
        <f>IF(COUNTA(A89:F89)=0,"",IF(OR(C89&lt;0,D89&lt;0,E89&lt;0,F89&lt;0),"ERRO: valor negativo",IF(C89&lt;&gt;SUM(D89:F89),"ERRO: categorias diferem dos respondentes",IF(COUNTIFS($A$5:$A$1200,A89,$B$5:$B$1200,B89)&gt;1,"ERRO: período e curso duplicados","OK"))))</f>
        <v/>
      </c>
    </row>
    <row r="90" ht="15" customHeight="1" s="131">
      <c r="A90" s="320" t="n"/>
      <c r="B90" s="323" t="n"/>
      <c r="C90" s="320" t="n"/>
      <c r="D90" s="320" t="n"/>
      <c r="E90" s="320" t="n"/>
      <c r="F90" s="320" t="n"/>
      <c r="G90" s="284">
        <f>IFERROR((D90-F90)/C90*100,"")</f>
        <v/>
      </c>
      <c r="H90" s="324" t="n"/>
      <c r="I90" s="320" t="n"/>
      <c r="J90" s="325">
        <f>IF(COUNTA(A90:F90)=0,"",IF(OR(C90&lt;0,D90&lt;0,E90&lt;0,F90&lt;0),"ERRO: valor negativo",IF(C90&lt;&gt;SUM(D90:F90),"ERRO: categorias diferem dos respondentes",IF(COUNTIFS($A$5:$A$1200,A90,$B$5:$B$1200,B90)&gt;1,"ERRO: período e curso duplicados","OK"))))</f>
        <v/>
      </c>
    </row>
    <row r="91" ht="15" customHeight="1" s="131">
      <c r="A91" s="320" t="n"/>
      <c r="B91" s="323" t="n"/>
      <c r="C91" s="320" t="n"/>
      <c r="D91" s="320" t="n"/>
      <c r="E91" s="320" t="n"/>
      <c r="F91" s="320" t="n"/>
      <c r="G91" s="284">
        <f>IFERROR((D91-F91)/C91*100,"")</f>
        <v/>
      </c>
      <c r="H91" s="324" t="n"/>
      <c r="I91" s="320" t="n"/>
      <c r="J91" s="325">
        <f>IF(COUNTA(A91:F91)=0,"",IF(OR(C91&lt;0,D91&lt;0,E91&lt;0,F91&lt;0),"ERRO: valor negativo",IF(C91&lt;&gt;SUM(D91:F91),"ERRO: categorias diferem dos respondentes",IF(COUNTIFS($A$5:$A$1200,A91,$B$5:$B$1200,B91)&gt;1,"ERRO: período e curso duplicados","OK"))))</f>
        <v/>
      </c>
    </row>
    <row r="92" ht="15" customHeight="1" s="131">
      <c r="A92" s="320" t="n"/>
      <c r="B92" s="323" t="n"/>
      <c r="C92" s="320" t="n"/>
      <c r="D92" s="320" t="n"/>
      <c r="E92" s="320" t="n"/>
      <c r="F92" s="320" t="n"/>
      <c r="G92" s="284">
        <f>IFERROR((D92-F92)/C92*100,"")</f>
        <v/>
      </c>
      <c r="H92" s="324" t="n"/>
      <c r="I92" s="320" t="n"/>
      <c r="J92" s="325">
        <f>IF(COUNTA(A92:F92)=0,"",IF(OR(C92&lt;0,D92&lt;0,E92&lt;0,F92&lt;0),"ERRO: valor negativo",IF(C92&lt;&gt;SUM(D92:F92),"ERRO: categorias diferem dos respondentes",IF(COUNTIFS($A$5:$A$1200,A92,$B$5:$B$1200,B92)&gt;1,"ERRO: período e curso duplicados","OK"))))</f>
        <v/>
      </c>
    </row>
    <row r="93" ht="15" customHeight="1" s="131">
      <c r="A93" s="320" t="n"/>
      <c r="B93" s="323" t="n"/>
      <c r="C93" s="320" t="n"/>
      <c r="D93" s="320" t="n"/>
      <c r="E93" s="320" t="n"/>
      <c r="F93" s="320" t="n"/>
      <c r="G93" s="284">
        <f>IFERROR((D93-F93)/C93*100,"")</f>
        <v/>
      </c>
      <c r="H93" s="324" t="n"/>
      <c r="I93" s="320" t="n"/>
      <c r="J93" s="325">
        <f>IF(COUNTA(A93:F93)=0,"",IF(OR(C93&lt;0,D93&lt;0,E93&lt;0,F93&lt;0),"ERRO: valor negativo",IF(C93&lt;&gt;SUM(D93:F93),"ERRO: categorias diferem dos respondentes",IF(COUNTIFS($A$5:$A$1200,A93,$B$5:$B$1200,B93)&gt;1,"ERRO: período e curso duplicados","OK"))))</f>
        <v/>
      </c>
    </row>
    <row r="94" ht="15" customHeight="1" s="131">
      <c r="A94" s="320" t="n"/>
      <c r="B94" s="323" t="n"/>
      <c r="C94" s="320" t="n"/>
      <c r="D94" s="320" t="n"/>
      <c r="E94" s="320" t="n"/>
      <c r="F94" s="320" t="n"/>
      <c r="G94" s="284">
        <f>IFERROR((D94-F94)/C94*100,"")</f>
        <v/>
      </c>
      <c r="H94" s="324" t="n"/>
      <c r="I94" s="320" t="n"/>
      <c r="J94" s="325">
        <f>IF(COUNTA(A94:F94)=0,"",IF(OR(C94&lt;0,D94&lt;0,E94&lt;0,F94&lt;0),"ERRO: valor negativo",IF(C94&lt;&gt;SUM(D94:F94),"ERRO: categorias diferem dos respondentes",IF(COUNTIFS($A$5:$A$1200,A94,$B$5:$B$1200,B94)&gt;1,"ERRO: período e curso duplicados","OK"))))</f>
        <v/>
      </c>
    </row>
    <row r="95" ht="15" customHeight="1" s="131">
      <c r="A95" s="320" t="n"/>
      <c r="B95" s="323" t="n"/>
      <c r="C95" s="320" t="n"/>
      <c r="D95" s="320" t="n"/>
      <c r="E95" s="320" t="n"/>
      <c r="F95" s="320" t="n"/>
      <c r="G95" s="284">
        <f>IFERROR((D95-F95)/C95*100,"")</f>
        <v/>
      </c>
      <c r="H95" s="324" t="n"/>
      <c r="I95" s="320" t="n"/>
      <c r="J95" s="325">
        <f>IF(COUNTA(A95:F95)=0,"",IF(OR(C95&lt;0,D95&lt;0,E95&lt;0,F95&lt;0),"ERRO: valor negativo",IF(C95&lt;&gt;SUM(D95:F95),"ERRO: categorias diferem dos respondentes",IF(COUNTIFS($A$5:$A$1200,A95,$B$5:$B$1200,B95)&gt;1,"ERRO: período e curso duplicados","OK"))))</f>
        <v/>
      </c>
    </row>
    <row r="96" ht="15" customHeight="1" s="131">
      <c r="A96" s="320" t="n"/>
      <c r="B96" s="323" t="n"/>
      <c r="C96" s="320" t="n"/>
      <c r="D96" s="320" t="n"/>
      <c r="E96" s="320" t="n"/>
      <c r="F96" s="320" t="n"/>
      <c r="G96" s="284">
        <f>IFERROR((D96-F96)/C96*100,"")</f>
        <v/>
      </c>
      <c r="H96" s="324" t="n"/>
      <c r="I96" s="320" t="n"/>
      <c r="J96" s="325">
        <f>IF(COUNTA(A96:F96)=0,"",IF(OR(C96&lt;0,D96&lt;0,E96&lt;0,F96&lt;0),"ERRO: valor negativo",IF(C96&lt;&gt;SUM(D96:F96),"ERRO: categorias diferem dos respondentes",IF(COUNTIFS($A$5:$A$1200,A96,$B$5:$B$1200,B96)&gt;1,"ERRO: período e curso duplicados","OK"))))</f>
        <v/>
      </c>
    </row>
    <row r="97" ht="15" customHeight="1" s="131">
      <c r="A97" s="320" t="n"/>
      <c r="B97" s="323" t="n"/>
      <c r="C97" s="320" t="n"/>
      <c r="D97" s="320" t="n"/>
      <c r="E97" s="320" t="n"/>
      <c r="F97" s="320" t="n"/>
      <c r="G97" s="284">
        <f>IFERROR((D97-F97)/C97*100,"")</f>
        <v/>
      </c>
      <c r="H97" s="324" t="n"/>
      <c r="I97" s="320" t="n"/>
      <c r="J97" s="325">
        <f>IF(COUNTA(A97:F97)=0,"",IF(OR(C97&lt;0,D97&lt;0,E97&lt;0,F97&lt;0),"ERRO: valor negativo",IF(C97&lt;&gt;SUM(D97:F97),"ERRO: categorias diferem dos respondentes",IF(COUNTIFS($A$5:$A$1200,A97,$B$5:$B$1200,B97)&gt;1,"ERRO: período e curso duplicados","OK"))))</f>
        <v/>
      </c>
    </row>
    <row r="98" ht="15" customHeight="1" s="131">
      <c r="A98" s="320" t="n"/>
      <c r="B98" s="323" t="n"/>
      <c r="C98" s="320" t="n"/>
      <c r="D98" s="320" t="n"/>
      <c r="E98" s="320" t="n"/>
      <c r="F98" s="320" t="n"/>
      <c r="G98" s="284">
        <f>IFERROR((D98-F98)/C98*100,"")</f>
        <v/>
      </c>
      <c r="H98" s="324" t="n"/>
      <c r="I98" s="320" t="n"/>
      <c r="J98" s="325">
        <f>IF(COUNTA(A98:F98)=0,"",IF(OR(C98&lt;0,D98&lt;0,E98&lt;0,F98&lt;0),"ERRO: valor negativo",IF(C98&lt;&gt;SUM(D98:F98),"ERRO: categorias diferem dos respondentes",IF(COUNTIFS($A$5:$A$1200,A98,$B$5:$B$1200,B98)&gt;1,"ERRO: período e curso duplicados","OK"))))</f>
        <v/>
      </c>
    </row>
    <row r="99" ht="15" customHeight="1" s="131">
      <c r="A99" s="320" t="n"/>
      <c r="B99" s="323" t="n"/>
      <c r="C99" s="320" t="n"/>
      <c r="D99" s="320" t="n"/>
      <c r="E99" s="320" t="n"/>
      <c r="F99" s="320" t="n"/>
      <c r="G99" s="284">
        <f>IFERROR((D99-F99)/C99*100,"")</f>
        <v/>
      </c>
      <c r="H99" s="324" t="n"/>
      <c r="I99" s="320" t="n"/>
      <c r="J99" s="325">
        <f>IF(COUNTA(A99:F99)=0,"",IF(OR(C99&lt;0,D99&lt;0,E99&lt;0,F99&lt;0),"ERRO: valor negativo",IF(C99&lt;&gt;SUM(D99:F99),"ERRO: categorias diferem dos respondentes",IF(COUNTIFS($A$5:$A$1200,A99,$B$5:$B$1200,B99)&gt;1,"ERRO: período e curso duplicados","OK"))))</f>
        <v/>
      </c>
    </row>
    <row r="100" ht="15" customHeight="1" s="131">
      <c r="A100" s="320" t="n"/>
      <c r="B100" s="323" t="n"/>
      <c r="C100" s="320" t="n"/>
      <c r="D100" s="320" t="n"/>
      <c r="E100" s="320" t="n"/>
      <c r="F100" s="320" t="n"/>
      <c r="G100" s="284">
        <f>IFERROR((D100-F100)/C100*100,"")</f>
        <v/>
      </c>
      <c r="H100" s="324" t="n"/>
      <c r="I100" s="320" t="n"/>
      <c r="J100" s="325">
        <f>IF(COUNTA(A100:F100)=0,"",IF(OR(C100&lt;0,D100&lt;0,E100&lt;0,F100&lt;0),"ERRO: valor negativo",IF(C100&lt;&gt;SUM(D100:F100),"ERRO: categorias diferem dos respondentes",IF(COUNTIFS($A$5:$A$1200,A100,$B$5:$B$1200,B100)&gt;1,"ERRO: período e curso duplicados","OK"))))</f>
        <v/>
      </c>
    </row>
    <row r="101" ht="15" customHeight="1" s="131">
      <c r="A101" s="320" t="n"/>
      <c r="B101" s="323" t="n"/>
      <c r="C101" s="320" t="n"/>
      <c r="D101" s="320" t="n"/>
      <c r="E101" s="320" t="n"/>
      <c r="F101" s="320" t="n"/>
      <c r="G101" s="284">
        <f>IFERROR((D101-F101)/C101*100,"")</f>
        <v/>
      </c>
      <c r="H101" s="324" t="n"/>
      <c r="I101" s="320" t="n"/>
      <c r="J101" s="325">
        <f>IF(COUNTA(A101:F101)=0,"",IF(OR(C101&lt;0,D101&lt;0,E101&lt;0,F101&lt;0),"ERRO: valor negativo",IF(C101&lt;&gt;SUM(D101:F101),"ERRO: categorias diferem dos respondentes",IF(COUNTIFS($A$5:$A$1200,A101,$B$5:$B$1200,B101)&gt;1,"ERRO: período e curso duplicados","OK"))))</f>
        <v/>
      </c>
    </row>
    <row r="102" ht="15" customHeight="1" s="131">
      <c r="A102" s="320" t="n"/>
      <c r="B102" s="323" t="n"/>
      <c r="C102" s="320" t="n"/>
      <c r="D102" s="320" t="n"/>
      <c r="E102" s="320" t="n"/>
      <c r="F102" s="320" t="n"/>
      <c r="G102" s="284">
        <f>IFERROR((D102-F102)/C102*100,"")</f>
        <v/>
      </c>
      <c r="H102" s="324" t="n"/>
      <c r="I102" s="320" t="n"/>
      <c r="J102" s="325">
        <f>IF(COUNTA(A102:F102)=0,"",IF(OR(C102&lt;0,D102&lt;0,E102&lt;0,F102&lt;0),"ERRO: valor negativo",IF(C102&lt;&gt;SUM(D102:F102),"ERRO: categorias diferem dos respondentes",IF(COUNTIFS($A$5:$A$1200,A102,$B$5:$B$1200,B102)&gt;1,"ERRO: período e curso duplicados","OK"))))</f>
        <v/>
      </c>
    </row>
    <row r="103" ht="15" customHeight="1" s="131">
      <c r="A103" s="320" t="n"/>
      <c r="B103" s="323" t="n"/>
      <c r="C103" s="320" t="n"/>
      <c r="D103" s="320" t="n"/>
      <c r="E103" s="320" t="n"/>
      <c r="F103" s="320" t="n"/>
      <c r="G103" s="284">
        <f>IFERROR((D103-F103)/C103*100,"")</f>
        <v/>
      </c>
      <c r="H103" s="324" t="n"/>
      <c r="I103" s="320" t="n"/>
      <c r="J103" s="325">
        <f>IF(COUNTA(A103:F103)=0,"",IF(OR(C103&lt;0,D103&lt;0,E103&lt;0,F103&lt;0),"ERRO: valor negativo",IF(C103&lt;&gt;SUM(D103:F103),"ERRO: categorias diferem dos respondentes",IF(COUNTIFS($A$5:$A$1200,A103,$B$5:$B$1200,B103)&gt;1,"ERRO: período e curso duplicados","OK"))))</f>
        <v/>
      </c>
    </row>
    <row r="104" ht="15" customHeight="1" s="131">
      <c r="A104" s="320" t="n"/>
      <c r="B104" s="323" t="n"/>
      <c r="C104" s="320" t="n"/>
      <c r="D104" s="320" t="n"/>
      <c r="E104" s="320" t="n"/>
      <c r="F104" s="320" t="n"/>
      <c r="G104" s="284">
        <f>IFERROR((D104-F104)/C104*100,"")</f>
        <v/>
      </c>
      <c r="H104" s="324" t="n"/>
      <c r="I104" s="320" t="n"/>
      <c r="J104" s="325">
        <f>IF(COUNTA(A104:F104)=0,"",IF(OR(C104&lt;0,D104&lt;0,E104&lt;0,F104&lt;0),"ERRO: valor negativo",IF(C104&lt;&gt;SUM(D104:F104),"ERRO: categorias diferem dos respondentes",IF(COUNTIFS($A$5:$A$1200,A104,$B$5:$B$1200,B104)&gt;1,"ERRO: período e curso duplicados","OK"))))</f>
        <v/>
      </c>
    </row>
    <row r="105" ht="15" customHeight="1" s="131">
      <c r="A105" s="320" t="n"/>
      <c r="B105" s="323" t="n"/>
      <c r="C105" s="320" t="n"/>
      <c r="D105" s="320" t="n"/>
      <c r="E105" s="320" t="n"/>
      <c r="F105" s="320" t="n"/>
      <c r="G105" s="284">
        <f>IFERROR((D105-F105)/C105*100,"")</f>
        <v/>
      </c>
      <c r="H105" s="324" t="n"/>
      <c r="I105" s="320" t="n"/>
      <c r="J105" s="325">
        <f>IF(COUNTA(A105:F105)=0,"",IF(OR(C105&lt;0,D105&lt;0,E105&lt;0,F105&lt;0),"ERRO: valor negativo",IF(C105&lt;&gt;SUM(D105:F105),"ERRO: categorias diferem dos respondentes",IF(COUNTIFS($A$5:$A$1200,A105,$B$5:$B$1200,B105)&gt;1,"ERRO: período e curso duplicados","OK"))))</f>
        <v/>
      </c>
    </row>
    <row r="106" ht="15" customHeight="1" s="131">
      <c r="A106" s="320" t="n"/>
      <c r="B106" s="323" t="n"/>
      <c r="C106" s="320" t="n"/>
      <c r="D106" s="320" t="n"/>
      <c r="E106" s="320" t="n"/>
      <c r="F106" s="320" t="n"/>
      <c r="G106" s="284">
        <f>IFERROR((D106-F106)/C106*100,"")</f>
        <v/>
      </c>
      <c r="H106" s="324" t="n"/>
      <c r="I106" s="320" t="n"/>
      <c r="J106" s="325">
        <f>IF(COUNTA(A106:F106)=0,"",IF(OR(C106&lt;0,D106&lt;0,E106&lt;0,F106&lt;0),"ERRO: valor negativo",IF(C106&lt;&gt;SUM(D106:F106),"ERRO: categorias diferem dos respondentes",IF(COUNTIFS($A$5:$A$1200,A106,$B$5:$B$1200,B106)&gt;1,"ERRO: período e curso duplicados","OK"))))</f>
        <v/>
      </c>
    </row>
    <row r="107" ht="15" customHeight="1" s="131">
      <c r="A107" s="320" t="n"/>
      <c r="B107" s="323" t="n"/>
      <c r="C107" s="320" t="n"/>
      <c r="D107" s="320" t="n"/>
      <c r="E107" s="320" t="n"/>
      <c r="F107" s="320" t="n"/>
      <c r="G107" s="284">
        <f>IFERROR((D107-F107)/C107*100,"")</f>
        <v/>
      </c>
      <c r="H107" s="324" t="n"/>
      <c r="I107" s="320" t="n"/>
      <c r="J107" s="325">
        <f>IF(COUNTA(A107:F107)=0,"",IF(OR(C107&lt;0,D107&lt;0,E107&lt;0,F107&lt;0),"ERRO: valor negativo",IF(C107&lt;&gt;SUM(D107:F107),"ERRO: categorias diferem dos respondentes",IF(COUNTIFS($A$5:$A$1200,A107,$B$5:$B$1200,B107)&gt;1,"ERRO: período e curso duplicados","OK"))))</f>
        <v/>
      </c>
    </row>
    <row r="108" ht="15" customHeight="1" s="131">
      <c r="A108" s="320" t="n"/>
      <c r="B108" s="323" t="n"/>
      <c r="C108" s="320" t="n"/>
      <c r="D108" s="320" t="n"/>
      <c r="E108" s="320" t="n"/>
      <c r="F108" s="320" t="n"/>
      <c r="G108" s="284">
        <f>IFERROR((D108-F108)/C108*100,"")</f>
        <v/>
      </c>
      <c r="H108" s="324" t="n"/>
      <c r="I108" s="320" t="n"/>
      <c r="J108" s="325">
        <f>IF(COUNTA(A108:F108)=0,"",IF(OR(C108&lt;0,D108&lt;0,E108&lt;0,F108&lt;0),"ERRO: valor negativo",IF(C108&lt;&gt;SUM(D108:F108),"ERRO: categorias diferem dos respondentes",IF(COUNTIFS($A$5:$A$1200,A108,$B$5:$B$1200,B108)&gt;1,"ERRO: período e curso duplicados","OK"))))</f>
        <v/>
      </c>
    </row>
    <row r="109" ht="15" customHeight="1" s="131">
      <c r="A109" s="320" t="n"/>
      <c r="B109" s="323" t="n"/>
      <c r="C109" s="320" t="n"/>
      <c r="D109" s="320" t="n"/>
      <c r="E109" s="320" t="n"/>
      <c r="F109" s="320" t="n"/>
      <c r="G109" s="284">
        <f>IFERROR((D109-F109)/C109*100,"")</f>
        <v/>
      </c>
      <c r="H109" s="324" t="n"/>
      <c r="I109" s="320" t="n"/>
      <c r="J109" s="325">
        <f>IF(COUNTA(A109:F109)=0,"",IF(OR(C109&lt;0,D109&lt;0,E109&lt;0,F109&lt;0),"ERRO: valor negativo",IF(C109&lt;&gt;SUM(D109:F109),"ERRO: categorias diferem dos respondentes",IF(COUNTIFS($A$5:$A$1200,A109,$B$5:$B$1200,B109)&gt;1,"ERRO: período e curso duplicados","OK"))))</f>
        <v/>
      </c>
    </row>
    <row r="110" ht="15" customHeight="1" s="131">
      <c r="A110" s="320" t="n"/>
      <c r="B110" s="323" t="n"/>
      <c r="C110" s="320" t="n"/>
      <c r="D110" s="320" t="n"/>
      <c r="E110" s="320" t="n"/>
      <c r="F110" s="320" t="n"/>
      <c r="G110" s="284">
        <f>IFERROR((D110-F110)/C110*100,"")</f>
        <v/>
      </c>
      <c r="H110" s="324" t="n"/>
      <c r="I110" s="320" t="n"/>
      <c r="J110" s="325">
        <f>IF(COUNTA(A110:F110)=0,"",IF(OR(C110&lt;0,D110&lt;0,E110&lt;0,F110&lt;0),"ERRO: valor negativo",IF(C110&lt;&gt;SUM(D110:F110),"ERRO: categorias diferem dos respondentes",IF(COUNTIFS($A$5:$A$1200,A110,$B$5:$B$1200,B110)&gt;1,"ERRO: período e curso duplicados","OK"))))</f>
        <v/>
      </c>
    </row>
    <row r="111" ht="15" customHeight="1" s="131">
      <c r="A111" s="320" t="n"/>
      <c r="B111" s="323" t="n"/>
      <c r="C111" s="320" t="n"/>
      <c r="D111" s="320" t="n"/>
      <c r="E111" s="320" t="n"/>
      <c r="F111" s="320" t="n"/>
      <c r="G111" s="284">
        <f>IFERROR((D111-F111)/C111*100,"")</f>
        <v/>
      </c>
      <c r="H111" s="324" t="n"/>
      <c r="I111" s="320" t="n"/>
      <c r="J111" s="325">
        <f>IF(COUNTA(A111:F111)=0,"",IF(OR(C111&lt;0,D111&lt;0,E111&lt;0,F111&lt;0),"ERRO: valor negativo",IF(C111&lt;&gt;SUM(D111:F111),"ERRO: categorias diferem dos respondentes",IF(COUNTIFS($A$5:$A$1200,A111,$B$5:$B$1200,B111)&gt;1,"ERRO: período e curso duplicados","OK"))))</f>
        <v/>
      </c>
    </row>
    <row r="112" ht="15" customHeight="1" s="131">
      <c r="A112" s="320" t="n"/>
      <c r="B112" s="323" t="n"/>
      <c r="C112" s="320" t="n"/>
      <c r="D112" s="320" t="n"/>
      <c r="E112" s="320" t="n"/>
      <c r="F112" s="320" t="n"/>
      <c r="G112" s="284">
        <f>IFERROR((D112-F112)/C112*100,"")</f>
        <v/>
      </c>
      <c r="H112" s="324" t="n"/>
      <c r="I112" s="320" t="n"/>
      <c r="J112" s="325">
        <f>IF(COUNTA(A112:F112)=0,"",IF(OR(C112&lt;0,D112&lt;0,E112&lt;0,F112&lt;0),"ERRO: valor negativo",IF(C112&lt;&gt;SUM(D112:F112),"ERRO: categorias diferem dos respondentes",IF(COUNTIFS($A$5:$A$1200,A112,$B$5:$B$1200,B112)&gt;1,"ERRO: período e curso duplicados","OK"))))</f>
        <v/>
      </c>
    </row>
    <row r="113" ht="15" customHeight="1" s="131">
      <c r="A113" s="320" t="n"/>
      <c r="B113" s="323" t="n"/>
      <c r="C113" s="320" t="n"/>
      <c r="D113" s="320" t="n"/>
      <c r="E113" s="320" t="n"/>
      <c r="F113" s="320" t="n"/>
      <c r="G113" s="284">
        <f>IFERROR((D113-F113)/C113*100,"")</f>
        <v/>
      </c>
      <c r="H113" s="324" t="n"/>
      <c r="I113" s="320" t="n"/>
      <c r="J113" s="325">
        <f>IF(COUNTA(A113:F113)=0,"",IF(OR(C113&lt;0,D113&lt;0,E113&lt;0,F113&lt;0),"ERRO: valor negativo",IF(C113&lt;&gt;SUM(D113:F113),"ERRO: categorias diferem dos respondentes",IF(COUNTIFS($A$5:$A$1200,A113,$B$5:$B$1200,B113)&gt;1,"ERRO: período e curso duplicados","OK"))))</f>
        <v/>
      </c>
    </row>
    <row r="114" ht="15" customHeight="1" s="131">
      <c r="A114" s="320" t="n"/>
      <c r="B114" s="323" t="n"/>
      <c r="C114" s="320" t="n"/>
      <c r="D114" s="320" t="n"/>
      <c r="E114" s="320" t="n"/>
      <c r="F114" s="320" t="n"/>
      <c r="G114" s="284">
        <f>IFERROR((D114-F114)/C114*100,"")</f>
        <v/>
      </c>
      <c r="H114" s="324" t="n"/>
      <c r="I114" s="320" t="n"/>
      <c r="J114" s="325">
        <f>IF(COUNTA(A114:F114)=0,"",IF(OR(C114&lt;0,D114&lt;0,E114&lt;0,F114&lt;0),"ERRO: valor negativo",IF(C114&lt;&gt;SUM(D114:F114),"ERRO: categorias diferem dos respondentes",IF(COUNTIFS($A$5:$A$1200,A114,$B$5:$B$1200,B114)&gt;1,"ERRO: período e curso duplicados","OK"))))</f>
        <v/>
      </c>
    </row>
    <row r="115" ht="15" customHeight="1" s="131">
      <c r="A115" s="320" t="n"/>
      <c r="B115" s="323" t="n"/>
      <c r="C115" s="320" t="n"/>
      <c r="D115" s="320" t="n"/>
      <c r="E115" s="320" t="n"/>
      <c r="F115" s="320" t="n"/>
      <c r="G115" s="284">
        <f>IFERROR((D115-F115)/C115*100,"")</f>
        <v/>
      </c>
      <c r="H115" s="324" t="n"/>
      <c r="I115" s="320" t="n"/>
      <c r="J115" s="325">
        <f>IF(COUNTA(A115:F115)=0,"",IF(OR(C115&lt;0,D115&lt;0,E115&lt;0,F115&lt;0),"ERRO: valor negativo",IF(C115&lt;&gt;SUM(D115:F115),"ERRO: categorias diferem dos respondentes",IF(COUNTIFS($A$5:$A$1200,A115,$B$5:$B$1200,B115)&gt;1,"ERRO: período e curso duplicados","OK"))))</f>
        <v/>
      </c>
    </row>
    <row r="116" ht="15" customHeight="1" s="131">
      <c r="A116" s="320" t="n"/>
      <c r="B116" s="323" t="n"/>
      <c r="C116" s="320" t="n"/>
      <c r="D116" s="320" t="n"/>
      <c r="E116" s="320" t="n"/>
      <c r="F116" s="320" t="n"/>
      <c r="G116" s="284">
        <f>IFERROR((D116-F116)/C116*100,"")</f>
        <v/>
      </c>
      <c r="H116" s="324" t="n"/>
      <c r="I116" s="320" t="n"/>
      <c r="J116" s="325">
        <f>IF(COUNTA(A116:F116)=0,"",IF(OR(C116&lt;0,D116&lt;0,E116&lt;0,F116&lt;0),"ERRO: valor negativo",IF(C116&lt;&gt;SUM(D116:F116),"ERRO: categorias diferem dos respondentes",IF(COUNTIFS($A$5:$A$1200,A116,$B$5:$B$1200,B116)&gt;1,"ERRO: período e curso duplicados","OK"))))</f>
        <v/>
      </c>
    </row>
    <row r="117" ht="15" customHeight="1" s="131">
      <c r="A117" s="320" t="n"/>
      <c r="B117" s="323" t="n"/>
      <c r="C117" s="320" t="n"/>
      <c r="D117" s="320" t="n"/>
      <c r="E117" s="320" t="n"/>
      <c r="F117" s="320" t="n"/>
      <c r="G117" s="284">
        <f>IFERROR((D117-F117)/C117*100,"")</f>
        <v/>
      </c>
      <c r="H117" s="324" t="n"/>
      <c r="I117" s="320" t="n"/>
      <c r="J117" s="325">
        <f>IF(COUNTA(A117:F117)=0,"",IF(OR(C117&lt;0,D117&lt;0,E117&lt;0,F117&lt;0),"ERRO: valor negativo",IF(C117&lt;&gt;SUM(D117:F117),"ERRO: categorias diferem dos respondentes",IF(COUNTIFS($A$5:$A$1200,A117,$B$5:$B$1200,B117)&gt;1,"ERRO: período e curso duplicados","OK"))))</f>
        <v/>
      </c>
    </row>
    <row r="118" ht="15" customHeight="1" s="131">
      <c r="A118" s="320" t="n"/>
      <c r="B118" s="323" t="n"/>
      <c r="C118" s="320" t="n"/>
      <c r="D118" s="320" t="n"/>
      <c r="E118" s="320" t="n"/>
      <c r="F118" s="320" t="n"/>
      <c r="G118" s="284">
        <f>IFERROR((D118-F118)/C118*100,"")</f>
        <v/>
      </c>
      <c r="H118" s="324" t="n"/>
      <c r="I118" s="320" t="n"/>
      <c r="J118" s="325">
        <f>IF(COUNTA(A118:F118)=0,"",IF(OR(C118&lt;0,D118&lt;0,E118&lt;0,F118&lt;0),"ERRO: valor negativo",IF(C118&lt;&gt;SUM(D118:F118),"ERRO: categorias diferem dos respondentes",IF(COUNTIFS($A$5:$A$1200,A118,$B$5:$B$1200,B118)&gt;1,"ERRO: período e curso duplicados","OK"))))</f>
        <v/>
      </c>
    </row>
    <row r="119" ht="15" customHeight="1" s="131">
      <c r="A119" s="320" t="n"/>
      <c r="B119" s="323" t="n"/>
      <c r="C119" s="320" t="n"/>
      <c r="D119" s="320" t="n"/>
      <c r="E119" s="320" t="n"/>
      <c r="F119" s="320" t="n"/>
      <c r="G119" s="284">
        <f>IFERROR((D119-F119)/C119*100,"")</f>
        <v/>
      </c>
      <c r="H119" s="324" t="n"/>
      <c r="I119" s="320" t="n"/>
      <c r="J119" s="325">
        <f>IF(COUNTA(A119:F119)=0,"",IF(OR(C119&lt;0,D119&lt;0,E119&lt;0,F119&lt;0),"ERRO: valor negativo",IF(C119&lt;&gt;SUM(D119:F119),"ERRO: categorias diferem dos respondentes",IF(COUNTIFS($A$5:$A$1200,A119,$B$5:$B$1200,B119)&gt;1,"ERRO: período e curso duplicados","OK"))))</f>
        <v/>
      </c>
    </row>
    <row r="120" ht="15" customHeight="1" s="131">
      <c r="A120" s="320" t="n"/>
      <c r="B120" s="323" t="n"/>
      <c r="C120" s="320" t="n"/>
      <c r="D120" s="320" t="n"/>
      <c r="E120" s="320" t="n"/>
      <c r="F120" s="320" t="n"/>
      <c r="G120" s="284">
        <f>IFERROR((D120-F120)/C120*100,"")</f>
        <v/>
      </c>
      <c r="H120" s="324" t="n"/>
      <c r="I120" s="320" t="n"/>
      <c r="J120" s="325">
        <f>IF(COUNTA(A120:F120)=0,"",IF(OR(C120&lt;0,D120&lt;0,E120&lt;0,F120&lt;0),"ERRO: valor negativo",IF(C120&lt;&gt;SUM(D120:F120),"ERRO: categorias diferem dos respondentes",IF(COUNTIFS($A$5:$A$1200,A120,$B$5:$B$1200,B120)&gt;1,"ERRO: período e curso duplicados","OK"))))</f>
        <v/>
      </c>
    </row>
    <row r="121" ht="15" customHeight="1" s="131">
      <c r="A121" s="320" t="n"/>
      <c r="B121" s="323" t="n"/>
      <c r="C121" s="320" t="n"/>
      <c r="D121" s="320" t="n"/>
      <c r="E121" s="320" t="n"/>
      <c r="F121" s="320" t="n"/>
      <c r="G121" s="284">
        <f>IFERROR((D121-F121)/C121*100,"")</f>
        <v/>
      </c>
      <c r="H121" s="324" t="n"/>
      <c r="I121" s="320" t="n"/>
      <c r="J121" s="325">
        <f>IF(COUNTA(A121:F121)=0,"",IF(OR(C121&lt;0,D121&lt;0,E121&lt;0,F121&lt;0),"ERRO: valor negativo",IF(C121&lt;&gt;SUM(D121:F121),"ERRO: categorias diferem dos respondentes",IF(COUNTIFS($A$5:$A$1200,A121,$B$5:$B$1200,B121)&gt;1,"ERRO: período e curso duplicados","OK"))))</f>
        <v/>
      </c>
    </row>
    <row r="122" ht="15" customHeight="1" s="131">
      <c r="A122" s="320" t="n"/>
      <c r="B122" s="323" t="n"/>
      <c r="C122" s="320" t="n"/>
      <c r="D122" s="320" t="n"/>
      <c r="E122" s="320" t="n"/>
      <c r="F122" s="320" t="n"/>
      <c r="G122" s="284">
        <f>IFERROR((D122-F122)/C122*100,"")</f>
        <v/>
      </c>
      <c r="H122" s="324" t="n"/>
      <c r="I122" s="320" t="n"/>
      <c r="J122" s="325">
        <f>IF(COUNTA(A122:F122)=0,"",IF(OR(C122&lt;0,D122&lt;0,E122&lt;0,F122&lt;0),"ERRO: valor negativo",IF(C122&lt;&gt;SUM(D122:F122),"ERRO: categorias diferem dos respondentes",IF(COUNTIFS($A$5:$A$1200,A122,$B$5:$B$1200,B122)&gt;1,"ERRO: período e curso duplicados","OK"))))</f>
        <v/>
      </c>
    </row>
    <row r="123" ht="15" customHeight="1" s="131">
      <c r="A123" s="320" t="n"/>
      <c r="B123" s="323" t="n"/>
      <c r="C123" s="320" t="n"/>
      <c r="D123" s="320" t="n"/>
      <c r="E123" s="320" t="n"/>
      <c r="F123" s="320" t="n"/>
      <c r="G123" s="284">
        <f>IFERROR((D123-F123)/C123*100,"")</f>
        <v/>
      </c>
      <c r="H123" s="324" t="n"/>
      <c r="I123" s="320" t="n"/>
      <c r="J123" s="325">
        <f>IF(COUNTA(A123:F123)=0,"",IF(OR(C123&lt;0,D123&lt;0,E123&lt;0,F123&lt;0),"ERRO: valor negativo",IF(C123&lt;&gt;SUM(D123:F123),"ERRO: categorias diferem dos respondentes",IF(COUNTIFS($A$5:$A$1200,A123,$B$5:$B$1200,B123)&gt;1,"ERRO: período e curso duplicados","OK"))))</f>
        <v/>
      </c>
    </row>
    <row r="124" ht="15" customHeight="1" s="131">
      <c r="A124" s="320" t="n"/>
      <c r="B124" s="323" t="n"/>
      <c r="C124" s="320" t="n"/>
      <c r="D124" s="320" t="n"/>
      <c r="E124" s="320" t="n"/>
      <c r="F124" s="320" t="n"/>
      <c r="G124" s="284">
        <f>IFERROR((D124-F124)/C124*100,"")</f>
        <v/>
      </c>
      <c r="H124" s="324" t="n"/>
      <c r="I124" s="320" t="n"/>
      <c r="J124" s="325">
        <f>IF(COUNTA(A124:F124)=0,"",IF(OR(C124&lt;0,D124&lt;0,E124&lt;0,F124&lt;0),"ERRO: valor negativo",IF(C124&lt;&gt;SUM(D124:F124),"ERRO: categorias diferem dos respondentes",IF(COUNTIFS($A$5:$A$1200,A124,$B$5:$B$1200,B124)&gt;1,"ERRO: período e curso duplicados","OK"))))</f>
        <v/>
      </c>
    </row>
    <row r="125" ht="15" customHeight="1" s="131">
      <c r="A125" s="320" t="n"/>
      <c r="B125" s="323" t="n"/>
      <c r="C125" s="320" t="n"/>
      <c r="D125" s="320" t="n"/>
      <c r="E125" s="320" t="n"/>
      <c r="F125" s="320" t="n"/>
      <c r="G125" s="284">
        <f>IFERROR((D125-F125)/C125*100,"")</f>
        <v/>
      </c>
      <c r="H125" s="324" t="n"/>
      <c r="I125" s="320" t="n"/>
      <c r="J125" s="325">
        <f>IF(COUNTA(A125:F125)=0,"",IF(OR(C125&lt;0,D125&lt;0,E125&lt;0,F125&lt;0),"ERRO: valor negativo",IF(C125&lt;&gt;SUM(D125:F125),"ERRO: categorias diferem dos respondentes",IF(COUNTIFS($A$5:$A$1200,A125,$B$5:$B$1200,B125)&gt;1,"ERRO: período e curso duplicados","OK"))))</f>
        <v/>
      </c>
    </row>
    <row r="126" ht="15" customHeight="1" s="131">
      <c r="A126" s="320" t="n"/>
      <c r="B126" s="323" t="n"/>
      <c r="C126" s="320" t="n"/>
      <c r="D126" s="320" t="n"/>
      <c r="E126" s="320" t="n"/>
      <c r="F126" s="320" t="n"/>
      <c r="G126" s="284">
        <f>IFERROR((D126-F126)/C126*100,"")</f>
        <v/>
      </c>
      <c r="H126" s="324" t="n"/>
      <c r="I126" s="320" t="n"/>
      <c r="J126" s="325">
        <f>IF(COUNTA(A126:F126)=0,"",IF(OR(C126&lt;0,D126&lt;0,E126&lt;0,F126&lt;0),"ERRO: valor negativo",IF(C126&lt;&gt;SUM(D126:F126),"ERRO: categorias diferem dos respondentes",IF(COUNTIFS($A$5:$A$1200,A126,$B$5:$B$1200,B126)&gt;1,"ERRO: período e curso duplicados","OK"))))</f>
        <v/>
      </c>
    </row>
    <row r="127" ht="15" customHeight="1" s="131">
      <c r="A127" s="320" t="n"/>
      <c r="B127" s="323" t="n"/>
      <c r="C127" s="320" t="n"/>
      <c r="D127" s="320" t="n"/>
      <c r="E127" s="320" t="n"/>
      <c r="F127" s="320" t="n"/>
      <c r="G127" s="284">
        <f>IFERROR((D127-F127)/C127*100,"")</f>
        <v/>
      </c>
      <c r="H127" s="324" t="n"/>
      <c r="I127" s="320" t="n"/>
      <c r="J127" s="325">
        <f>IF(COUNTA(A127:F127)=0,"",IF(OR(C127&lt;0,D127&lt;0,E127&lt;0,F127&lt;0),"ERRO: valor negativo",IF(C127&lt;&gt;SUM(D127:F127),"ERRO: categorias diferem dos respondentes",IF(COUNTIFS($A$5:$A$1200,A127,$B$5:$B$1200,B127)&gt;1,"ERRO: período e curso duplicados","OK"))))</f>
        <v/>
      </c>
    </row>
    <row r="128" ht="15" customHeight="1" s="131">
      <c r="A128" s="320" t="n"/>
      <c r="B128" s="323" t="n"/>
      <c r="C128" s="320" t="n"/>
      <c r="D128" s="320" t="n"/>
      <c r="E128" s="320" t="n"/>
      <c r="F128" s="320" t="n"/>
      <c r="G128" s="284">
        <f>IFERROR((D128-F128)/C128*100,"")</f>
        <v/>
      </c>
      <c r="H128" s="324" t="n"/>
      <c r="I128" s="320" t="n"/>
      <c r="J128" s="325">
        <f>IF(COUNTA(A128:F128)=0,"",IF(OR(C128&lt;0,D128&lt;0,E128&lt;0,F128&lt;0),"ERRO: valor negativo",IF(C128&lt;&gt;SUM(D128:F128),"ERRO: categorias diferem dos respondentes",IF(COUNTIFS($A$5:$A$1200,A128,$B$5:$B$1200,B128)&gt;1,"ERRO: período e curso duplicados","OK"))))</f>
        <v/>
      </c>
    </row>
    <row r="129" ht="15" customHeight="1" s="131">
      <c r="A129" s="320" t="n"/>
      <c r="B129" s="323" t="n"/>
      <c r="C129" s="320" t="n"/>
      <c r="D129" s="320" t="n"/>
      <c r="E129" s="320" t="n"/>
      <c r="F129" s="320" t="n"/>
      <c r="G129" s="284">
        <f>IFERROR((D129-F129)/C129*100,"")</f>
        <v/>
      </c>
      <c r="H129" s="324" t="n"/>
      <c r="I129" s="320" t="n"/>
      <c r="J129" s="325">
        <f>IF(COUNTA(A129:F129)=0,"",IF(OR(C129&lt;0,D129&lt;0,E129&lt;0,F129&lt;0),"ERRO: valor negativo",IF(C129&lt;&gt;SUM(D129:F129),"ERRO: categorias diferem dos respondentes",IF(COUNTIFS($A$5:$A$1200,A129,$B$5:$B$1200,B129)&gt;1,"ERRO: período e curso duplicados","OK"))))</f>
        <v/>
      </c>
    </row>
    <row r="130" ht="15" customHeight="1" s="131">
      <c r="A130" s="320" t="n"/>
      <c r="B130" s="323" t="n"/>
      <c r="C130" s="320" t="n"/>
      <c r="D130" s="320" t="n"/>
      <c r="E130" s="320" t="n"/>
      <c r="F130" s="320" t="n"/>
      <c r="G130" s="284">
        <f>IFERROR((D130-F130)/C130*100,"")</f>
        <v/>
      </c>
      <c r="H130" s="324" t="n"/>
      <c r="I130" s="320" t="n"/>
      <c r="J130" s="325">
        <f>IF(COUNTA(A130:F130)=0,"",IF(OR(C130&lt;0,D130&lt;0,E130&lt;0,F130&lt;0),"ERRO: valor negativo",IF(C130&lt;&gt;SUM(D130:F130),"ERRO: categorias diferem dos respondentes",IF(COUNTIFS($A$5:$A$1200,A130,$B$5:$B$1200,B130)&gt;1,"ERRO: período e curso duplicados","OK"))))</f>
        <v/>
      </c>
    </row>
    <row r="131" ht="15" customHeight="1" s="131">
      <c r="A131" s="320" t="n"/>
      <c r="B131" s="323" t="n"/>
      <c r="C131" s="320" t="n"/>
      <c r="D131" s="320" t="n"/>
      <c r="E131" s="320" t="n"/>
      <c r="F131" s="320" t="n"/>
      <c r="G131" s="284">
        <f>IFERROR((D131-F131)/C131*100,"")</f>
        <v/>
      </c>
      <c r="H131" s="324" t="n"/>
      <c r="I131" s="320" t="n"/>
      <c r="J131" s="325">
        <f>IF(COUNTA(A131:F131)=0,"",IF(OR(C131&lt;0,D131&lt;0,E131&lt;0,F131&lt;0),"ERRO: valor negativo",IF(C131&lt;&gt;SUM(D131:F131),"ERRO: categorias diferem dos respondentes",IF(COUNTIFS($A$5:$A$1200,A131,$B$5:$B$1200,B131)&gt;1,"ERRO: período e curso duplicados","OK"))))</f>
        <v/>
      </c>
    </row>
    <row r="132" ht="15" customHeight="1" s="131">
      <c r="A132" s="320" t="n"/>
      <c r="B132" s="323" t="n"/>
      <c r="C132" s="320" t="n"/>
      <c r="D132" s="320" t="n"/>
      <c r="E132" s="320" t="n"/>
      <c r="F132" s="320" t="n"/>
      <c r="G132" s="284">
        <f>IFERROR((D132-F132)/C132*100,"")</f>
        <v/>
      </c>
      <c r="H132" s="324" t="n"/>
      <c r="I132" s="320" t="n"/>
      <c r="J132" s="325">
        <f>IF(COUNTA(A132:F132)=0,"",IF(OR(C132&lt;0,D132&lt;0,E132&lt;0,F132&lt;0),"ERRO: valor negativo",IF(C132&lt;&gt;SUM(D132:F132),"ERRO: categorias diferem dos respondentes",IF(COUNTIFS($A$5:$A$1200,A132,$B$5:$B$1200,B132)&gt;1,"ERRO: período e curso duplicados","OK"))))</f>
        <v/>
      </c>
    </row>
    <row r="133" ht="15" customHeight="1" s="131">
      <c r="A133" s="320" t="n"/>
      <c r="B133" s="323" t="n"/>
      <c r="C133" s="320" t="n"/>
      <c r="D133" s="320" t="n"/>
      <c r="E133" s="320" t="n"/>
      <c r="F133" s="320" t="n"/>
      <c r="G133" s="284">
        <f>IFERROR((D133-F133)/C133*100,"")</f>
        <v/>
      </c>
      <c r="H133" s="324" t="n"/>
      <c r="I133" s="320" t="n"/>
      <c r="J133" s="325">
        <f>IF(COUNTA(A133:F133)=0,"",IF(OR(C133&lt;0,D133&lt;0,E133&lt;0,F133&lt;0),"ERRO: valor negativo",IF(C133&lt;&gt;SUM(D133:F133),"ERRO: categorias diferem dos respondentes",IF(COUNTIFS($A$5:$A$1200,A133,$B$5:$B$1200,B133)&gt;1,"ERRO: período e curso duplicados","OK"))))</f>
        <v/>
      </c>
    </row>
    <row r="134" ht="15" customHeight="1" s="131">
      <c r="A134" s="320" t="n"/>
      <c r="B134" s="323" t="n"/>
      <c r="C134" s="320" t="n"/>
      <c r="D134" s="320" t="n"/>
      <c r="E134" s="320" t="n"/>
      <c r="F134" s="320" t="n"/>
      <c r="G134" s="284">
        <f>IFERROR((D134-F134)/C134*100,"")</f>
        <v/>
      </c>
      <c r="H134" s="324" t="n"/>
      <c r="I134" s="320" t="n"/>
      <c r="J134" s="325">
        <f>IF(COUNTA(A134:F134)=0,"",IF(OR(C134&lt;0,D134&lt;0,E134&lt;0,F134&lt;0),"ERRO: valor negativo",IF(C134&lt;&gt;SUM(D134:F134),"ERRO: categorias diferem dos respondentes",IF(COUNTIFS($A$5:$A$1200,A134,$B$5:$B$1200,B134)&gt;1,"ERRO: período e curso duplicados","OK"))))</f>
        <v/>
      </c>
    </row>
    <row r="135" ht="15" customHeight="1" s="131">
      <c r="A135" s="320" t="n"/>
      <c r="B135" s="323" t="n"/>
      <c r="C135" s="320" t="n"/>
      <c r="D135" s="320" t="n"/>
      <c r="E135" s="320" t="n"/>
      <c r="F135" s="320" t="n"/>
      <c r="G135" s="284">
        <f>IFERROR((D135-F135)/C135*100,"")</f>
        <v/>
      </c>
      <c r="H135" s="324" t="n"/>
      <c r="I135" s="320" t="n"/>
      <c r="J135" s="325">
        <f>IF(COUNTA(A135:F135)=0,"",IF(OR(C135&lt;0,D135&lt;0,E135&lt;0,F135&lt;0),"ERRO: valor negativo",IF(C135&lt;&gt;SUM(D135:F135),"ERRO: categorias diferem dos respondentes",IF(COUNTIFS($A$5:$A$1200,A135,$B$5:$B$1200,B135)&gt;1,"ERRO: período e curso duplicados","OK"))))</f>
        <v/>
      </c>
    </row>
    <row r="136" ht="15" customHeight="1" s="131">
      <c r="A136" s="320" t="n"/>
      <c r="B136" s="323" t="n"/>
      <c r="C136" s="320" t="n"/>
      <c r="D136" s="320" t="n"/>
      <c r="E136" s="320" t="n"/>
      <c r="F136" s="320" t="n"/>
      <c r="G136" s="284">
        <f>IFERROR((D136-F136)/C136*100,"")</f>
        <v/>
      </c>
      <c r="H136" s="324" t="n"/>
      <c r="I136" s="320" t="n"/>
      <c r="J136" s="325">
        <f>IF(COUNTA(A136:F136)=0,"",IF(OR(C136&lt;0,D136&lt;0,E136&lt;0,F136&lt;0),"ERRO: valor negativo",IF(C136&lt;&gt;SUM(D136:F136),"ERRO: categorias diferem dos respondentes",IF(COUNTIFS($A$5:$A$1200,A136,$B$5:$B$1200,B136)&gt;1,"ERRO: período e curso duplicados","OK"))))</f>
        <v/>
      </c>
    </row>
    <row r="137" ht="15" customHeight="1" s="131">
      <c r="A137" s="320" t="n"/>
      <c r="B137" s="323" t="n"/>
      <c r="C137" s="320" t="n"/>
      <c r="D137" s="320" t="n"/>
      <c r="E137" s="320" t="n"/>
      <c r="F137" s="320" t="n"/>
      <c r="G137" s="284">
        <f>IFERROR((D137-F137)/C137*100,"")</f>
        <v/>
      </c>
      <c r="H137" s="324" t="n"/>
      <c r="I137" s="320" t="n"/>
      <c r="J137" s="325">
        <f>IF(COUNTA(A137:F137)=0,"",IF(OR(C137&lt;0,D137&lt;0,E137&lt;0,F137&lt;0),"ERRO: valor negativo",IF(C137&lt;&gt;SUM(D137:F137),"ERRO: categorias diferem dos respondentes",IF(COUNTIFS($A$5:$A$1200,A137,$B$5:$B$1200,B137)&gt;1,"ERRO: período e curso duplicados","OK"))))</f>
        <v/>
      </c>
    </row>
    <row r="138" ht="15" customHeight="1" s="131">
      <c r="A138" s="320" t="n"/>
      <c r="B138" s="323" t="n"/>
      <c r="C138" s="320" t="n"/>
      <c r="D138" s="320" t="n"/>
      <c r="E138" s="320" t="n"/>
      <c r="F138" s="320" t="n"/>
      <c r="G138" s="284">
        <f>IFERROR((D138-F138)/C138*100,"")</f>
        <v/>
      </c>
      <c r="H138" s="324" t="n"/>
      <c r="I138" s="320" t="n"/>
      <c r="J138" s="325">
        <f>IF(COUNTA(A138:F138)=0,"",IF(OR(C138&lt;0,D138&lt;0,E138&lt;0,F138&lt;0),"ERRO: valor negativo",IF(C138&lt;&gt;SUM(D138:F138),"ERRO: categorias diferem dos respondentes",IF(COUNTIFS($A$5:$A$1200,A138,$B$5:$B$1200,B138)&gt;1,"ERRO: período e curso duplicados","OK"))))</f>
        <v/>
      </c>
    </row>
    <row r="139" ht="15" customHeight="1" s="131">
      <c r="A139" s="320" t="n"/>
      <c r="B139" s="323" t="n"/>
      <c r="C139" s="320" t="n"/>
      <c r="D139" s="320" t="n"/>
      <c r="E139" s="320" t="n"/>
      <c r="F139" s="320" t="n"/>
      <c r="G139" s="284">
        <f>IFERROR((D139-F139)/C139*100,"")</f>
        <v/>
      </c>
      <c r="H139" s="324" t="n"/>
      <c r="I139" s="320" t="n"/>
      <c r="J139" s="325">
        <f>IF(COUNTA(A139:F139)=0,"",IF(OR(C139&lt;0,D139&lt;0,E139&lt;0,F139&lt;0),"ERRO: valor negativo",IF(C139&lt;&gt;SUM(D139:F139),"ERRO: categorias diferem dos respondentes",IF(COUNTIFS($A$5:$A$1200,A139,$B$5:$B$1200,B139)&gt;1,"ERRO: período e curso duplicados","OK"))))</f>
        <v/>
      </c>
    </row>
    <row r="140" ht="15" customHeight="1" s="131">
      <c r="A140" s="320" t="n"/>
      <c r="B140" s="323" t="n"/>
      <c r="C140" s="320" t="n"/>
      <c r="D140" s="320" t="n"/>
      <c r="E140" s="320" t="n"/>
      <c r="F140" s="320" t="n"/>
      <c r="G140" s="284">
        <f>IFERROR((D140-F140)/C140*100,"")</f>
        <v/>
      </c>
      <c r="H140" s="324" t="n"/>
      <c r="I140" s="320" t="n"/>
      <c r="J140" s="325">
        <f>IF(COUNTA(A140:F140)=0,"",IF(OR(C140&lt;0,D140&lt;0,E140&lt;0,F140&lt;0),"ERRO: valor negativo",IF(C140&lt;&gt;SUM(D140:F140),"ERRO: categorias diferem dos respondentes",IF(COUNTIFS($A$5:$A$1200,A140,$B$5:$B$1200,B140)&gt;1,"ERRO: período e curso duplicados","OK"))))</f>
        <v/>
      </c>
    </row>
    <row r="141" ht="15" customHeight="1" s="131">
      <c r="A141" s="320" t="n"/>
      <c r="B141" s="323" t="n"/>
      <c r="C141" s="320" t="n"/>
      <c r="D141" s="320" t="n"/>
      <c r="E141" s="320" t="n"/>
      <c r="F141" s="320" t="n"/>
      <c r="G141" s="284">
        <f>IFERROR((D141-F141)/C141*100,"")</f>
        <v/>
      </c>
      <c r="H141" s="324" t="n"/>
      <c r="I141" s="320" t="n"/>
      <c r="J141" s="325">
        <f>IF(COUNTA(A141:F141)=0,"",IF(OR(C141&lt;0,D141&lt;0,E141&lt;0,F141&lt;0),"ERRO: valor negativo",IF(C141&lt;&gt;SUM(D141:F141),"ERRO: categorias diferem dos respondentes",IF(COUNTIFS($A$5:$A$1200,A141,$B$5:$B$1200,B141)&gt;1,"ERRO: período e curso duplicados","OK"))))</f>
        <v/>
      </c>
    </row>
    <row r="142" ht="15" customHeight="1" s="131">
      <c r="A142" s="320" t="n"/>
      <c r="B142" s="323" t="n"/>
      <c r="C142" s="320" t="n"/>
      <c r="D142" s="320" t="n"/>
      <c r="E142" s="320" t="n"/>
      <c r="F142" s="320" t="n"/>
      <c r="G142" s="284">
        <f>IFERROR((D142-F142)/C142*100,"")</f>
        <v/>
      </c>
      <c r="H142" s="324" t="n"/>
      <c r="I142" s="320" t="n"/>
      <c r="J142" s="325">
        <f>IF(COUNTA(A142:F142)=0,"",IF(OR(C142&lt;0,D142&lt;0,E142&lt;0,F142&lt;0),"ERRO: valor negativo",IF(C142&lt;&gt;SUM(D142:F142),"ERRO: categorias diferem dos respondentes",IF(COUNTIFS($A$5:$A$1200,A142,$B$5:$B$1200,B142)&gt;1,"ERRO: período e curso duplicados","OK"))))</f>
        <v/>
      </c>
    </row>
    <row r="143" ht="15" customHeight="1" s="131">
      <c r="A143" s="320" t="n"/>
      <c r="B143" s="323" t="n"/>
      <c r="C143" s="320" t="n"/>
      <c r="D143" s="320" t="n"/>
      <c r="E143" s="320" t="n"/>
      <c r="F143" s="320" t="n"/>
      <c r="G143" s="284">
        <f>IFERROR((D143-F143)/C143*100,"")</f>
        <v/>
      </c>
      <c r="H143" s="324" t="n"/>
      <c r="I143" s="320" t="n"/>
      <c r="J143" s="325">
        <f>IF(COUNTA(A143:F143)=0,"",IF(OR(C143&lt;0,D143&lt;0,E143&lt;0,F143&lt;0),"ERRO: valor negativo",IF(C143&lt;&gt;SUM(D143:F143),"ERRO: categorias diferem dos respondentes",IF(COUNTIFS($A$5:$A$1200,A143,$B$5:$B$1200,B143)&gt;1,"ERRO: período e curso duplicados","OK"))))</f>
        <v/>
      </c>
    </row>
    <row r="144" ht="15" customHeight="1" s="131">
      <c r="A144" s="320" t="n"/>
      <c r="B144" s="323" t="n"/>
      <c r="C144" s="320" t="n"/>
      <c r="D144" s="320" t="n"/>
      <c r="E144" s="320" t="n"/>
      <c r="F144" s="320" t="n"/>
      <c r="G144" s="284">
        <f>IFERROR((D144-F144)/C144*100,"")</f>
        <v/>
      </c>
      <c r="H144" s="324" t="n"/>
      <c r="I144" s="320" t="n"/>
      <c r="J144" s="325">
        <f>IF(COUNTA(A144:F144)=0,"",IF(OR(C144&lt;0,D144&lt;0,E144&lt;0,F144&lt;0),"ERRO: valor negativo",IF(C144&lt;&gt;SUM(D144:F144),"ERRO: categorias diferem dos respondentes",IF(COUNTIFS($A$5:$A$1200,A144,$B$5:$B$1200,B144)&gt;1,"ERRO: período e curso duplicados","OK"))))</f>
        <v/>
      </c>
    </row>
    <row r="145" ht="15" customHeight="1" s="131">
      <c r="A145" s="320" t="n"/>
      <c r="B145" s="323" t="n"/>
      <c r="C145" s="320" t="n"/>
      <c r="D145" s="320" t="n"/>
      <c r="E145" s="320" t="n"/>
      <c r="F145" s="320" t="n"/>
      <c r="G145" s="284">
        <f>IFERROR((D145-F145)/C145*100,"")</f>
        <v/>
      </c>
      <c r="H145" s="324" t="n"/>
      <c r="I145" s="320" t="n"/>
      <c r="J145" s="325">
        <f>IF(COUNTA(A145:F145)=0,"",IF(OR(C145&lt;0,D145&lt;0,E145&lt;0,F145&lt;0),"ERRO: valor negativo",IF(C145&lt;&gt;SUM(D145:F145),"ERRO: categorias diferem dos respondentes",IF(COUNTIFS($A$5:$A$1200,A145,$B$5:$B$1200,B145)&gt;1,"ERRO: período e curso duplicados","OK"))))</f>
        <v/>
      </c>
    </row>
    <row r="146" ht="15" customHeight="1" s="131">
      <c r="A146" s="320" t="n"/>
      <c r="B146" s="323" t="n"/>
      <c r="C146" s="320" t="n"/>
      <c r="D146" s="320" t="n"/>
      <c r="E146" s="320" t="n"/>
      <c r="F146" s="320" t="n"/>
      <c r="G146" s="284">
        <f>IFERROR((D146-F146)/C146*100,"")</f>
        <v/>
      </c>
      <c r="H146" s="324" t="n"/>
      <c r="I146" s="320" t="n"/>
      <c r="J146" s="325">
        <f>IF(COUNTA(A146:F146)=0,"",IF(OR(C146&lt;0,D146&lt;0,E146&lt;0,F146&lt;0),"ERRO: valor negativo",IF(C146&lt;&gt;SUM(D146:F146),"ERRO: categorias diferem dos respondentes",IF(COUNTIFS($A$5:$A$1200,A146,$B$5:$B$1200,B146)&gt;1,"ERRO: período e curso duplicados","OK"))))</f>
        <v/>
      </c>
    </row>
    <row r="147" ht="15" customHeight="1" s="131">
      <c r="A147" s="320" t="n"/>
      <c r="B147" s="323" t="n"/>
      <c r="C147" s="320" t="n"/>
      <c r="D147" s="320" t="n"/>
      <c r="E147" s="320" t="n"/>
      <c r="F147" s="320" t="n"/>
      <c r="G147" s="284">
        <f>IFERROR((D147-F147)/C147*100,"")</f>
        <v/>
      </c>
      <c r="H147" s="324" t="n"/>
      <c r="I147" s="320" t="n"/>
      <c r="J147" s="325">
        <f>IF(COUNTA(A147:F147)=0,"",IF(OR(C147&lt;0,D147&lt;0,E147&lt;0,F147&lt;0),"ERRO: valor negativo",IF(C147&lt;&gt;SUM(D147:F147),"ERRO: categorias diferem dos respondentes",IF(COUNTIFS($A$5:$A$1200,A147,$B$5:$B$1200,B147)&gt;1,"ERRO: período e curso duplicados","OK"))))</f>
        <v/>
      </c>
    </row>
    <row r="148" ht="15" customHeight="1" s="131">
      <c r="A148" s="320" t="n"/>
      <c r="B148" s="323" t="n"/>
      <c r="C148" s="320" t="n"/>
      <c r="D148" s="320" t="n"/>
      <c r="E148" s="320" t="n"/>
      <c r="F148" s="320" t="n"/>
      <c r="G148" s="284">
        <f>IFERROR((D148-F148)/C148*100,"")</f>
        <v/>
      </c>
      <c r="H148" s="324" t="n"/>
      <c r="I148" s="320" t="n"/>
      <c r="J148" s="325">
        <f>IF(COUNTA(A148:F148)=0,"",IF(OR(C148&lt;0,D148&lt;0,E148&lt;0,F148&lt;0),"ERRO: valor negativo",IF(C148&lt;&gt;SUM(D148:F148),"ERRO: categorias diferem dos respondentes",IF(COUNTIFS($A$5:$A$1200,A148,$B$5:$B$1200,B148)&gt;1,"ERRO: período e curso duplicados","OK"))))</f>
        <v/>
      </c>
    </row>
    <row r="149" ht="15" customHeight="1" s="131">
      <c r="A149" s="320" t="n"/>
      <c r="B149" s="323" t="n"/>
      <c r="C149" s="320" t="n"/>
      <c r="D149" s="320" t="n"/>
      <c r="E149" s="320" t="n"/>
      <c r="F149" s="320" t="n"/>
      <c r="G149" s="284">
        <f>IFERROR((D149-F149)/C149*100,"")</f>
        <v/>
      </c>
      <c r="H149" s="324" t="n"/>
      <c r="I149" s="320" t="n"/>
      <c r="J149" s="325">
        <f>IF(COUNTA(A149:F149)=0,"",IF(OR(C149&lt;0,D149&lt;0,E149&lt;0,F149&lt;0),"ERRO: valor negativo",IF(C149&lt;&gt;SUM(D149:F149),"ERRO: categorias diferem dos respondentes",IF(COUNTIFS($A$5:$A$1200,A149,$B$5:$B$1200,B149)&gt;1,"ERRO: período e curso duplicados","OK"))))</f>
        <v/>
      </c>
    </row>
    <row r="150" ht="15" customHeight="1" s="131">
      <c r="A150" s="320" t="n"/>
      <c r="B150" s="323" t="n"/>
      <c r="C150" s="320" t="n"/>
      <c r="D150" s="320" t="n"/>
      <c r="E150" s="320" t="n"/>
      <c r="F150" s="320" t="n"/>
      <c r="G150" s="284">
        <f>IFERROR((D150-F150)/C150*100,"")</f>
        <v/>
      </c>
      <c r="H150" s="324" t="n"/>
      <c r="I150" s="320" t="n"/>
      <c r="J150" s="325">
        <f>IF(COUNTA(A150:F150)=0,"",IF(OR(C150&lt;0,D150&lt;0,E150&lt;0,F150&lt;0),"ERRO: valor negativo",IF(C150&lt;&gt;SUM(D150:F150),"ERRO: categorias diferem dos respondentes",IF(COUNTIFS($A$5:$A$1200,A150,$B$5:$B$1200,B150)&gt;1,"ERRO: período e curso duplicados","OK"))))</f>
        <v/>
      </c>
    </row>
    <row r="151" ht="15" customHeight="1" s="131">
      <c r="A151" s="320" t="n"/>
      <c r="B151" s="323" t="n"/>
      <c r="C151" s="320" t="n"/>
      <c r="D151" s="320" t="n"/>
      <c r="E151" s="320" t="n"/>
      <c r="F151" s="320" t="n"/>
      <c r="G151" s="284">
        <f>IFERROR((D151-F151)/C151*100,"")</f>
        <v/>
      </c>
      <c r="H151" s="324" t="n"/>
      <c r="I151" s="320" t="n"/>
      <c r="J151" s="325">
        <f>IF(COUNTA(A151:F151)=0,"",IF(OR(C151&lt;0,D151&lt;0,E151&lt;0,F151&lt;0),"ERRO: valor negativo",IF(C151&lt;&gt;SUM(D151:F151),"ERRO: categorias diferem dos respondentes",IF(COUNTIFS($A$5:$A$1200,A151,$B$5:$B$1200,B151)&gt;1,"ERRO: período e curso duplicados","OK"))))</f>
        <v/>
      </c>
    </row>
    <row r="152" ht="15" customHeight="1" s="131">
      <c r="A152" s="320" t="n"/>
      <c r="B152" s="323" t="n"/>
      <c r="C152" s="320" t="n"/>
      <c r="D152" s="320" t="n"/>
      <c r="E152" s="320" t="n"/>
      <c r="F152" s="320" t="n"/>
      <c r="G152" s="284">
        <f>IFERROR((D152-F152)/C152*100,"")</f>
        <v/>
      </c>
      <c r="H152" s="324" t="n"/>
      <c r="I152" s="320" t="n"/>
      <c r="J152" s="325">
        <f>IF(COUNTA(A152:F152)=0,"",IF(OR(C152&lt;0,D152&lt;0,E152&lt;0,F152&lt;0),"ERRO: valor negativo",IF(C152&lt;&gt;SUM(D152:F152),"ERRO: categorias diferem dos respondentes",IF(COUNTIFS($A$5:$A$1200,A152,$B$5:$B$1200,B152)&gt;1,"ERRO: período e curso duplicados","OK"))))</f>
        <v/>
      </c>
    </row>
    <row r="153" ht="15" customHeight="1" s="131">
      <c r="A153" s="320" t="n"/>
      <c r="B153" s="323" t="n"/>
      <c r="C153" s="320" t="n"/>
      <c r="D153" s="320" t="n"/>
      <c r="E153" s="320" t="n"/>
      <c r="F153" s="320" t="n"/>
      <c r="G153" s="284">
        <f>IFERROR((D153-F153)/C153*100,"")</f>
        <v/>
      </c>
      <c r="H153" s="324" t="n"/>
      <c r="I153" s="320" t="n"/>
      <c r="J153" s="325">
        <f>IF(COUNTA(A153:F153)=0,"",IF(OR(C153&lt;0,D153&lt;0,E153&lt;0,F153&lt;0),"ERRO: valor negativo",IF(C153&lt;&gt;SUM(D153:F153),"ERRO: categorias diferem dos respondentes",IF(COUNTIFS($A$5:$A$1200,A153,$B$5:$B$1200,B153)&gt;1,"ERRO: período e curso duplicados","OK"))))</f>
        <v/>
      </c>
    </row>
    <row r="154" ht="15" customHeight="1" s="131">
      <c r="A154" s="320" t="n"/>
      <c r="B154" s="323" t="n"/>
      <c r="C154" s="320" t="n"/>
      <c r="D154" s="320" t="n"/>
      <c r="E154" s="320" t="n"/>
      <c r="F154" s="320" t="n"/>
      <c r="G154" s="284">
        <f>IFERROR((D154-F154)/C154*100,"")</f>
        <v/>
      </c>
      <c r="H154" s="324" t="n"/>
      <c r="I154" s="320" t="n"/>
      <c r="J154" s="325">
        <f>IF(COUNTA(A154:F154)=0,"",IF(OR(C154&lt;0,D154&lt;0,E154&lt;0,F154&lt;0),"ERRO: valor negativo",IF(C154&lt;&gt;SUM(D154:F154),"ERRO: categorias diferem dos respondentes",IF(COUNTIFS($A$5:$A$1200,A154,$B$5:$B$1200,B154)&gt;1,"ERRO: período e curso duplicados","OK"))))</f>
        <v/>
      </c>
    </row>
    <row r="155" ht="15" customHeight="1" s="131">
      <c r="A155" s="320" t="n"/>
      <c r="B155" s="323" t="n"/>
      <c r="C155" s="320" t="n"/>
      <c r="D155" s="320" t="n"/>
      <c r="E155" s="320" t="n"/>
      <c r="F155" s="320" t="n"/>
      <c r="G155" s="284">
        <f>IFERROR((D155-F155)/C155*100,"")</f>
        <v/>
      </c>
      <c r="H155" s="324" t="n"/>
      <c r="I155" s="320" t="n"/>
      <c r="J155" s="325">
        <f>IF(COUNTA(A155:F155)=0,"",IF(OR(C155&lt;0,D155&lt;0,E155&lt;0,F155&lt;0),"ERRO: valor negativo",IF(C155&lt;&gt;SUM(D155:F155),"ERRO: categorias diferem dos respondentes",IF(COUNTIFS($A$5:$A$1200,A155,$B$5:$B$1200,B155)&gt;1,"ERRO: período e curso duplicados","OK"))))</f>
        <v/>
      </c>
    </row>
    <row r="156" ht="15" customHeight="1" s="131">
      <c r="A156" s="320" t="n"/>
      <c r="B156" s="323" t="n"/>
      <c r="C156" s="320" t="n"/>
      <c r="D156" s="320" t="n"/>
      <c r="E156" s="320" t="n"/>
      <c r="F156" s="320" t="n"/>
      <c r="G156" s="284">
        <f>IFERROR((D156-F156)/C156*100,"")</f>
        <v/>
      </c>
      <c r="H156" s="324" t="n"/>
      <c r="I156" s="320" t="n"/>
      <c r="J156" s="325">
        <f>IF(COUNTA(A156:F156)=0,"",IF(OR(C156&lt;0,D156&lt;0,E156&lt;0,F156&lt;0),"ERRO: valor negativo",IF(C156&lt;&gt;SUM(D156:F156),"ERRO: categorias diferem dos respondentes",IF(COUNTIFS($A$5:$A$1200,A156,$B$5:$B$1200,B156)&gt;1,"ERRO: período e curso duplicados","OK"))))</f>
        <v/>
      </c>
    </row>
    <row r="157" ht="15" customHeight="1" s="131">
      <c r="A157" s="320" t="n"/>
      <c r="B157" s="323" t="n"/>
      <c r="C157" s="320" t="n"/>
      <c r="D157" s="320" t="n"/>
      <c r="E157" s="320" t="n"/>
      <c r="F157" s="320" t="n"/>
      <c r="G157" s="284">
        <f>IFERROR((D157-F157)/C157*100,"")</f>
        <v/>
      </c>
      <c r="H157" s="324" t="n"/>
      <c r="I157" s="320" t="n"/>
      <c r="J157" s="325">
        <f>IF(COUNTA(A157:F157)=0,"",IF(OR(C157&lt;0,D157&lt;0,E157&lt;0,F157&lt;0),"ERRO: valor negativo",IF(C157&lt;&gt;SUM(D157:F157),"ERRO: categorias diferem dos respondentes",IF(COUNTIFS($A$5:$A$1200,A157,$B$5:$B$1200,B157)&gt;1,"ERRO: período e curso duplicados","OK"))))</f>
        <v/>
      </c>
    </row>
    <row r="158" ht="15" customHeight="1" s="131">
      <c r="A158" s="320" t="n"/>
      <c r="B158" s="323" t="n"/>
      <c r="C158" s="320" t="n"/>
      <c r="D158" s="320" t="n"/>
      <c r="E158" s="320" t="n"/>
      <c r="F158" s="320" t="n"/>
      <c r="G158" s="284">
        <f>IFERROR((D158-F158)/C158*100,"")</f>
        <v/>
      </c>
      <c r="H158" s="324" t="n"/>
      <c r="I158" s="320" t="n"/>
      <c r="J158" s="325">
        <f>IF(COUNTA(A158:F158)=0,"",IF(OR(C158&lt;0,D158&lt;0,E158&lt;0,F158&lt;0),"ERRO: valor negativo",IF(C158&lt;&gt;SUM(D158:F158),"ERRO: categorias diferem dos respondentes",IF(COUNTIFS($A$5:$A$1200,A158,$B$5:$B$1200,B158)&gt;1,"ERRO: período e curso duplicados","OK"))))</f>
        <v/>
      </c>
    </row>
    <row r="159" ht="15" customHeight="1" s="131">
      <c r="A159" s="320" t="n"/>
      <c r="B159" s="323" t="n"/>
      <c r="C159" s="320" t="n"/>
      <c r="D159" s="320" t="n"/>
      <c r="E159" s="320" t="n"/>
      <c r="F159" s="320" t="n"/>
      <c r="G159" s="284">
        <f>IFERROR((D159-F159)/C159*100,"")</f>
        <v/>
      </c>
      <c r="H159" s="324" t="n"/>
      <c r="I159" s="320" t="n"/>
      <c r="J159" s="325">
        <f>IF(COUNTA(A159:F159)=0,"",IF(OR(C159&lt;0,D159&lt;0,E159&lt;0,F159&lt;0),"ERRO: valor negativo",IF(C159&lt;&gt;SUM(D159:F159),"ERRO: categorias diferem dos respondentes",IF(COUNTIFS($A$5:$A$1200,A159,$B$5:$B$1200,B159)&gt;1,"ERRO: período e curso duplicados","OK"))))</f>
        <v/>
      </c>
    </row>
    <row r="160" ht="15" customHeight="1" s="131">
      <c r="A160" s="320" t="n"/>
      <c r="B160" s="323" t="n"/>
      <c r="C160" s="320" t="n"/>
      <c r="D160" s="320" t="n"/>
      <c r="E160" s="320" t="n"/>
      <c r="F160" s="320" t="n"/>
      <c r="G160" s="284">
        <f>IFERROR((D160-F160)/C160*100,"")</f>
        <v/>
      </c>
      <c r="H160" s="324" t="n"/>
      <c r="I160" s="320" t="n"/>
      <c r="J160" s="325">
        <f>IF(COUNTA(A160:F160)=0,"",IF(OR(C160&lt;0,D160&lt;0,E160&lt;0,F160&lt;0),"ERRO: valor negativo",IF(C160&lt;&gt;SUM(D160:F160),"ERRO: categorias diferem dos respondentes",IF(COUNTIFS($A$5:$A$1200,A160,$B$5:$B$1200,B160)&gt;1,"ERRO: período e curso duplicados","OK"))))</f>
        <v/>
      </c>
    </row>
    <row r="161" ht="15" customHeight="1" s="131">
      <c r="A161" s="320" t="n"/>
      <c r="B161" s="323" t="n"/>
      <c r="C161" s="320" t="n"/>
      <c r="D161" s="320" t="n"/>
      <c r="E161" s="320" t="n"/>
      <c r="F161" s="320" t="n"/>
      <c r="G161" s="284">
        <f>IFERROR((D161-F161)/C161*100,"")</f>
        <v/>
      </c>
      <c r="H161" s="324" t="n"/>
      <c r="I161" s="320" t="n"/>
      <c r="J161" s="325">
        <f>IF(COUNTA(A161:F161)=0,"",IF(OR(C161&lt;0,D161&lt;0,E161&lt;0,F161&lt;0),"ERRO: valor negativo",IF(C161&lt;&gt;SUM(D161:F161),"ERRO: categorias diferem dos respondentes",IF(COUNTIFS($A$5:$A$1200,A161,$B$5:$B$1200,B161)&gt;1,"ERRO: período e curso duplicados","OK"))))</f>
        <v/>
      </c>
    </row>
    <row r="162" ht="15" customHeight="1" s="131">
      <c r="A162" s="320" t="n"/>
      <c r="B162" s="323" t="n"/>
      <c r="C162" s="320" t="n"/>
      <c r="D162" s="320" t="n"/>
      <c r="E162" s="320" t="n"/>
      <c r="F162" s="320" t="n"/>
      <c r="G162" s="284">
        <f>IFERROR((D162-F162)/C162*100,"")</f>
        <v/>
      </c>
      <c r="H162" s="324" t="n"/>
      <c r="I162" s="320" t="n"/>
      <c r="J162" s="325">
        <f>IF(COUNTA(A162:F162)=0,"",IF(OR(C162&lt;0,D162&lt;0,E162&lt;0,F162&lt;0),"ERRO: valor negativo",IF(C162&lt;&gt;SUM(D162:F162),"ERRO: categorias diferem dos respondentes",IF(COUNTIFS($A$5:$A$1200,A162,$B$5:$B$1200,B162)&gt;1,"ERRO: período e curso duplicados","OK"))))</f>
        <v/>
      </c>
    </row>
    <row r="163" ht="15" customHeight="1" s="131">
      <c r="A163" s="320" t="n"/>
      <c r="B163" s="323" t="n"/>
      <c r="C163" s="320" t="n"/>
      <c r="D163" s="320" t="n"/>
      <c r="E163" s="320" t="n"/>
      <c r="F163" s="320" t="n"/>
      <c r="G163" s="284">
        <f>IFERROR((D163-F163)/C163*100,"")</f>
        <v/>
      </c>
      <c r="H163" s="324" t="n"/>
      <c r="I163" s="320" t="n"/>
      <c r="J163" s="325">
        <f>IF(COUNTA(A163:F163)=0,"",IF(OR(C163&lt;0,D163&lt;0,E163&lt;0,F163&lt;0),"ERRO: valor negativo",IF(C163&lt;&gt;SUM(D163:F163),"ERRO: categorias diferem dos respondentes",IF(COUNTIFS($A$5:$A$1200,A163,$B$5:$B$1200,B163)&gt;1,"ERRO: período e curso duplicados","OK"))))</f>
        <v/>
      </c>
    </row>
    <row r="164" ht="15" customHeight="1" s="131">
      <c r="A164" s="320" t="n"/>
      <c r="B164" s="323" t="n"/>
      <c r="C164" s="320" t="n"/>
      <c r="D164" s="320" t="n"/>
      <c r="E164" s="320" t="n"/>
      <c r="F164" s="320" t="n"/>
      <c r="G164" s="284">
        <f>IFERROR((D164-F164)/C164*100,"")</f>
        <v/>
      </c>
      <c r="H164" s="324" t="n"/>
      <c r="I164" s="320" t="n"/>
      <c r="J164" s="325">
        <f>IF(COUNTA(A164:F164)=0,"",IF(OR(C164&lt;0,D164&lt;0,E164&lt;0,F164&lt;0),"ERRO: valor negativo",IF(C164&lt;&gt;SUM(D164:F164),"ERRO: categorias diferem dos respondentes",IF(COUNTIFS($A$5:$A$1200,A164,$B$5:$B$1200,B164)&gt;1,"ERRO: período e curso duplicados","OK"))))</f>
        <v/>
      </c>
    </row>
    <row r="165" ht="15" customHeight="1" s="131">
      <c r="A165" s="320" t="n"/>
      <c r="B165" s="323" t="n"/>
      <c r="C165" s="320" t="n"/>
      <c r="D165" s="320" t="n"/>
      <c r="E165" s="320" t="n"/>
      <c r="F165" s="320" t="n"/>
      <c r="G165" s="284">
        <f>IFERROR((D165-F165)/C165*100,"")</f>
        <v/>
      </c>
      <c r="H165" s="324" t="n"/>
      <c r="I165" s="320" t="n"/>
      <c r="J165" s="325">
        <f>IF(COUNTA(A165:F165)=0,"",IF(OR(C165&lt;0,D165&lt;0,E165&lt;0,F165&lt;0),"ERRO: valor negativo",IF(C165&lt;&gt;SUM(D165:F165),"ERRO: categorias diferem dos respondentes",IF(COUNTIFS($A$5:$A$1200,A165,$B$5:$B$1200,B165)&gt;1,"ERRO: período e curso duplicados","OK"))))</f>
        <v/>
      </c>
    </row>
    <row r="166" ht="15" customHeight="1" s="131">
      <c r="A166" s="320" t="n"/>
      <c r="B166" s="323" t="n"/>
      <c r="C166" s="320" t="n"/>
      <c r="D166" s="320" t="n"/>
      <c r="E166" s="320" t="n"/>
      <c r="F166" s="320" t="n"/>
      <c r="G166" s="284">
        <f>IFERROR((D166-F166)/C166*100,"")</f>
        <v/>
      </c>
      <c r="H166" s="324" t="n"/>
      <c r="I166" s="320" t="n"/>
      <c r="J166" s="325">
        <f>IF(COUNTA(A166:F166)=0,"",IF(OR(C166&lt;0,D166&lt;0,E166&lt;0,F166&lt;0),"ERRO: valor negativo",IF(C166&lt;&gt;SUM(D166:F166),"ERRO: categorias diferem dos respondentes",IF(COUNTIFS($A$5:$A$1200,A166,$B$5:$B$1200,B166)&gt;1,"ERRO: período e curso duplicados","OK"))))</f>
        <v/>
      </c>
    </row>
    <row r="167" ht="15" customHeight="1" s="131">
      <c r="A167" s="320" t="n"/>
      <c r="B167" s="323" t="n"/>
      <c r="C167" s="320" t="n"/>
      <c r="D167" s="320" t="n"/>
      <c r="E167" s="320" t="n"/>
      <c r="F167" s="320" t="n"/>
      <c r="G167" s="284">
        <f>IFERROR((D167-F167)/C167*100,"")</f>
        <v/>
      </c>
      <c r="H167" s="324" t="n"/>
      <c r="I167" s="320" t="n"/>
      <c r="J167" s="325">
        <f>IF(COUNTA(A167:F167)=0,"",IF(OR(C167&lt;0,D167&lt;0,E167&lt;0,F167&lt;0),"ERRO: valor negativo",IF(C167&lt;&gt;SUM(D167:F167),"ERRO: categorias diferem dos respondentes",IF(COUNTIFS($A$5:$A$1200,A167,$B$5:$B$1200,B167)&gt;1,"ERRO: período e curso duplicados","OK"))))</f>
        <v/>
      </c>
    </row>
    <row r="168" ht="15" customHeight="1" s="131">
      <c r="A168" s="320" t="n"/>
      <c r="B168" s="323" t="n"/>
      <c r="C168" s="320" t="n"/>
      <c r="D168" s="320" t="n"/>
      <c r="E168" s="320" t="n"/>
      <c r="F168" s="320" t="n"/>
      <c r="G168" s="284">
        <f>IFERROR((D168-F168)/C168*100,"")</f>
        <v/>
      </c>
      <c r="H168" s="324" t="n"/>
      <c r="I168" s="320" t="n"/>
      <c r="J168" s="325">
        <f>IF(COUNTA(A168:F168)=0,"",IF(OR(C168&lt;0,D168&lt;0,E168&lt;0,F168&lt;0),"ERRO: valor negativo",IF(C168&lt;&gt;SUM(D168:F168),"ERRO: categorias diferem dos respondentes",IF(COUNTIFS($A$5:$A$1200,A168,$B$5:$B$1200,B168)&gt;1,"ERRO: período e curso duplicados","OK"))))</f>
        <v/>
      </c>
    </row>
    <row r="169" ht="15" customHeight="1" s="131">
      <c r="A169" s="320" t="n"/>
      <c r="B169" s="323" t="n"/>
      <c r="C169" s="320" t="n"/>
      <c r="D169" s="320" t="n"/>
      <c r="E169" s="320" t="n"/>
      <c r="F169" s="320" t="n"/>
      <c r="G169" s="284">
        <f>IFERROR((D169-F169)/C169*100,"")</f>
        <v/>
      </c>
      <c r="H169" s="324" t="n"/>
      <c r="I169" s="320" t="n"/>
      <c r="J169" s="325">
        <f>IF(COUNTA(A169:F169)=0,"",IF(OR(C169&lt;0,D169&lt;0,E169&lt;0,F169&lt;0),"ERRO: valor negativo",IF(C169&lt;&gt;SUM(D169:F169),"ERRO: categorias diferem dos respondentes",IF(COUNTIFS($A$5:$A$1200,A169,$B$5:$B$1200,B169)&gt;1,"ERRO: período e curso duplicados","OK"))))</f>
        <v/>
      </c>
    </row>
    <row r="170" ht="15" customHeight="1" s="131">
      <c r="A170" s="320" t="n"/>
      <c r="B170" s="323" t="n"/>
      <c r="C170" s="320" t="n"/>
      <c r="D170" s="320" t="n"/>
      <c r="E170" s="320" t="n"/>
      <c r="F170" s="320" t="n"/>
      <c r="G170" s="284">
        <f>IFERROR((D170-F170)/C170*100,"")</f>
        <v/>
      </c>
      <c r="H170" s="324" t="n"/>
      <c r="I170" s="320" t="n"/>
      <c r="J170" s="325">
        <f>IF(COUNTA(A170:F170)=0,"",IF(OR(C170&lt;0,D170&lt;0,E170&lt;0,F170&lt;0),"ERRO: valor negativo",IF(C170&lt;&gt;SUM(D170:F170),"ERRO: categorias diferem dos respondentes",IF(COUNTIFS($A$5:$A$1200,A170,$B$5:$B$1200,B170)&gt;1,"ERRO: período e curso duplicados","OK"))))</f>
        <v/>
      </c>
    </row>
    <row r="171" ht="15" customHeight="1" s="131">
      <c r="A171" s="320" t="n"/>
      <c r="B171" s="323" t="n"/>
      <c r="C171" s="320" t="n"/>
      <c r="D171" s="320" t="n"/>
      <c r="E171" s="320" t="n"/>
      <c r="F171" s="320" t="n"/>
      <c r="G171" s="284">
        <f>IFERROR((D171-F171)/C171*100,"")</f>
        <v/>
      </c>
      <c r="H171" s="324" t="n"/>
      <c r="I171" s="320" t="n"/>
      <c r="J171" s="325">
        <f>IF(COUNTA(A171:F171)=0,"",IF(OR(C171&lt;0,D171&lt;0,E171&lt;0,F171&lt;0),"ERRO: valor negativo",IF(C171&lt;&gt;SUM(D171:F171),"ERRO: categorias diferem dos respondentes",IF(COUNTIFS($A$5:$A$1200,A171,$B$5:$B$1200,B171)&gt;1,"ERRO: período e curso duplicados","OK"))))</f>
        <v/>
      </c>
    </row>
    <row r="172" ht="15" customHeight="1" s="131">
      <c r="A172" s="320" t="n"/>
      <c r="B172" s="323" t="n"/>
      <c r="C172" s="320" t="n"/>
      <c r="D172" s="320" t="n"/>
      <c r="E172" s="320" t="n"/>
      <c r="F172" s="320" t="n"/>
      <c r="G172" s="284">
        <f>IFERROR((D172-F172)/C172*100,"")</f>
        <v/>
      </c>
      <c r="H172" s="324" t="n"/>
      <c r="I172" s="320" t="n"/>
      <c r="J172" s="325">
        <f>IF(COUNTA(A172:F172)=0,"",IF(OR(C172&lt;0,D172&lt;0,E172&lt;0,F172&lt;0),"ERRO: valor negativo",IF(C172&lt;&gt;SUM(D172:F172),"ERRO: categorias diferem dos respondentes",IF(COUNTIFS($A$5:$A$1200,A172,$B$5:$B$1200,B172)&gt;1,"ERRO: período e curso duplicados","OK"))))</f>
        <v/>
      </c>
    </row>
    <row r="173" ht="15" customHeight="1" s="131">
      <c r="A173" s="320" t="n"/>
      <c r="B173" s="323" t="n"/>
      <c r="C173" s="320" t="n"/>
      <c r="D173" s="320" t="n"/>
      <c r="E173" s="320" t="n"/>
      <c r="F173" s="320" t="n"/>
      <c r="G173" s="284">
        <f>IFERROR((D173-F173)/C173*100,"")</f>
        <v/>
      </c>
      <c r="H173" s="324" t="n"/>
      <c r="I173" s="320" t="n"/>
      <c r="J173" s="325">
        <f>IF(COUNTA(A173:F173)=0,"",IF(OR(C173&lt;0,D173&lt;0,E173&lt;0,F173&lt;0),"ERRO: valor negativo",IF(C173&lt;&gt;SUM(D173:F173),"ERRO: categorias diferem dos respondentes",IF(COUNTIFS($A$5:$A$1200,A173,$B$5:$B$1200,B173)&gt;1,"ERRO: período e curso duplicados","OK"))))</f>
        <v/>
      </c>
    </row>
    <row r="174" ht="15" customHeight="1" s="131">
      <c r="A174" s="320" t="n"/>
      <c r="B174" s="323" t="n"/>
      <c r="C174" s="320" t="n"/>
      <c r="D174" s="320" t="n"/>
      <c r="E174" s="320" t="n"/>
      <c r="F174" s="320" t="n"/>
      <c r="G174" s="284">
        <f>IFERROR((D174-F174)/C174*100,"")</f>
        <v/>
      </c>
      <c r="H174" s="324" t="n"/>
      <c r="I174" s="320" t="n"/>
      <c r="J174" s="325">
        <f>IF(COUNTA(A174:F174)=0,"",IF(OR(C174&lt;0,D174&lt;0,E174&lt;0,F174&lt;0),"ERRO: valor negativo",IF(C174&lt;&gt;SUM(D174:F174),"ERRO: categorias diferem dos respondentes",IF(COUNTIFS($A$5:$A$1200,A174,$B$5:$B$1200,B174)&gt;1,"ERRO: período e curso duplicados","OK"))))</f>
        <v/>
      </c>
    </row>
    <row r="175" ht="15" customHeight="1" s="131">
      <c r="A175" s="320" t="n"/>
      <c r="B175" s="323" t="n"/>
      <c r="C175" s="320" t="n"/>
      <c r="D175" s="320" t="n"/>
      <c r="E175" s="320" t="n"/>
      <c r="F175" s="320" t="n"/>
      <c r="G175" s="284">
        <f>IFERROR((D175-F175)/C175*100,"")</f>
        <v/>
      </c>
      <c r="H175" s="324" t="n"/>
      <c r="I175" s="320" t="n"/>
      <c r="J175" s="325">
        <f>IF(COUNTA(A175:F175)=0,"",IF(OR(C175&lt;0,D175&lt;0,E175&lt;0,F175&lt;0),"ERRO: valor negativo",IF(C175&lt;&gt;SUM(D175:F175),"ERRO: categorias diferem dos respondentes",IF(COUNTIFS($A$5:$A$1200,A175,$B$5:$B$1200,B175)&gt;1,"ERRO: período e curso duplicados","OK"))))</f>
        <v/>
      </c>
    </row>
    <row r="176" ht="15" customHeight="1" s="131">
      <c r="A176" s="320" t="n"/>
      <c r="B176" s="323" t="n"/>
      <c r="C176" s="320" t="n"/>
      <c r="D176" s="320" t="n"/>
      <c r="E176" s="320" t="n"/>
      <c r="F176" s="320" t="n"/>
      <c r="G176" s="284">
        <f>IFERROR((D176-F176)/C176*100,"")</f>
        <v/>
      </c>
      <c r="H176" s="324" t="n"/>
      <c r="I176" s="320" t="n"/>
      <c r="J176" s="325">
        <f>IF(COUNTA(A176:F176)=0,"",IF(OR(C176&lt;0,D176&lt;0,E176&lt;0,F176&lt;0),"ERRO: valor negativo",IF(C176&lt;&gt;SUM(D176:F176),"ERRO: categorias diferem dos respondentes",IF(COUNTIFS($A$5:$A$1200,A176,$B$5:$B$1200,B176)&gt;1,"ERRO: período e curso duplicados","OK"))))</f>
        <v/>
      </c>
    </row>
    <row r="177" ht="15" customHeight="1" s="131">
      <c r="A177" s="320" t="n"/>
      <c r="B177" s="323" t="n"/>
      <c r="C177" s="320" t="n"/>
      <c r="D177" s="320" t="n"/>
      <c r="E177" s="320" t="n"/>
      <c r="F177" s="320" t="n"/>
      <c r="G177" s="284">
        <f>IFERROR((D177-F177)/C177*100,"")</f>
        <v/>
      </c>
      <c r="H177" s="324" t="n"/>
      <c r="I177" s="320" t="n"/>
      <c r="J177" s="325">
        <f>IF(COUNTA(A177:F177)=0,"",IF(OR(C177&lt;0,D177&lt;0,E177&lt;0,F177&lt;0),"ERRO: valor negativo",IF(C177&lt;&gt;SUM(D177:F177),"ERRO: categorias diferem dos respondentes",IF(COUNTIFS($A$5:$A$1200,A177,$B$5:$B$1200,B177)&gt;1,"ERRO: período e curso duplicados","OK"))))</f>
        <v/>
      </c>
    </row>
    <row r="178" ht="15" customHeight="1" s="131">
      <c r="A178" s="320" t="n"/>
      <c r="B178" s="323" t="n"/>
      <c r="C178" s="320" t="n"/>
      <c r="D178" s="320" t="n"/>
      <c r="E178" s="320" t="n"/>
      <c r="F178" s="320" t="n"/>
      <c r="G178" s="284">
        <f>IFERROR((D178-F178)/C178*100,"")</f>
        <v/>
      </c>
      <c r="H178" s="324" t="n"/>
      <c r="I178" s="320" t="n"/>
      <c r="J178" s="325">
        <f>IF(COUNTA(A178:F178)=0,"",IF(OR(C178&lt;0,D178&lt;0,E178&lt;0,F178&lt;0),"ERRO: valor negativo",IF(C178&lt;&gt;SUM(D178:F178),"ERRO: categorias diferem dos respondentes",IF(COUNTIFS($A$5:$A$1200,A178,$B$5:$B$1200,B178)&gt;1,"ERRO: período e curso duplicados","OK"))))</f>
        <v/>
      </c>
    </row>
    <row r="179" ht="15" customHeight="1" s="131">
      <c r="A179" s="320" t="n"/>
      <c r="B179" s="323" t="n"/>
      <c r="C179" s="320" t="n"/>
      <c r="D179" s="320" t="n"/>
      <c r="E179" s="320" t="n"/>
      <c r="F179" s="320" t="n"/>
      <c r="G179" s="284">
        <f>IFERROR((D179-F179)/C179*100,"")</f>
        <v/>
      </c>
      <c r="H179" s="324" t="n"/>
      <c r="I179" s="320" t="n"/>
      <c r="J179" s="325">
        <f>IF(COUNTA(A179:F179)=0,"",IF(OR(C179&lt;0,D179&lt;0,E179&lt;0,F179&lt;0),"ERRO: valor negativo",IF(C179&lt;&gt;SUM(D179:F179),"ERRO: categorias diferem dos respondentes",IF(COUNTIFS($A$5:$A$1200,A179,$B$5:$B$1200,B179)&gt;1,"ERRO: período e curso duplicados","OK"))))</f>
        <v/>
      </c>
    </row>
    <row r="180" ht="15" customHeight="1" s="131">
      <c r="A180" s="320" t="n"/>
      <c r="B180" s="323" t="n"/>
      <c r="C180" s="320" t="n"/>
      <c r="D180" s="320" t="n"/>
      <c r="E180" s="320" t="n"/>
      <c r="F180" s="320" t="n"/>
      <c r="G180" s="284">
        <f>IFERROR((D180-F180)/C180*100,"")</f>
        <v/>
      </c>
      <c r="H180" s="324" t="n"/>
      <c r="I180" s="320" t="n"/>
      <c r="J180" s="325">
        <f>IF(COUNTA(A180:F180)=0,"",IF(OR(C180&lt;0,D180&lt;0,E180&lt;0,F180&lt;0),"ERRO: valor negativo",IF(C180&lt;&gt;SUM(D180:F180),"ERRO: categorias diferem dos respondentes",IF(COUNTIFS($A$5:$A$1200,A180,$B$5:$B$1200,B180)&gt;1,"ERRO: período e curso duplicados","OK"))))</f>
        <v/>
      </c>
    </row>
    <row r="181" ht="15" customHeight="1" s="131">
      <c r="A181" s="320" t="n"/>
      <c r="B181" s="323" t="n"/>
      <c r="C181" s="320" t="n"/>
      <c r="D181" s="320" t="n"/>
      <c r="E181" s="320" t="n"/>
      <c r="F181" s="320" t="n"/>
      <c r="G181" s="284">
        <f>IFERROR((D181-F181)/C181*100,"")</f>
        <v/>
      </c>
      <c r="H181" s="324" t="n"/>
      <c r="I181" s="320" t="n"/>
      <c r="J181" s="325">
        <f>IF(COUNTA(A181:F181)=0,"",IF(OR(C181&lt;0,D181&lt;0,E181&lt;0,F181&lt;0),"ERRO: valor negativo",IF(C181&lt;&gt;SUM(D181:F181),"ERRO: categorias diferem dos respondentes",IF(COUNTIFS($A$5:$A$1200,A181,$B$5:$B$1200,B181)&gt;1,"ERRO: período e curso duplicados","OK"))))</f>
        <v/>
      </c>
    </row>
    <row r="182" ht="15" customHeight="1" s="131">
      <c r="A182" s="320" t="n"/>
      <c r="B182" s="323" t="n"/>
      <c r="C182" s="320" t="n"/>
      <c r="D182" s="320" t="n"/>
      <c r="E182" s="320" t="n"/>
      <c r="F182" s="320" t="n"/>
      <c r="G182" s="284">
        <f>IFERROR((D182-F182)/C182*100,"")</f>
        <v/>
      </c>
      <c r="H182" s="324" t="n"/>
      <c r="I182" s="320" t="n"/>
      <c r="J182" s="325">
        <f>IF(COUNTA(A182:F182)=0,"",IF(OR(C182&lt;0,D182&lt;0,E182&lt;0,F182&lt;0),"ERRO: valor negativo",IF(C182&lt;&gt;SUM(D182:F182),"ERRO: categorias diferem dos respondentes",IF(COUNTIFS($A$5:$A$1200,A182,$B$5:$B$1200,B182)&gt;1,"ERRO: período e curso duplicados","OK"))))</f>
        <v/>
      </c>
    </row>
    <row r="183" ht="15" customHeight="1" s="131">
      <c r="A183" s="320" t="n"/>
      <c r="B183" s="323" t="n"/>
      <c r="C183" s="320" t="n"/>
      <c r="D183" s="320" t="n"/>
      <c r="E183" s="320" t="n"/>
      <c r="F183" s="320" t="n"/>
      <c r="G183" s="284">
        <f>IFERROR((D183-F183)/C183*100,"")</f>
        <v/>
      </c>
      <c r="H183" s="324" t="n"/>
      <c r="I183" s="320" t="n"/>
      <c r="J183" s="325">
        <f>IF(COUNTA(A183:F183)=0,"",IF(OR(C183&lt;0,D183&lt;0,E183&lt;0,F183&lt;0),"ERRO: valor negativo",IF(C183&lt;&gt;SUM(D183:F183),"ERRO: categorias diferem dos respondentes",IF(COUNTIFS($A$5:$A$1200,A183,$B$5:$B$1200,B183)&gt;1,"ERRO: período e curso duplicados","OK"))))</f>
        <v/>
      </c>
    </row>
    <row r="184" ht="15" customHeight="1" s="131">
      <c r="A184" s="320" t="n"/>
      <c r="B184" s="323" t="n"/>
      <c r="C184" s="320" t="n"/>
      <c r="D184" s="320" t="n"/>
      <c r="E184" s="320" t="n"/>
      <c r="F184" s="320" t="n"/>
      <c r="G184" s="284">
        <f>IFERROR((D184-F184)/C184*100,"")</f>
        <v/>
      </c>
      <c r="H184" s="324" t="n"/>
      <c r="I184" s="320" t="n"/>
      <c r="J184" s="325">
        <f>IF(COUNTA(A184:F184)=0,"",IF(OR(C184&lt;0,D184&lt;0,E184&lt;0,F184&lt;0),"ERRO: valor negativo",IF(C184&lt;&gt;SUM(D184:F184),"ERRO: categorias diferem dos respondentes",IF(COUNTIFS($A$5:$A$1200,A184,$B$5:$B$1200,B184)&gt;1,"ERRO: período e curso duplicados","OK"))))</f>
        <v/>
      </c>
    </row>
    <row r="185" ht="15" customHeight="1" s="131">
      <c r="A185" s="320" t="n"/>
      <c r="B185" s="323" t="n"/>
      <c r="C185" s="320" t="n"/>
      <c r="D185" s="320" t="n"/>
      <c r="E185" s="320" t="n"/>
      <c r="F185" s="320" t="n"/>
      <c r="G185" s="284">
        <f>IFERROR((D185-F185)/C185*100,"")</f>
        <v/>
      </c>
      <c r="H185" s="324" t="n"/>
      <c r="I185" s="320" t="n"/>
      <c r="J185" s="325">
        <f>IF(COUNTA(A185:F185)=0,"",IF(OR(C185&lt;0,D185&lt;0,E185&lt;0,F185&lt;0),"ERRO: valor negativo",IF(C185&lt;&gt;SUM(D185:F185),"ERRO: categorias diferem dos respondentes",IF(COUNTIFS($A$5:$A$1200,A185,$B$5:$B$1200,B185)&gt;1,"ERRO: período e curso duplicados","OK"))))</f>
        <v/>
      </c>
    </row>
    <row r="186" ht="15" customHeight="1" s="131">
      <c r="A186" s="320" t="n"/>
      <c r="B186" s="323" t="n"/>
      <c r="C186" s="320" t="n"/>
      <c r="D186" s="320" t="n"/>
      <c r="E186" s="320" t="n"/>
      <c r="F186" s="320" t="n"/>
      <c r="G186" s="284">
        <f>IFERROR((D186-F186)/C186*100,"")</f>
        <v/>
      </c>
      <c r="H186" s="324" t="n"/>
      <c r="I186" s="320" t="n"/>
      <c r="J186" s="325">
        <f>IF(COUNTA(A186:F186)=0,"",IF(OR(C186&lt;0,D186&lt;0,E186&lt;0,F186&lt;0),"ERRO: valor negativo",IF(C186&lt;&gt;SUM(D186:F186),"ERRO: categorias diferem dos respondentes",IF(COUNTIFS($A$5:$A$1200,A186,$B$5:$B$1200,B186)&gt;1,"ERRO: período e curso duplicados","OK"))))</f>
        <v/>
      </c>
    </row>
    <row r="187" ht="15" customHeight="1" s="131">
      <c r="A187" s="320" t="n"/>
      <c r="B187" s="323" t="n"/>
      <c r="C187" s="320" t="n"/>
      <c r="D187" s="320" t="n"/>
      <c r="E187" s="320" t="n"/>
      <c r="F187" s="320" t="n"/>
      <c r="G187" s="284">
        <f>IFERROR((D187-F187)/C187*100,"")</f>
        <v/>
      </c>
      <c r="H187" s="324" t="n"/>
      <c r="I187" s="320" t="n"/>
      <c r="J187" s="325">
        <f>IF(COUNTA(A187:F187)=0,"",IF(OR(C187&lt;0,D187&lt;0,E187&lt;0,F187&lt;0),"ERRO: valor negativo",IF(C187&lt;&gt;SUM(D187:F187),"ERRO: categorias diferem dos respondentes",IF(COUNTIFS($A$5:$A$1200,A187,$B$5:$B$1200,B187)&gt;1,"ERRO: período e curso duplicados","OK"))))</f>
        <v/>
      </c>
    </row>
    <row r="188" ht="15" customHeight="1" s="131">
      <c r="A188" s="320" t="n"/>
      <c r="B188" s="323" t="n"/>
      <c r="C188" s="320" t="n"/>
      <c r="D188" s="320" t="n"/>
      <c r="E188" s="320" t="n"/>
      <c r="F188" s="320" t="n"/>
      <c r="G188" s="284">
        <f>IFERROR((D188-F188)/C188*100,"")</f>
        <v/>
      </c>
      <c r="H188" s="324" t="n"/>
      <c r="I188" s="320" t="n"/>
      <c r="J188" s="325">
        <f>IF(COUNTA(A188:F188)=0,"",IF(OR(C188&lt;0,D188&lt;0,E188&lt;0,F188&lt;0),"ERRO: valor negativo",IF(C188&lt;&gt;SUM(D188:F188),"ERRO: categorias diferem dos respondentes",IF(COUNTIFS($A$5:$A$1200,A188,$B$5:$B$1200,B188)&gt;1,"ERRO: período e curso duplicados","OK"))))</f>
        <v/>
      </c>
    </row>
    <row r="189" ht="15" customHeight="1" s="131">
      <c r="A189" s="320" t="n"/>
      <c r="B189" s="323" t="n"/>
      <c r="C189" s="320" t="n"/>
      <c r="D189" s="320" t="n"/>
      <c r="E189" s="320" t="n"/>
      <c r="F189" s="320" t="n"/>
      <c r="G189" s="284">
        <f>IFERROR((D189-F189)/C189*100,"")</f>
        <v/>
      </c>
      <c r="H189" s="324" t="n"/>
      <c r="I189" s="320" t="n"/>
      <c r="J189" s="325">
        <f>IF(COUNTA(A189:F189)=0,"",IF(OR(C189&lt;0,D189&lt;0,E189&lt;0,F189&lt;0),"ERRO: valor negativo",IF(C189&lt;&gt;SUM(D189:F189),"ERRO: categorias diferem dos respondentes",IF(COUNTIFS($A$5:$A$1200,A189,$B$5:$B$1200,B189)&gt;1,"ERRO: período e curso duplicados","OK"))))</f>
        <v/>
      </c>
    </row>
    <row r="190" ht="15" customHeight="1" s="131">
      <c r="A190" s="320" t="n"/>
      <c r="B190" s="323" t="n"/>
      <c r="C190" s="320" t="n"/>
      <c r="D190" s="320" t="n"/>
      <c r="E190" s="320" t="n"/>
      <c r="F190" s="320" t="n"/>
      <c r="G190" s="284">
        <f>IFERROR((D190-F190)/C190*100,"")</f>
        <v/>
      </c>
      <c r="H190" s="324" t="n"/>
      <c r="I190" s="320" t="n"/>
      <c r="J190" s="325">
        <f>IF(COUNTA(A190:F190)=0,"",IF(OR(C190&lt;0,D190&lt;0,E190&lt;0,F190&lt;0),"ERRO: valor negativo",IF(C190&lt;&gt;SUM(D190:F190),"ERRO: categorias diferem dos respondentes",IF(COUNTIFS($A$5:$A$1200,A190,$B$5:$B$1200,B190)&gt;1,"ERRO: período e curso duplicados","OK"))))</f>
        <v/>
      </c>
    </row>
    <row r="191" ht="15" customHeight="1" s="131">
      <c r="A191" s="320" t="n"/>
      <c r="B191" s="323" t="n"/>
      <c r="C191" s="320" t="n"/>
      <c r="D191" s="320" t="n"/>
      <c r="E191" s="320" t="n"/>
      <c r="F191" s="320" t="n"/>
      <c r="G191" s="284">
        <f>IFERROR((D191-F191)/C191*100,"")</f>
        <v/>
      </c>
      <c r="H191" s="324" t="n"/>
      <c r="I191" s="320" t="n"/>
      <c r="J191" s="325">
        <f>IF(COUNTA(A191:F191)=0,"",IF(OR(C191&lt;0,D191&lt;0,E191&lt;0,F191&lt;0),"ERRO: valor negativo",IF(C191&lt;&gt;SUM(D191:F191),"ERRO: categorias diferem dos respondentes",IF(COUNTIFS($A$5:$A$1200,A191,$B$5:$B$1200,B191)&gt;1,"ERRO: período e curso duplicados","OK"))))</f>
        <v/>
      </c>
    </row>
    <row r="192" ht="15" customHeight="1" s="131">
      <c r="A192" s="320" t="n"/>
      <c r="B192" s="323" t="n"/>
      <c r="C192" s="320" t="n"/>
      <c r="D192" s="320" t="n"/>
      <c r="E192" s="320" t="n"/>
      <c r="F192" s="320" t="n"/>
      <c r="G192" s="284">
        <f>IFERROR((D192-F192)/C192*100,"")</f>
        <v/>
      </c>
      <c r="H192" s="324" t="n"/>
      <c r="I192" s="320" t="n"/>
      <c r="J192" s="325">
        <f>IF(COUNTA(A192:F192)=0,"",IF(OR(C192&lt;0,D192&lt;0,E192&lt;0,F192&lt;0),"ERRO: valor negativo",IF(C192&lt;&gt;SUM(D192:F192),"ERRO: categorias diferem dos respondentes",IF(COUNTIFS($A$5:$A$1200,A192,$B$5:$B$1200,B192)&gt;1,"ERRO: período e curso duplicados","OK"))))</f>
        <v/>
      </c>
    </row>
    <row r="193" ht="15" customHeight="1" s="131">
      <c r="A193" s="320" t="n"/>
      <c r="B193" s="323" t="n"/>
      <c r="C193" s="320" t="n"/>
      <c r="D193" s="320" t="n"/>
      <c r="E193" s="320" t="n"/>
      <c r="F193" s="320" t="n"/>
      <c r="G193" s="284">
        <f>IFERROR((D193-F193)/C193*100,"")</f>
        <v/>
      </c>
      <c r="H193" s="324" t="n"/>
      <c r="I193" s="320" t="n"/>
      <c r="J193" s="325">
        <f>IF(COUNTA(A193:F193)=0,"",IF(OR(C193&lt;0,D193&lt;0,E193&lt;0,F193&lt;0),"ERRO: valor negativo",IF(C193&lt;&gt;SUM(D193:F193),"ERRO: categorias diferem dos respondentes",IF(COUNTIFS($A$5:$A$1200,A193,$B$5:$B$1200,B193)&gt;1,"ERRO: período e curso duplicados","OK"))))</f>
        <v/>
      </c>
    </row>
    <row r="194" ht="15" customHeight="1" s="131">
      <c r="A194" s="320" t="n"/>
      <c r="B194" s="323" t="n"/>
      <c r="C194" s="320" t="n"/>
      <c r="D194" s="320" t="n"/>
      <c r="E194" s="320" t="n"/>
      <c r="F194" s="320" t="n"/>
      <c r="G194" s="284">
        <f>IFERROR((D194-F194)/C194*100,"")</f>
        <v/>
      </c>
      <c r="H194" s="324" t="n"/>
      <c r="I194" s="320" t="n"/>
      <c r="J194" s="325">
        <f>IF(COUNTA(A194:F194)=0,"",IF(OR(C194&lt;0,D194&lt;0,E194&lt;0,F194&lt;0),"ERRO: valor negativo",IF(C194&lt;&gt;SUM(D194:F194),"ERRO: categorias diferem dos respondentes",IF(COUNTIFS($A$5:$A$1200,A194,$B$5:$B$1200,B194)&gt;1,"ERRO: período e curso duplicados","OK"))))</f>
        <v/>
      </c>
    </row>
    <row r="195" ht="15" customHeight="1" s="131">
      <c r="A195" s="320" t="n"/>
      <c r="B195" s="323" t="n"/>
      <c r="C195" s="320" t="n"/>
      <c r="D195" s="320" t="n"/>
      <c r="E195" s="320" t="n"/>
      <c r="F195" s="320" t="n"/>
      <c r="G195" s="284">
        <f>IFERROR((D195-F195)/C195*100,"")</f>
        <v/>
      </c>
      <c r="H195" s="324" t="n"/>
      <c r="I195" s="320" t="n"/>
      <c r="J195" s="325">
        <f>IF(COUNTA(A195:F195)=0,"",IF(OR(C195&lt;0,D195&lt;0,E195&lt;0,F195&lt;0),"ERRO: valor negativo",IF(C195&lt;&gt;SUM(D195:F195),"ERRO: categorias diferem dos respondentes",IF(COUNTIFS($A$5:$A$1200,A195,$B$5:$B$1200,B195)&gt;1,"ERRO: período e curso duplicados","OK"))))</f>
        <v/>
      </c>
    </row>
    <row r="196" ht="15" customHeight="1" s="131">
      <c r="A196" s="320" t="n"/>
      <c r="B196" s="323" t="n"/>
      <c r="C196" s="320" t="n"/>
      <c r="D196" s="320" t="n"/>
      <c r="E196" s="320" t="n"/>
      <c r="F196" s="320" t="n"/>
      <c r="G196" s="284">
        <f>IFERROR((D196-F196)/C196*100,"")</f>
        <v/>
      </c>
      <c r="H196" s="324" t="n"/>
      <c r="I196" s="320" t="n"/>
      <c r="J196" s="325">
        <f>IF(COUNTA(A196:F196)=0,"",IF(OR(C196&lt;0,D196&lt;0,E196&lt;0,F196&lt;0),"ERRO: valor negativo",IF(C196&lt;&gt;SUM(D196:F196),"ERRO: categorias diferem dos respondentes",IF(COUNTIFS($A$5:$A$1200,A196,$B$5:$B$1200,B196)&gt;1,"ERRO: período e curso duplicados","OK"))))</f>
        <v/>
      </c>
    </row>
    <row r="197" ht="15" customHeight="1" s="131">
      <c r="A197" s="320" t="n"/>
      <c r="B197" s="323" t="n"/>
      <c r="C197" s="320" t="n"/>
      <c r="D197" s="320" t="n"/>
      <c r="E197" s="320" t="n"/>
      <c r="F197" s="320" t="n"/>
      <c r="G197" s="284">
        <f>IFERROR((D197-F197)/C197*100,"")</f>
        <v/>
      </c>
      <c r="H197" s="324" t="n"/>
      <c r="I197" s="320" t="n"/>
      <c r="J197" s="325">
        <f>IF(COUNTA(A197:F197)=0,"",IF(OR(C197&lt;0,D197&lt;0,E197&lt;0,F197&lt;0),"ERRO: valor negativo",IF(C197&lt;&gt;SUM(D197:F197),"ERRO: categorias diferem dos respondentes",IF(COUNTIFS($A$5:$A$1200,A197,$B$5:$B$1200,B197)&gt;1,"ERRO: período e curso duplicados","OK"))))</f>
        <v/>
      </c>
    </row>
    <row r="198" ht="15" customHeight="1" s="131">
      <c r="A198" s="320" t="n"/>
      <c r="B198" s="323" t="n"/>
      <c r="C198" s="320" t="n"/>
      <c r="D198" s="320" t="n"/>
      <c r="E198" s="320" t="n"/>
      <c r="F198" s="320" t="n"/>
      <c r="G198" s="284">
        <f>IFERROR((D198-F198)/C198*100,"")</f>
        <v/>
      </c>
      <c r="H198" s="324" t="n"/>
      <c r="I198" s="320" t="n"/>
      <c r="J198" s="325">
        <f>IF(COUNTA(A198:F198)=0,"",IF(OR(C198&lt;0,D198&lt;0,E198&lt;0,F198&lt;0),"ERRO: valor negativo",IF(C198&lt;&gt;SUM(D198:F198),"ERRO: categorias diferem dos respondentes",IF(COUNTIFS($A$5:$A$1200,A198,$B$5:$B$1200,B198)&gt;1,"ERRO: período e curso duplicados","OK"))))</f>
        <v/>
      </c>
    </row>
    <row r="199" ht="15" customHeight="1" s="131">
      <c r="A199" s="320" t="n"/>
      <c r="B199" s="323" t="n"/>
      <c r="C199" s="320" t="n"/>
      <c r="D199" s="320" t="n"/>
      <c r="E199" s="320" t="n"/>
      <c r="F199" s="320" t="n"/>
      <c r="G199" s="284">
        <f>IFERROR((D199-F199)/C199*100,"")</f>
        <v/>
      </c>
      <c r="H199" s="324" t="n"/>
      <c r="I199" s="320" t="n"/>
      <c r="J199" s="325">
        <f>IF(COUNTA(A199:F199)=0,"",IF(OR(C199&lt;0,D199&lt;0,E199&lt;0,F199&lt;0),"ERRO: valor negativo",IF(C199&lt;&gt;SUM(D199:F199),"ERRO: categorias diferem dos respondentes",IF(COUNTIFS($A$5:$A$1200,A199,$B$5:$B$1200,B199)&gt;1,"ERRO: período e curso duplicados","OK"))))</f>
        <v/>
      </c>
    </row>
    <row r="200" ht="15" customHeight="1" s="131">
      <c r="A200" s="320" t="n"/>
      <c r="B200" s="323" t="n"/>
      <c r="C200" s="320" t="n"/>
      <c r="D200" s="320" t="n"/>
      <c r="E200" s="320" t="n"/>
      <c r="F200" s="320" t="n"/>
      <c r="G200" s="284">
        <f>IFERROR((D200-F200)/C200*100,"")</f>
        <v/>
      </c>
      <c r="H200" s="324" t="n"/>
      <c r="I200" s="320" t="n"/>
      <c r="J200" s="325">
        <f>IF(COUNTA(A200:F200)=0,"",IF(OR(C200&lt;0,D200&lt;0,E200&lt;0,F200&lt;0),"ERRO: valor negativo",IF(C200&lt;&gt;SUM(D200:F200),"ERRO: categorias diferem dos respondentes",IF(COUNTIFS($A$5:$A$1200,A200,$B$5:$B$1200,B200)&gt;1,"ERRO: período e curso duplicados","OK"))))</f>
        <v/>
      </c>
    </row>
    <row r="201" ht="15" customHeight="1" s="131">
      <c r="A201" s="320" t="n"/>
      <c r="B201" s="323" t="n"/>
      <c r="C201" s="320" t="n"/>
      <c r="D201" s="320" t="n"/>
      <c r="E201" s="320" t="n"/>
      <c r="F201" s="320" t="n"/>
      <c r="G201" s="284">
        <f>IFERROR((D201-F201)/C201*100,"")</f>
        <v/>
      </c>
      <c r="H201" s="324" t="n"/>
      <c r="I201" s="320" t="n"/>
      <c r="J201" s="325">
        <f>IF(COUNTA(A201:F201)=0,"",IF(OR(C201&lt;0,D201&lt;0,E201&lt;0,F201&lt;0),"ERRO: valor negativo",IF(C201&lt;&gt;SUM(D201:F201),"ERRO: categorias diferem dos respondentes",IF(COUNTIFS($A$5:$A$1200,A201,$B$5:$B$1200,B201)&gt;1,"ERRO: período e curso duplicados","OK"))))</f>
        <v/>
      </c>
    </row>
    <row r="202" ht="15" customHeight="1" s="131">
      <c r="A202" s="320" t="n"/>
      <c r="B202" s="323" t="n"/>
      <c r="C202" s="320" t="n"/>
      <c r="D202" s="320" t="n"/>
      <c r="E202" s="320" t="n"/>
      <c r="F202" s="320" t="n"/>
      <c r="G202" s="284">
        <f>IFERROR((D202-F202)/C202*100,"")</f>
        <v/>
      </c>
      <c r="H202" s="324" t="n"/>
      <c r="I202" s="320" t="n"/>
      <c r="J202" s="325">
        <f>IF(COUNTA(A202:F202)=0,"",IF(OR(C202&lt;0,D202&lt;0,E202&lt;0,F202&lt;0),"ERRO: valor negativo",IF(C202&lt;&gt;SUM(D202:F202),"ERRO: categorias diferem dos respondentes",IF(COUNTIFS($A$5:$A$1200,A202,$B$5:$B$1200,B202)&gt;1,"ERRO: período e curso duplicados","OK"))))</f>
        <v/>
      </c>
    </row>
    <row r="203" ht="15" customHeight="1" s="131">
      <c r="A203" s="320" t="n"/>
      <c r="B203" s="323" t="n"/>
      <c r="C203" s="320" t="n"/>
      <c r="D203" s="320" t="n"/>
      <c r="E203" s="320" t="n"/>
      <c r="F203" s="320" t="n"/>
      <c r="G203" s="284">
        <f>IFERROR((D203-F203)/C203*100,"")</f>
        <v/>
      </c>
      <c r="H203" s="324" t="n"/>
      <c r="I203" s="320" t="n"/>
      <c r="J203" s="325">
        <f>IF(COUNTA(A203:F203)=0,"",IF(OR(C203&lt;0,D203&lt;0,E203&lt;0,F203&lt;0),"ERRO: valor negativo",IF(C203&lt;&gt;SUM(D203:F203),"ERRO: categorias diferem dos respondentes",IF(COUNTIFS($A$5:$A$1200,A203,$B$5:$B$1200,B203)&gt;1,"ERRO: período e curso duplicados","OK"))))</f>
        <v/>
      </c>
    </row>
    <row r="204" ht="15" customHeight="1" s="131">
      <c r="A204" s="320" t="n"/>
      <c r="B204" s="323" t="n"/>
      <c r="C204" s="320" t="n"/>
      <c r="D204" s="320" t="n"/>
      <c r="E204" s="320" t="n"/>
      <c r="F204" s="320" t="n"/>
      <c r="G204" s="284">
        <f>IFERROR((D204-F204)/C204*100,"")</f>
        <v/>
      </c>
      <c r="H204" s="324" t="n"/>
      <c r="I204" s="320" t="n"/>
      <c r="J204" s="325">
        <f>IF(COUNTA(A204:F204)=0,"",IF(OR(C204&lt;0,D204&lt;0,E204&lt;0,F204&lt;0),"ERRO: valor negativo",IF(C204&lt;&gt;SUM(D204:F204),"ERRO: categorias diferem dos respondentes",IF(COUNTIFS($A$5:$A$1200,A204,$B$5:$B$1200,B204)&gt;1,"ERRO: período e curso duplicados","OK"))))</f>
        <v/>
      </c>
    </row>
    <row r="205" ht="15" customHeight="1" s="131">
      <c r="A205" s="320" t="n"/>
      <c r="B205" s="323" t="n"/>
      <c r="C205" s="320" t="n"/>
      <c r="D205" s="320" t="n"/>
      <c r="E205" s="320" t="n"/>
      <c r="F205" s="320" t="n"/>
      <c r="G205" s="284">
        <f>IFERROR((D205-F205)/C205*100,"")</f>
        <v/>
      </c>
      <c r="H205" s="324" t="n"/>
      <c r="I205" s="320" t="n"/>
      <c r="J205" s="325">
        <f>IF(COUNTA(A205:F205)=0,"",IF(OR(C205&lt;0,D205&lt;0,E205&lt;0,F205&lt;0),"ERRO: valor negativo",IF(C205&lt;&gt;SUM(D205:F205),"ERRO: categorias diferem dos respondentes",IF(COUNTIFS($A$5:$A$1200,A205,$B$5:$B$1200,B205)&gt;1,"ERRO: período e curso duplicados","OK"))))</f>
        <v/>
      </c>
    </row>
    <row r="206" ht="15" customHeight="1" s="131">
      <c r="A206" s="320" t="n"/>
      <c r="B206" s="323" t="n"/>
      <c r="C206" s="320" t="n"/>
      <c r="D206" s="320" t="n"/>
      <c r="E206" s="320" t="n"/>
      <c r="F206" s="320" t="n"/>
      <c r="G206" s="284">
        <f>IFERROR((D206-F206)/C206*100,"")</f>
        <v/>
      </c>
      <c r="H206" s="324" t="n"/>
      <c r="I206" s="320" t="n"/>
      <c r="J206" s="325">
        <f>IF(COUNTA(A206:F206)=0,"",IF(OR(C206&lt;0,D206&lt;0,E206&lt;0,F206&lt;0),"ERRO: valor negativo",IF(C206&lt;&gt;SUM(D206:F206),"ERRO: categorias diferem dos respondentes",IF(COUNTIFS($A$5:$A$1200,A206,$B$5:$B$1200,B206)&gt;1,"ERRO: período e curso duplicados","OK"))))</f>
        <v/>
      </c>
    </row>
    <row r="207" ht="15" customHeight="1" s="131">
      <c r="A207" s="320" t="n"/>
      <c r="B207" s="323" t="n"/>
      <c r="C207" s="320" t="n"/>
      <c r="D207" s="320" t="n"/>
      <c r="E207" s="320" t="n"/>
      <c r="F207" s="320" t="n"/>
      <c r="G207" s="284">
        <f>IFERROR((D207-F207)/C207*100,"")</f>
        <v/>
      </c>
      <c r="H207" s="324" t="n"/>
      <c r="I207" s="320" t="n"/>
      <c r="J207" s="325">
        <f>IF(COUNTA(A207:F207)=0,"",IF(OR(C207&lt;0,D207&lt;0,E207&lt;0,F207&lt;0),"ERRO: valor negativo",IF(C207&lt;&gt;SUM(D207:F207),"ERRO: categorias diferem dos respondentes",IF(COUNTIFS($A$5:$A$1200,A207,$B$5:$B$1200,B207)&gt;1,"ERRO: período e curso duplicados","OK"))))</f>
        <v/>
      </c>
    </row>
    <row r="208" ht="15" customHeight="1" s="131">
      <c r="A208" s="320" t="n"/>
      <c r="B208" s="323" t="n"/>
      <c r="C208" s="320" t="n"/>
      <c r="D208" s="320" t="n"/>
      <c r="E208" s="320" t="n"/>
      <c r="F208" s="320" t="n"/>
      <c r="G208" s="284">
        <f>IFERROR((D208-F208)/C208*100,"")</f>
        <v/>
      </c>
      <c r="H208" s="324" t="n"/>
      <c r="I208" s="320" t="n"/>
      <c r="J208" s="325">
        <f>IF(COUNTA(A208:F208)=0,"",IF(OR(C208&lt;0,D208&lt;0,E208&lt;0,F208&lt;0),"ERRO: valor negativo",IF(C208&lt;&gt;SUM(D208:F208),"ERRO: categorias diferem dos respondentes",IF(COUNTIFS($A$5:$A$1200,A208,$B$5:$B$1200,B208)&gt;1,"ERRO: período e curso duplicados","OK"))))</f>
        <v/>
      </c>
    </row>
    <row r="209" ht="15" customHeight="1" s="131">
      <c r="A209" s="320" t="n"/>
      <c r="B209" s="323" t="n"/>
      <c r="C209" s="320" t="n"/>
      <c r="D209" s="320" t="n"/>
      <c r="E209" s="320" t="n"/>
      <c r="F209" s="320" t="n"/>
      <c r="G209" s="284">
        <f>IFERROR((D209-F209)/C209*100,"")</f>
        <v/>
      </c>
      <c r="H209" s="324" t="n"/>
      <c r="I209" s="320" t="n"/>
      <c r="J209" s="325">
        <f>IF(COUNTA(A209:F209)=0,"",IF(OR(C209&lt;0,D209&lt;0,E209&lt;0,F209&lt;0),"ERRO: valor negativo",IF(C209&lt;&gt;SUM(D209:F209),"ERRO: categorias diferem dos respondentes",IF(COUNTIFS($A$5:$A$1200,A209,$B$5:$B$1200,B209)&gt;1,"ERRO: período e curso duplicados","OK"))))</f>
        <v/>
      </c>
    </row>
    <row r="210" ht="15" customHeight="1" s="131">
      <c r="A210" s="320" t="n"/>
      <c r="B210" s="323" t="n"/>
      <c r="C210" s="320" t="n"/>
      <c r="D210" s="320" t="n"/>
      <c r="E210" s="320" t="n"/>
      <c r="F210" s="320" t="n"/>
      <c r="G210" s="284">
        <f>IFERROR((D210-F210)/C210*100,"")</f>
        <v/>
      </c>
      <c r="H210" s="324" t="n"/>
      <c r="I210" s="320" t="n"/>
      <c r="J210" s="325">
        <f>IF(COUNTA(A210:F210)=0,"",IF(OR(C210&lt;0,D210&lt;0,E210&lt;0,F210&lt;0),"ERRO: valor negativo",IF(C210&lt;&gt;SUM(D210:F210),"ERRO: categorias diferem dos respondentes",IF(COUNTIFS($A$5:$A$1200,A210,$B$5:$B$1200,B210)&gt;1,"ERRO: período e curso duplicados","OK"))))</f>
        <v/>
      </c>
    </row>
    <row r="211" ht="15" customHeight="1" s="131">
      <c r="A211" s="320" t="n"/>
      <c r="B211" s="323" t="n"/>
      <c r="C211" s="320" t="n"/>
      <c r="D211" s="320" t="n"/>
      <c r="E211" s="320" t="n"/>
      <c r="F211" s="320" t="n"/>
      <c r="G211" s="284">
        <f>IFERROR((D211-F211)/C211*100,"")</f>
        <v/>
      </c>
      <c r="H211" s="324" t="n"/>
      <c r="I211" s="320" t="n"/>
      <c r="J211" s="325">
        <f>IF(COUNTA(A211:F211)=0,"",IF(OR(C211&lt;0,D211&lt;0,E211&lt;0,F211&lt;0),"ERRO: valor negativo",IF(C211&lt;&gt;SUM(D211:F211),"ERRO: categorias diferem dos respondentes",IF(COUNTIFS($A$5:$A$1200,A211,$B$5:$B$1200,B211)&gt;1,"ERRO: período e curso duplicados","OK"))))</f>
        <v/>
      </c>
    </row>
    <row r="212" ht="15" customHeight="1" s="131">
      <c r="A212" s="320" t="n"/>
      <c r="B212" s="323" t="n"/>
      <c r="C212" s="320" t="n"/>
      <c r="D212" s="320" t="n"/>
      <c r="E212" s="320" t="n"/>
      <c r="F212" s="320" t="n"/>
      <c r="G212" s="284">
        <f>IFERROR((D212-F212)/C212*100,"")</f>
        <v/>
      </c>
      <c r="H212" s="324" t="n"/>
      <c r="I212" s="320" t="n"/>
      <c r="J212" s="325">
        <f>IF(COUNTA(A212:F212)=0,"",IF(OR(C212&lt;0,D212&lt;0,E212&lt;0,F212&lt;0),"ERRO: valor negativo",IF(C212&lt;&gt;SUM(D212:F212),"ERRO: categorias diferem dos respondentes",IF(COUNTIFS($A$5:$A$1200,A212,$B$5:$B$1200,B212)&gt;1,"ERRO: período e curso duplicados","OK"))))</f>
        <v/>
      </c>
    </row>
    <row r="213" ht="15" customHeight="1" s="131">
      <c r="A213" s="320" t="n"/>
      <c r="B213" s="323" t="n"/>
      <c r="C213" s="320" t="n"/>
      <c r="D213" s="320" t="n"/>
      <c r="E213" s="320" t="n"/>
      <c r="F213" s="320" t="n"/>
      <c r="G213" s="284">
        <f>IFERROR((D213-F213)/C213*100,"")</f>
        <v/>
      </c>
      <c r="H213" s="324" t="n"/>
      <c r="I213" s="320" t="n"/>
      <c r="J213" s="325">
        <f>IF(COUNTA(A213:F213)=0,"",IF(OR(C213&lt;0,D213&lt;0,E213&lt;0,F213&lt;0),"ERRO: valor negativo",IF(C213&lt;&gt;SUM(D213:F213),"ERRO: categorias diferem dos respondentes",IF(COUNTIFS($A$5:$A$1200,A213,$B$5:$B$1200,B213)&gt;1,"ERRO: período e curso duplicados","OK"))))</f>
        <v/>
      </c>
    </row>
    <row r="214" ht="15" customHeight="1" s="131">
      <c r="A214" s="320" t="n"/>
      <c r="B214" s="323" t="n"/>
      <c r="C214" s="320" t="n"/>
      <c r="D214" s="320" t="n"/>
      <c r="E214" s="320" t="n"/>
      <c r="F214" s="320" t="n"/>
      <c r="G214" s="284">
        <f>IFERROR((D214-F214)/C214*100,"")</f>
        <v/>
      </c>
      <c r="H214" s="324" t="n"/>
      <c r="I214" s="320" t="n"/>
      <c r="J214" s="325">
        <f>IF(COUNTA(A214:F214)=0,"",IF(OR(C214&lt;0,D214&lt;0,E214&lt;0,F214&lt;0),"ERRO: valor negativo",IF(C214&lt;&gt;SUM(D214:F214),"ERRO: categorias diferem dos respondentes",IF(COUNTIFS($A$5:$A$1200,A214,$B$5:$B$1200,B214)&gt;1,"ERRO: período e curso duplicados","OK"))))</f>
        <v/>
      </c>
    </row>
    <row r="215" ht="15" customHeight="1" s="131">
      <c r="A215" s="320" t="n"/>
      <c r="B215" s="323" t="n"/>
      <c r="C215" s="320" t="n"/>
      <c r="D215" s="320" t="n"/>
      <c r="E215" s="320" t="n"/>
      <c r="F215" s="320" t="n"/>
      <c r="G215" s="284">
        <f>IFERROR((D215-F215)/C215*100,"")</f>
        <v/>
      </c>
      <c r="H215" s="324" t="n"/>
      <c r="I215" s="320" t="n"/>
      <c r="J215" s="325">
        <f>IF(COUNTA(A215:F215)=0,"",IF(OR(C215&lt;0,D215&lt;0,E215&lt;0,F215&lt;0),"ERRO: valor negativo",IF(C215&lt;&gt;SUM(D215:F215),"ERRO: categorias diferem dos respondentes",IF(COUNTIFS($A$5:$A$1200,A215,$B$5:$B$1200,B215)&gt;1,"ERRO: período e curso duplicados","OK"))))</f>
        <v/>
      </c>
    </row>
    <row r="216" ht="15" customHeight="1" s="131">
      <c r="A216" s="320" t="n"/>
      <c r="B216" s="323" t="n"/>
      <c r="C216" s="320" t="n"/>
      <c r="D216" s="320" t="n"/>
      <c r="E216" s="320" t="n"/>
      <c r="F216" s="320" t="n"/>
      <c r="G216" s="284">
        <f>IFERROR((D216-F216)/C216*100,"")</f>
        <v/>
      </c>
      <c r="H216" s="324" t="n"/>
      <c r="I216" s="320" t="n"/>
      <c r="J216" s="325">
        <f>IF(COUNTA(A216:F216)=0,"",IF(OR(C216&lt;0,D216&lt;0,E216&lt;0,F216&lt;0),"ERRO: valor negativo",IF(C216&lt;&gt;SUM(D216:F216),"ERRO: categorias diferem dos respondentes",IF(COUNTIFS($A$5:$A$1200,A216,$B$5:$B$1200,B216)&gt;1,"ERRO: período e curso duplicados","OK"))))</f>
        <v/>
      </c>
    </row>
    <row r="217" ht="15" customHeight="1" s="131">
      <c r="A217" s="320" t="n"/>
      <c r="B217" s="323" t="n"/>
      <c r="C217" s="320" t="n"/>
      <c r="D217" s="320" t="n"/>
      <c r="E217" s="320" t="n"/>
      <c r="F217" s="320" t="n"/>
      <c r="G217" s="284">
        <f>IFERROR((D217-F217)/C217*100,"")</f>
        <v/>
      </c>
      <c r="H217" s="324" t="n"/>
      <c r="I217" s="320" t="n"/>
      <c r="J217" s="325">
        <f>IF(COUNTA(A217:F217)=0,"",IF(OR(C217&lt;0,D217&lt;0,E217&lt;0,F217&lt;0),"ERRO: valor negativo",IF(C217&lt;&gt;SUM(D217:F217),"ERRO: categorias diferem dos respondentes",IF(COUNTIFS($A$5:$A$1200,A217,$B$5:$B$1200,B217)&gt;1,"ERRO: período e curso duplicados","OK"))))</f>
        <v/>
      </c>
    </row>
    <row r="218" ht="15" customHeight="1" s="131">
      <c r="A218" s="320" t="n"/>
      <c r="B218" s="323" t="n"/>
      <c r="C218" s="320" t="n"/>
      <c r="D218" s="320" t="n"/>
      <c r="E218" s="320" t="n"/>
      <c r="F218" s="320" t="n"/>
      <c r="G218" s="284">
        <f>IFERROR((D218-F218)/C218*100,"")</f>
        <v/>
      </c>
      <c r="H218" s="324" t="n"/>
      <c r="I218" s="320" t="n"/>
      <c r="J218" s="325">
        <f>IF(COUNTA(A218:F218)=0,"",IF(OR(C218&lt;0,D218&lt;0,E218&lt;0,F218&lt;0),"ERRO: valor negativo",IF(C218&lt;&gt;SUM(D218:F218),"ERRO: categorias diferem dos respondentes",IF(COUNTIFS($A$5:$A$1200,A218,$B$5:$B$1200,B218)&gt;1,"ERRO: período e curso duplicados","OK"))))</f>
        <v/>
      </c>
    </row>
    <row r="219" ht="15" customHeight="1" s="131">
      <c r="A219" s="320" t="n"/>
      <c r="B219" s="323" t="n"/>
      <c r="C219" s="320" t="n"/>
      <c r="D219" s="320" t="n"/>
      <c r="E219" s="320" t="n"/>
      <c r="F219" s="320" t="n"/>
      <c r="G219" s="284">
        <f>IFERROR((D219-F219)/C219*100,"")</f>
        <v/>
      </c>
      <c r="H219" s="324" t="n"/>
      <c r="I219" s="320" t="n"/>
      <c r="J219" s="325">
        <f>IF(COUNTA(A219:F219)=0,"",IF(OR(C219&lt;0,D219&lt;0,E219&lt;0,F219&lt;0),"ERRO: valor negativo",IF(C219&lt;&gt;SUM(D219:F219),"ERRO: categorias diferem dos respondentes",IF(COUNTIFS($A$5:$A$1200,A219,$B$5:$B$1200,B219)&gt;1,"ERRO: período e curso duplicados","OK"))))</f>
        <v/>
      </c>
    </row>
    <row r="220" ht="15" customHeight="1" s="131">
      <c r="A220" s="320" t="n"/>
      <c r="B220" s="323" t="n"/>
      <c r="C220" s="320" t="n"/>
      <c r="D220" s="320" t="n"/>
      <c r="E220" s="320" t="n"/>
      <c r="F220" s="320" t="n"/>
      <c r="G220" s="284">
        <f>IFERROR((D220-F220)/C220*100,"")</f>
        <v/>
      </c>
      <c r="H220" s="324" t="n"/>
      <c r="I220" s="320" t="n"/>
      <c r="J220" s="325">
        <f>IF(COUNTA(A220:F220)=0,"",IF(OR(C220&lt;0,D220&lt;0,E220&lt;0,F220&lt;0),"ERRO: valor negativo",IF(C220&lt;&gt;SUM(D220:F220),"ERRO: categorias diferem dos respondentes",IF(COUNTIFS($A$5:$A$1200,A220,$B$5:$B$1200,B220)&gt;1,"ERRO: período e curso duplicados","OK"))))</f>
        <v/>
      </c>
    </row>
    <row r="221" ht="15" customHeight="1" s="131">
      <c r="A221" s="320" t="n"/>
      <c r="B221" s="323" t="n"/>
      <c r="C221" s="320" t="n"/>
      <c r="D221" s="320" t="n"/>
      <c r="E221" s="320" t="n"/>
      <c r="F221" s="320" t="n"/>
      <c r="G221" s="284">
        <f>IFERROR((D221-F221)/C221*100,"")</f>
        <v/>
      </c>
      <c r="H221" s="324" t="n"/>
      <c r="I221" s="320" t="n"/>
      <c r="J221" s="325">
        <f>IF(COUNTA(A221:F221)=0,"",IF(OR(C221&lt;0,D221&lt;0,E221&lt;0,F221&lt;0),"ERRO: valor negativo",IF(C221&lt;&gt;SUM(D221:F221),"ERRO: categorias diferem dos respondentes",IF(COUNTIFS($A$5:$A$1200,A221,$B$5:$B$1200,B221)&gt;1,"ERRO: período e curso duplicados","OK"))))</f>
        <v/>
      </c>
    </row>
    <row r="222" ht="15" customHeight="1" s="131">
      <c r="A222" s="320" t="n"/>
      <c r="B222" s="323" t="n"/>
      <c r="C222" s="320" t="n"/>
      <c r="D222" s="320" t="n"/>
      <c r="E222" s="320" t="n"/>
      <c r="F222" s="320" t="n"/>
      <c r="G222" s="284">
        <f>IFERROR((D222-F222)/C222*100,"")</f>
        <v/>
      </c>
      <c r="H222" s="324" t="n"/>
      <c r="I222" s="320" t="n"/>
      <c r="J222" s="325">
        <f>IF(COUNTA(A222:F222)=0,"",IF(OR(C222&lt;0,D222&lt;0,E222&lt;0,F222&lt;0),"ERRO: valor negativo",IF(C222&lt;&gt;SUM(D222:F222),"ERRO: categorias diferem dos respondentes",IF(COUNTIFS($A$5:$A$1200,A222,$B$5:$B$1200,B222)&gt;1,"ERRO: período e curso duplicados","OK"))))</f>
        <v/>
      </c>
    </row>
    <row r="223" ht="15" customHeight="1" s="131">
      <c r="A223" s="320" t="n"/>
      <c r="B223" s="323" t="n"/>
      <c r="C223" s="320" t="n"/>
      <c r="D223" s="320" t="n"/>
      <c r="E223" s="320" t="n"/>
      <c r="F223" s="320" t="n"/>
      <c r="G223" s="284">
        <f>IFERROR((D223-F223)/C223*100,"")</f>
        <v/>
      </c>
      <c r="H223" s="324" t="n"/>
      <c r="I223" s="320" t="n"/>
      <c r="J223" s="325">
        <f>IF(COUNTA(A223:F223)=0,"",IF(OR(C223&lt;0,D223&lt;0,E223&lt;0,F223&lt;0),"ERRO: valor negativo",IF(C223&lt;&gt;SUM(D223:F223),"ERRO: categorias diferem dos respondentes",IF(COUNTIFS($A$5:$A$1200,A223,$B$5:$B$1200,B223)&gt;1,"ERRO: período e curso duplicados","OK"))))</f>
        <v/>
      </c>
    </row>
    <row r="224" ht="15" customHeight="1" s="131">
      <c r="A224" s="320" t="n"/>
      <c r="B224" s="323" t="n"/>
      <c r="C224" s="320" t="n"/>
      <c r="D224" s="320" t="n"/>
      <c r="E224" s="320" t="n"/>
      <c r="F224" s="320" t="n"/>
      <c r="G224" s="284">
        <f>IFERROR((D224-F224)/C224*100,"")</f>
        <v/>
      </c>
      <c r="H224" s="324" t="n"/>
      <c r="I224" s="320" t="n"/>
      <c r="J224" s="325">
        <f>IF(COUNTA(A224:F224)=0,"",IF(OR(C224&lt;0,D224&lt;0,E224&lt;0,F224&lt;0),"ERRO: valor negativo",IF(C224&lt;&gt;SUM(D224:F224),"ERRO: categorias diferem dos respondentes",IF(COUNTIFS($A$5:$A$1200,A224,$B$5:$B$1200,B224)&gt;1,"ERRO: período e curso duplicados","OK"))))</f>
        <v/>
      </c>
    </row>
    <row r="225" ht="15" customHeight="1" s="131">
      <c r="A225" s="320" t="n"/>
      <c r="B225" s="323" t="n"/>
      <c r="C225" s="320" t="n"/>
      <c r="D225" s="320" t="n"/>
      <c r="E225" s="320" t="n"/>
      <c r="F225" s="320" t="n"/>
      <c r="G225" s="284">
        <f>IFERROR((D225-F225)/C225*100,"")</f>
        <v/>
      </c>
      <c r="H225" s="324" t="n"/>
      <c r="I225" s="320" t="n"/>
      <c r="J225" s="325">
        <f>IF(COUNTA(A225:F225)=0,"",IF(OR(C225&lt;0,D225&lt;0,E225&lt;0,F225&lt;0),"ERRO: valor negativo",IF(C225&lt;&gt;SUM(D225:F225),"ERRO: categorias diferem dos respondentes",IF(COUNTIFS($A$5:$A$1200,A225,$B$5:$B$1200,B225)&gt;1,"ERRO: período e curso duplicados","OK"))))</f>
        <v/>
      </c>
    </row>
    <row r="226" ht="15" customHeight="1" s="131">
      <c r="A226" s="320" t="n"/>
      <c r="B226" s="323" t="n"/>
      <c r="C226" s="320" t="n"/>
      <c r="D226" s="320" t="n"/>
      <c r="E226" s="320" t="n"/>
      <c r="F226" s="320" t="n"/>
      <c r="G226" s="284">
        <f>IFERROR((D226-F226)/C226*100,"")</f>
        <v/>
      </c>
      <c r="H226" s="324" t="n"/>
      <c r="I226" s="320" t="n"/>
      <c r="J226" s="325">
        <f>IF(COUNTA(A226:F226)=0,"",IF(OR(C226&lt;0,D226&lt;0,E226&lt;0,F226&lt;0),"ERRO: valor negativo",IF(C226&lt;&gt;SUM(D226:F226),"ERRO: categorias diferem dos respondentes",IF(COUNTIFS($A$5:$A$1200,A226,$B$5:$B$1200,B226)&gt;1,"ERRO: período e curso duplicados","OK"))))</f>
        <v/>
      </c>
    </row>
    <row r="227" ht="15" customHeight="1" s="131">
      <c r="A227" s="320" t="n"/>
      <c r="B227" s="323" t="n"/>
      <c r="C227" s="320" t="n"/>
      <c r="D227" s="320" t="n"/>
      <c r="E227" s="320" t="n"/>
      <c r="F227" s="320" t="n"/>
      <c r="G227" s="284">
        <f>IFERROR((D227-F227)/C227*100,"")</f>
        <v/>
      </c>
      <c r="H227" s="324" t="n"/>
      <c r="I227" s="320" t="n"/>
      <c r="J227" s="325">
        <f>IF(COUNTA(A227:F227)=0,"",IF(OR(C227&lt;0,D227&lt;0,E227&lt;0,F227&lt;0),"ERRO: valor negativo",IF(C227&lt;&gt;SUM(D227:F227),"ERRO: categorias diferem dos respondentes",IF(COUNTIFS($A$5:$A$1200,A227,$B$5:$B$1200,B227)&gt;1,"ERRO: período e curso duplicados","OK"))))</f>
        <v/>
      </c>
    </row>
    <row r="228" ht="15" customHeight="1" s="131">
      <c r="A228" s="320" t="n"/>
      <c r="B228" s="323" t="n"/>
      <c r="C228" s="320" t="n"/>
      <c r="D228" s="320" t="n"/>
      <c r="E228" s="320" t="n"/>
      <c r="F228" s="320" t="n"/>
      <c r="G228" s="284">
        <f>IFERROR((D228-F228)/C228*100,"")</f>
        <v/>
      </c>
      <c r="H228" s="324" t="n"/>
      <c r="I228" s="320" t="n"/>
      <c r="J228" s="325">
        <f>IF(COUNTA(A228:F228)=0,"",IF(OR(C228&lt;0,D228&lt;0,E228&lt;0,F228&lt;0),"ERRO: valor negativo",IF(C228&lt;&gt;SUM(D228:F228),"ERRO: categorias diferem dos respondentes",IF(COUNTIFS($A$5:$A$1200,A228,$B$5:$B$1200,B228)&gt;1,"ERRO: período e curso duplicados","OK"))))</f>
        <v/>
      </c>
    </row>
    <row r="229" ht="15" customHeight="1" s="131">
      <c r="A229" s="320" t="n"/>
      <c r="B229" s="323" t="n"/>
      <c r="C229" s="320" t="n"/>
      <c r="D229" s="320" t="n"/>
      <c r="E229" s="320" t="n"/>
      <c r="F229" s="320" t="n"/>
      <c r="G229" s="284">
        <f>IFERROR((D229-F229)/C229*100,"")</f>
        <v/>
      </c>
      <c r="H229" s="324" t="n"/>
      <c r="I229" s="320" t="n"/>
      <c r="J229" s="325">
        <f>IF(COUNTA(A229:F229)=0,"",IF(OR(C229&lt;0,D229&lt;0,E229&lt;0,F229&lt;0),"ERRO: valor negativo",IF(C229&lt;&gt;SUM(D229:F229),"ERRO: categorias diferem dos respondentes",IF(COUNTIFS($A$5:$A$1200,A229,$B$5:$B$1200,B229)&gt;1,"ERRO: período e curso duplicados","OK"))))</f>
        <v/>
      </c>
    </row>
    <row r="230" ht="15" customHeight="1" s="131">
      <c r="A230" s="320" t="n"/>
      <c r="B230" s="323" t="n"/>
      <c r="C230" s="320" t="n"/>
      <c r="D230" s="320" t="n"/>
      <c r="E230" s="320" t="n"/>
      <c r="F230" s="320" t="n"/>
      <c r="G230" s="284">
        <f>IFERROR((D230-F230)/C230*100,"")</f>
        <v/>
      </c>
      <c r="H230" s="324" t="n"/>
      <c r="I230" s="320" t="n"/>
      <c r="J230" s="325">
        <f>IF(COUNTA(A230:F230)=0,"",IF(OR(C230&lt;0,D230&lt;0,E230&lt;0,F230&lt;0),"ERRO: valor negativo",IF(C230&lt;&gt;SUM(D230:F230),"ERRO: categorias diferem dos respondentes",IF(COUNTIFS($A$5:$A$1200,A230,$B$5:$B$1200,B230)&gt;1,"ERRO: período e curso duplicados","OK"))))</f>
        <v/>
      </c>
    </row>
    <row r="231" ht="15" customHeight="1" s="131">
      <c r="A231" s="320" t="n"/>
      <c r="B231" s="323" t="n"/>
      <c r="C231" s="320" t="n"/>
      <c r="D231" s="320" t="n"/>
      <c r="E231" s="320" t="n"/>
      <c r="F231" s="320" t="n"/>
      <c r="G231" s="284">
        <f>IFERROR((D231-F231)/C231*100,"")</f>
        <v/>
      </c>
      <c r="H231" s="324" t="n"/>
      <c r="I231" s="320" t="n"/>
      <c r="J231" s="325">
        <f>IF(COUNTA(A231:F231)=0,"",IF(OR(C231&lt;0,D231&lt;0,E231&lt;0,F231&lt;0),"ERRO: valor negativo",IF(C231&lt;&gt;SUM(D231:F231),"ERRO: categorias diferem dos respondentes",IF(COUNTIFS($A$5:$A$1200,A231,$B$5:$B$1200,B231)&gt;1,"ERRO: período e curso duplicados","OK"))))</f>
        <v/>
      </c>
    </row>
    <row r="232" ht="15" customHeight="1" s="131">
      <c r="A232" s="320" t="n"/>
      <c r="B232" s="323" t="n"/>
      <c r="C232" s="320" t="n"/>
      <c r="D232" s="320" t="n"/>
      <c r="E232" s="320" t="n"/>
      <c r="F232" s="320" t="n"/>
      <c r="G232" s="284">
        <f>IFERROR((D232-F232)/C232*100,"")</f>
        <v/>
      </c>
      <c r="H232" s="324" t="n"/>
      <c r="I232" s="320" t="n"/>
      <c r="J232" s="325">
        <f>IF(COUNTA(A232:F232)=0,"",IF(OR(C232&lt;0,D232&lt;0,E232&lt;0,F232&lt;0),"ERRO: valor negativo",IF(C232&lt;&gt;SUM(D232:F232),"ERRO: categorias diferem dos respondentes",IF(COUNTIFS($A$5:$A$1200,A232,$B$5:$B$1200,B232)&gt;1,"ERRO: período e curso duplicados","OK"))))</f>
        <v/>
      </c>
    </row>
    <row r="233" ht="15" customHeight="1" s="131">
      <c r="A233" s="320" t="n"/>
      <c r="B233" s="323" t="n"/>
      <c r="C233" s="320" t="n"/>
      <c r="D233" s="320" t="n"/>
      <c r="E233" s="320" t="n"/>
      <c r="F233" s="320" t="n"/>
      <c r="G233" s="284">
        <f>IFERROR((D233-F233)/C233*100,"")</f>
        <v/>
      </c>
      <c r="H233" s="324" t="n"/>
      <c r="I233" s="320" t="n"/>
      <c r="J233" s="325">
        <f>IF(COUNTA(A233:F233)=0,"",IF(OR(C233&lt;0,D233&lt;0,E233&lt;0,F233&lt;0),"ERRO: valor negativo",IF(C233&lt;&gt;SUM(D233:F233),"ERRO: categorias diferem dos respondentes",IF(COUNTIFS($A$5:$A$1200,A233,$B$5:$B$1200,B233)&gt;1,"ERRO: período e curso duplicados","OK"))))</f>
        <v/>
      </c>
    </row>
    <row r="234" ht="15" customHeight="1" s="131">
      <c r="A234" s="320" t="n"/>
      <c r="B234" s="323" t="n"/>
      <c r="C234" s="320" t="n"/>
      <c r="D234" s="320" t="n"/>
      <c r="E234" s="320" t="n"/>
      <c r="F234" s="320" t="n"/>
      <c r="G234" s="284">
        <f>IFERROR((D234-F234)/C234*100,"")</f>
        <v/>
      </c>
      <c r="H234" s="324" t="n"/>
      <c r="I234" s="320" t="n"/>
      <c r="J234" s="325">
        <f>IF(COUNTA(A234:F234)=0,"",IF(OR(C234&lt;0,D234&lt;0,E234&lt;0,F234&lt;0),"ERRO: valor negativo",IF(C234&lt;&gt;SUM(D234:F234),"ERRO: categorias diferem dos respondentes",IF(COUNTIFS($A$5:$A$1200,A234,$B$5:$B$1200,B234)&gt;1,"ERRO: período e curso duplicados","OK"))))</f>
        <v/>
      </c>
    </row>
    <row r="235" ht="15" customHeight="1" s="131">
      <c r="A235" s="320" t="n"/>
      <c r="B235" s="323" t="n"/>
      <c r="C235" s="320" t="n"/>
      <c r="D235" s="320" t="n"/>
      <c r="E235" s="320" t="n"/>
      <c r="F235" s="320" t="n"/>
      <c r="G235" s="284">
        <f>IFERROR((D235-F235)/C235*100,"")</f>
        <v/>
      </c>
      <c r="H235" s="324" t="n"/>
      <c r="I235" s="320" t="n"/>
      <c r="J235" s="325">
        <f>IF(COUNTA(A235:F235)=0,"",IF(OR(C235&lt;0,D235&lt;0,E235&lt;0,F235&lt;0),"ERRO: valor negativo",IF(C235&lt;&gt;SUM(D235:F235),"ERRO: categorias diferem dos respondentes",IF(COUNTIFS($A$5:$A$1200,A235,$B$5:$B$1200,B235)&gt;1,"ERRO: período e curso duplicados","OK"))))</f>
        <v/>
      </c>
    </row>
    <row r="236" ht="15" customHeight="1" s="131">
      <c r="A236" s="320" t="n"/>
      <c r="B236" s="323" t="n"/>
      <c r="C236" s="320" t="n"/>
      <c r="D236" s="320" t="n"/>
      <c r="E236" s="320" t="n"/>
      <c r="F236" s="320" t="n"/>
      <c r="G236" s="284">
        <f>IFERROR((D236-F236)/C236*100,"")</f>
        <v/>
      </c>
      <c r="H236" s="324" t="n"/>
      <c r="I236" s="320" t="n"/>
      <c r="J236" s="325">
        <f>IF(COUNTA(A236:F236)=0,"",IF(OR(C236&lt;0,D236&lt;0,E236&lt;0,F236&lt;0),"ERRO: valor negativo",IF(C236&lt;&gt;SUM(D236:F236),"ERRO: categorias diferem dos respondentes",IF(COUNTIFS($A$5:$A$1200,A236,$B$5:$B$1200,B236)&gt;1,"ERRO: período e curso duplicados","OK"))))</f>
        <v/>
      </c>
    </row>
    <row r="237" ht="15" customHeight="1" s="131">
      <c r="A237" s="320" t="n"/>
      <c r="B237" s="323" t="n"/>
      <c r="C237" s="320" t="n"/>
      <c r="D237" s="320" t="n"/>
      <c r="E237" s="320" t="n"/>
      <c r="F237" s="320" t="n"/>
      <c r="G237" s="284">
        <f>IFERROR((D237-F237)/C237*100,"")</f>
        <v/>
      </c>
      <c r="H237" s="324" t="n"/>
      <c r="I237" s="320" t="n"/>
      <c r="J237" s="325">
        <f>IF(COUNTA(A237:F237)=0,"",IF(OR(C237&lt;0,D237&lt;0,E237&lt;0,F237&lt;0),"ERRO: valor negativo",IF(C237&lt;&gt;SUM(D237:F237),"ERRO: categorias diferem dos respondentes",IF(COUNTIFS($A$5:$A$1200,A237,$B$5:$B$1200,B237)&gt;1,"ERRO: período e curso duplicados","OK"))))</f>
        <v/>
      </c>
    </row>
    <row r="238" ht="15" customHeight="1" s="131">
      <c r="A238" s="320" t="n"/>
      <c r="B238" s="323" t="n"/>
      <c r="C238" s="320" t="n"/>
      <c r="D238" s="320" t="n"/>
      <c r="E238" s="320" t="n"/>
      <c r="F238" s="320" t="n"/>
      <c r="G238" s="284">
        <f>IFERROR((D238-F238)/C238*100,"")</f>
        <v/>
      </c>
      <c r="H238" s="324" t="n"/>
      <c r="I238" s="320" t="n"/>
      <c r="J238" s="325">
        <f>IF(COUNTA(A238:F238)=0,"",IF(OR(C238&lt;0,D238&lt;0,E238&lt;0,F238&lt;0),"ERRO: valor negativo",IF(C238&lt;&gt;SUM(D238:F238),"ERRO: categorias diferem dos respondentes",IF(COUNTIFS($A$5:$A$1200,A238,$B$5:$B$1200,B238)&gt;1,"ERRO: período e curso duplicados","OK"))))</f>
        <v/>
      </c>
    </row>
    <row r="239" ht="15" customHeight="1" s="131">
      <c r="A239" s="320" t="n"/>
      <c r="B239" s="323" t="n"/>
      <c r="C239" s="320" t="n"/>
      <c r="D239" s="320" t="n"/>
      <c r="E239" s="320" t="n"/>
      <c r="F239" s="320" t="n"/>
      <c r="G239" s="284">
        <f>IFERROR((D239-F239)/C239*100,"")</f>
        <v/>
      </c>
      <c r="H239" s="324" t="n"/>
      <c r="I239" s="320" t="n"/>
      <c r="J239" s="325">
        <f>IF(COUNTA(A239:F239)=0,"",IF(OR(C239&lt;0,D239&lt;0,E239&lt;0,F239&lt;0),"ERRO: valor negativo",IF(C239&lt;&gt;SUM(D239:F239),"ERRO: categorias diferem dos respondentes",IF(COUNTIFS($A$5:$A$1200,A239,$B$5:$B$1200,B239)&gt;1,"ERRO: período e curso duplicados","OK"))))</f>
        <v/>
      </c>
    </row>
    <row r="240" ht="15" customHeight="1" s="131">
      <c r="A240" s="320" t="n"/>
      <c r="B240" s="323" t="n"/>
      <c r="C240" s="320" t="n"/>
      <c r="D240" s="320" t="n"/>
      <c r="E240" s="320" t="n"/>
      <c r="F240" s="320" t="n"/>
      <c r="G240" s="284">
        <f>IFERROR((D240-F240)/C240*100,"")</f>
        <v/>
      </c>
      <c r="H240" s="324" t="n"/>
      <c r="I240" s="320" t="n"/>
      <c r="J240" s="325">
        <f>IF(COUNTA(A240:F240)=0,"",IF(OR(C240&lt;0,D240&lt;0,E240&lt;0,F240&lt;0),"ERRO: valor negativo",IF(C240&lt;&gt;SUM(D240:F240),"ERRO: categorias diferem dos respondentes",IF(COUNTIFS($A$5:$A$1200,A240,$B$5:$B$1200,B240)&gt;1,"ERRO: período e curso duplicados","OK"))))</f>
        <v/>
      </c>
    </row>
    <row r="241" ht="15" customHeight="1" s="131">
      <c r="A241" s="320" t="n"/>
      <c r="B241" s="323" t="n"/>
      <c r="C241" s="320" t="n"/>
      <c r="D241" s="320" t="n"/>
      <c r="E241" s="320" t="n"/>
      <c r="F241" s="320" t="n"/>
      <c r="G241" s="284">
        <f>IFERROR((D241-F241)/C241*100,"")</f>
        <v/>
      </c>
      <c r="H241" s="324" t="n"/>
      <c r="I241" s="320" t="n"/>
      <c r="J241" s="325">
        <f>IF(COUNTA(A241:F241)=0,"",IF(OR(C241&lt;0,D241&lt;0,E241&lt;0,F241&lt;0),"ERRO: valor negativo",IF(C241&lt;&gt;SUM(D241:F241),"ERRO: categorias diferem dos respondentes",IF(COUNTIFS($A$5:$A$1200,A241,$B$5:$B$1200,B241)&gt;1,"ERRO: período e curso duplicados","OK"))))</f>
        <v/>
      </c>
    </row>
    <row r="242" ht="15" customHeight="1" s="131">
      <c r="A242" s="320" t="n"/>
      <c r="B242" s="323" t="n"/>
      <c r="C242" s="320" t="n"/>
      <c r="D242" s="320" t="n"/>
      <c r="E242" s="320" t="n"/>
      <c r="F242" s="320" t="n"/>
      <c r="G242" s="284">
        <f>IFERROR((D242-F242)/C242*100,"")</f>
        <v/>
      </c>
      <c r="H242" s="324" t="n"/>
      <c r="I242" s="320" t="n"/>
      <c r="J242" s="325">
        <f>IF(COUNTA(A242:F242)=0,"",IF(OR(C242&lt;0,D242&lt;0,E242&lt;0,F242&lt;0),"ERRO: valor negativo",IF(C242&lt;&gt;SUM(D242:F242),"ERRO: categorias diferem dos respondentes",IF(COUNTIFS($A$5:$A$1200,A242,$B$5:$B$1200,B242)&gt;1,"ERRO: período e curso duplicados","OK"))))</f>
        <v/>
      </c>
    </row>
    <row r="243" ht="15" customHeight="1" s="131">
      <c r="A243" s="320" t="n"/>
      <c r="B243" s="323" t="n"/>
      <c r="C243" s="320" t="n"/>
      <c r="D243" s="320" t="n"/>
      <c r="E243" s="320" t="n"/>
      <c r="F243" s="320" t="n"/>
      <c r="G243" s="284">
        <f>IFERROR((D243-F243)/C243*100,"")</f>
        <v/>
      </c>
      <c r="H243" s="324" t="n"/>
      <c r="I243" s="320" t="n"/>
      <c r="J243" s="325">
        <f>IF(COUNTA(A243:F243)=0,"",IF(OR(C243&lt;0,D243&lt;0,E243&lt;0,F243&lt;0),"ERRO: valor negativo",IF(C243&lt;&gt;SUM(D243:F243),"ERRO: categorias diferem dos respondentes",IF(COUNTIFS($A$5:$A$1200,A243,$B$5:$B$1200,B243)&gt;1,"ERRO: período e curso duplicados","OK"))))</f>
        <v/>
      </c>
    </row>
    <row r="244" ht="15" customHeight="1" s="131">
      <c r="A244" s="320" t="n"/>
      <c r="B244" s="323" t="n"/>
      <c r="C244" s="320" t="n"/>
      <c r="D244" s="320" t="n"/>
      <c r="E244" s="320" t="n"/>
      <c r="F244" s="320" t="n"/>
      <c r="G244" s="284">
        <f>IFERROR((D244-F244)/C244*100,"")</f>
        <v/>
      </c>
      <c r="H244" s="324" t="n"/>
      <c r="I244" s="320" t="n"/>
      <c r="J244" s="325">
        <f>IF(COUNTA(A244:F244)=0,"",IF(OR(C244&lt;0,D244&lt;0,E244&lt;0,F244&lt;0),"ERRO: valor negativo",IF(C244&lt;&gt;SUM(D244:F244),"ERRO: categorias diferem dos respondentes",IF(COUNTIFS($A$5:$A$1200,A244,$B$5:$B$1200,B244)&gt;1,"ERRO: período e curso duplicados","OK"))))</f>
        <v/>
      </c>
    </row>
    <row r="245" ht="15" customHeight="1" s="131">
      <c r="A245" s="320" t="n"/>
      <c r="B245" s="323" t="n"/>
      <c r="C245" s="320" t="n"/>
      <c r="D245" s="320" t="n"/>
      <c r="E245" s="320" t="n"/>
      <c r="F245" s="320" t="n"/>
      <c r="G245" s="284">
        <f>IFERROR((D245-F245)/C245*100,"")</f>
        <v/>
      </c>
      <c r="H245" s="324" t="n"/>
      <c r="I245" s="320" t="n"/>
      <c r="J245" s="325">
        <f>IF(COUNTA(A245:F245)=0,"",IF(OR(C245&lt;0,D245&lt;0,E245&lt;0,F245&lt;0),"ERRO: valor negativo",IF(C245&lt;&gt;SUM(D245:F245),"ERRO: categorias diferem dos respondentes",IF(COUNTIFS($A$5:$A$1200,A245,$B$5:$B$1200,B245)&gt;1,"ERRO: período e curso duplicados","OK"))))</f>
        <v/>
      </c>
    </row>
    <row r="246" ht="15" customHeight="1" s="131">
      <c r="A246" s="320" t="n"/>
      <c r="B246" s="323" t="n"/>
      <c r="C246" s="320" t="n"/>
      <c r="D246" s="320" t="n"/>
      <c r="E246" s="320" t="n"/>
      <c r="F246" s="320" t="n"/>
      <c r="G246" s="284">
        <f>IFERROR((D246-F246)/C246*100,"")</f>
        <v/>
      </c>
      <c r="H246" s="324" t="n"/>
      <c r="I246" s="320" t="n"/>
      <c r="J246" s="325">
        <f>IF(COUNTA(A246:F246)=0,"",IF(OR(C246&lt;0,D246&lt;0,E246&lt;0,F246&lt;0),"ERRO: valor negativo",IF(C246&lt;&gt;SUM(D246:F246),"ERRO: categorias diferem dos respondentes",IF(COUNTIFS($A$5:$A$1200,A246,$B$5:$B$1200,B246)&gt;1,"ERRO: período e curso duplicados","OK"))))</f>
        <v/>
      </c>
    </row>
    <row r="247" ht="15" customHeight="1" s="131">
      <c r="A247" s="320" t="n"/>
      <c r="B247" s="323" t="n"/>
      <c r="C247" s="320" t="n"/>
      <c r="D247" s="320" t="n"/>
      <c r="E247" s="320" t="n"/>
      <c r="F247" s="320" t="n"/>
      <c r="G247" s="284">
        <f>IFERROR((D247-F247)/C247*100,"")</f>
        <v/>
      </c>
      <c r="H247" s="324" t="n"/>
      <c r="I247" s="320" t="n"/>
      <c r="J247" s="325">
        <f>IF(COUNTA(A247:F247)=0,"",IF(OR(C247&lt;0,D247&lt;0,E247&lt;0,F247&lt;0),"ERRO: valor negativo",IF(C247&lt;&gt;SUM(D247:F247),"ERRO: categorias diferem dos respondentes",IF(COUNTIFS($A$5:$A$1200,A247,$B$5:$B$1200,B247)&gt;1,"ERRO: período e curso duplicados","OK"))))</f>
        <v/>
      </c>
    </row>
    <row r="248" ht="15" customHeight="1" s="131">
      <c r="A248" s="320" t="n"/>
      <c r="B248" s="323" t="n"/>
      <c r="C248" s="320" t="n"/>
      <c r="D248" s="320" t="n"/>
      <c r="E248" s="320" t="n"/>
      <c r="F248" s="320" t="n"/>
      <c r="G248" s="284">
        <f>IFERROR((D248-F248)/C248*100,"")</f>
        <v/>
      </c>
      <c r="H248" s="324" t="n"/>
      <c r="I248" s="320" t="n"/>
      <c r="J248" s="325">
        <f>IF(COUNTA(A248:F248)=0,"",IF(OR(C248&lt;0,D248&lt;0,E248&lt;0,F248&lt;0),"ERRO: valor negativo",IF(C248&lt;&gt;SUM(D248:F248),"ERRO: categorias diferem dos respondentes",IF(COUNTIFS($A$5:$A$1200,A248,$B$5:$B$1200,B248)&gt;1,"ERRO: período e curso duplicados","OK"))))</f>
        <v/>
      </c>
    </row>
    <row r="249" ht="15" customHeight="1" s="131">
      <c r="A249" s="320" t="n"/>
      <c r="B249" s="323" t="n"/>
      <c r="C249" s="320" t="n"/>
      <c r="D249" s="320" t="n"/>
      <c r="E249" s="320" t="n"/>
      <c r="F249" s="320" t="n"/>
      <c r="G249" s="284">
        <f>IFERROR((D249-F249)/C249*100,"")</f>
        <v/>
      </c>
      <c r="H249" s="324" t="n"/>
      <c r="I249" s="320" t="n"/>
      <c r="J249" s="325">
        <f>IF(COUNTA(A249:F249)=0,"",IF(OR(C249&lt;0,D249&lt;0,E249&lt;0,F249&lt;0),"ERRO: valor negativo",IF(C249&lt;&gt;SUM(D249:F249),"ERRO: categorias diferem dos respondentes",IF(COUNTIFS($A$5:$A$1200,A249,$B$5:$B$1200,B249)&gt;1,"ERRO: período e curso duplicados","OK"))))</f>
        <v/>
      </c>
    </row>
    <row r="250" ht="15" customHeight="1" s="131">
      <c r="A250" s="320" t="n"/>
      <c r="B250" s="323" t="n"/>
      <c r="C250" s="320" t="n"/>
      <c r="D250" s="320" t="n"/>
      <c r="E250" s="320" t="n"/>
      <c r="F250" s="320" t="n"/>
      <c r="G250" s="284">
        <f>IFERROR((D250-F250)/C250*100,"")</f>
        <v/>
      </c>
      <c r="H250" s="324" t="n"/>
      <c r="I250" s="320" t="n"/>
      <c r="J250" s="325">
        <f>IF(COUNTA(A250:F250)=0,"",IF(OR(C250&lt;0,D250&lt;0,E250&lt;0,F250&lt;0),"ERRO: valor negativo",IF(C250&lt;&gt;SUM(D250:F250),"ERRO: categorias diferem dos respondentes",IF(COUNTIFS($A$5:$A$1200,A250,$B$5:$B$1200,B250)&gt;1,"ERRO: período e curso duplicados","OK"))))</f>
        <v/>
      </c>
    </row>
    <row r="251" ht="15" customHeight="1" s="131">
      <c r="A251" s="320" t="n"/>
      <c r="B251" s="323" t="n"/>
      <c r="C251" s="320" t="n"/>
      <c r="D251" s="320" t="n"/>
      <c r="E251" s="320" t="n"/>
      <c r="F251" s="320" t="n"/>
      <c r="G251" s="284">
        <f>IFERROR((D251-F251)/C251*100,"")</f>
        <v/>
      </c>
      <c r="H251" s="324" t="n"/>
      <c r="I251" s="320" t="n"/>
      <c r="J251" s="325">
        <f>IF(COUNTA(A251:F251)=0,"",IF(OR(C251&lt;0,D251&lt;0,E251&lt;0,F251&lt;0),"ERRO: valor negativo",IF(C251&lt;&gt;SUM(D251:F251),"ERRO: categorias diferem dos respondentes",IF(COUNTIFS($A$5:$A$1200,A251,$B$5:$B$1200,B251)&gt;1,"ERRO: período e curso duplicados","OK"))))</f>
        <v/>
      </c>
    </row>
    <row r="252" ht="15" customHeight="1" s="131">
      <c r="A252" s="320" t="n"/>
      <c r="B252" s="323" t="n"/>
      <c r="C252" s="320" t="n"/>
      <c r="D252" s="320" t="n"/>
      <c r="E252" s="320" t="n"/>
      <c r="F252" s="320" t="n"/>
      <c r="G252" s="284">
        <f>IFERROR((D252-F252)/C252*100,"")</f>
        <v/>
      </c>
      <c r="H252" s="324" t="n"/>
      <c r="I252" s="320" t="n"/>
      <c r="J252" s="325">
        <f>IF(COUNTA(A252:F252)=0,"",IF(OR(C252&lt;0,D252&lt;0,E252&lt;0,F252&lt;0),"ERRO: valor negativo",IF(C252&lt;&gt;SUM(D252:F252),"ERRO: categorias diferem dos respondentes",IF(COUNTIFS($A$5:$A$1200,A252,$B$5:$B$1200,B252)&gt;1,"ERRO: período e curso duplicados","OK"))))</f>
        <v/>
      </c>
    </row>
    <row r="253" ht="15" customHeight="1" s="131">
      <c r="A253" s="320" t="n"/>
      <c r="B253" s="323" t="n"/>
      <c r="C253" s="320" t="n"/>
      <c r="D253" s="320" t="n"/>
      <c r="E253" s="320" t="n"/>
      <c r="F253" s="320" t="n"/>
      <c r="G253" s="284">
        <f>IFERROR((D253-F253)/C253*100,"")</f>
        <v/>
      </c>
      <c r="H253" s="324" t="n"/>
      <c r="I253" s="320" t="n"/>
      <c r="J253" s="325">
        <f>IF(COUNTA(A253:F253)=0,"",IF(OR(C253&lt;0,D253&lt;0,E253&lt;0,F253&lt;0),"ERRO: valor negativo",IF(C253&lt;&gt;SUM(D253:F253),"ERRO: categorias diferem dos respondentes",IF(COUNTIFS($A$5:$A$1200,A253,$B$5:$B$1200,B253)&gt;1,"ERRO: período e curso duplicados","OK"))))</f>
        <v/>
      </c>
    </row>
    <row r="254" ht="15" customHeight="1" s="131">
      <c r="A254" s="320" t="n"/>
      <c r="B254" s="323" t="n"/>
      <c r="C254" s="320" t="n"/>
      <c r="D254" s="320" t="n"/>
      <c r="E254" s="320" t="n"/>
      <c r="F254" s="320" t="n"/>
      <c r="G254" s="284">
        <f>IFERROR((D254-F254)/C254*100,"")</f>
        <v/>
      </c>
      <c r="H254" s="324" t="n"/>
      <c r="I254" s="320" t="n"/>
      <c r="J254" s="325">
        <f>IF(COUNTA(A254:F254)=0,"",IF(OR(C254&lt;0,D254&lt;0,E254&lt;0,F254&lt;0),"ERRO: valor negativo",IF(C254&lt;&gt;SUM(D254:F254),"ERRO: categorias diferem dos respondentes",IF(COUNTIFS($A$5:$A$1200,A254,$B$5:$B$1200,B254)&gt;1,"ERRO: período e curso duplicados","OK"))))</f>
        <v/>
      </c>
    </row>
    <row r="255" ht="15" customHeight="1" s="131">
      <c r="A255" s="320" t="n"/>
      <c r="B255" s="323" t="n"/>
      <c r="C255" s="320" t="n"/>
      <c r="D255" s="320" t="n"/>
      <c r="E255" s="320" t="n"/>
      <c r="F255" s="320" t="n"/>
      <c r="G255" s="284">
        <f>IFERROR((D255-F255)/C255*100,"")</f>
        <v/>
      </c>
      <c r="H255" s="324" t="n"/>
      <c r="I255" s="320" t="n"/>
      <c r="J255" s="325">
        <f>IF(COUNTA(A255:F255)=0,"",IF(OR(C255&lt;0,D255&lt;0,E255&lt;0,F255&lt;0),"ERRO: valor negativo",IF(C255&lt;&gt;SUM(D255:F255),"ERRO: categorias diferem dos respondentes",IF(COUNTIFS($A$5:$A$1200,A255,$B$5:$B$1200,B255)&gt;1,"ERRO: período e curso duplicados","OK"))))</f>
        <v/>
      </c>
    </row>
    <row r="256" ht="15" customHeight="1" s="131">
      <c r="A256" s="320" t="n"/>
      <c r="B256" s="323" t="n"/>
      <c r="C256" s="320" t="n"/>
      <c r="D256" s="320" t="n"/>
      <c r="E256" s="320" t="n"/>
      <c r="F256" s="320" t="n"/>
      <c r="G256" s="284">
        <f>IFERROR((D256-F256)/C256*100,"")</f>
        <v/>
      </c>
      <c r="H256" s="324" t="n"/>
      <c r="I256" s="320" t="n"/>
      <c r="J256" s="325">
        <f>IF(COUNTA(A256:F256)=0,"",IF(OR(C256&lt;0,D256&lt;0,E256&lt;0,F256&lt;0),"ERRO: valor negativo",IF(C256&lt;&gt;SUM(D256:F256),"ERRO: categorias diferem dos respondentes",IF(COUNTIFS($A$5:$A$1200,A256,$B$5:$B$1200,B256)&gt;1,"ERRO: período e curso duplicados","OK"))))</f>
        <v/>
      </c>
    </row>
    <row r="257" ht="15" customHeight="1" s="131">
      <c r="A257" s="320" t="n"/>
      <c r="B257" s="323" t="n"/>
      <c r="C257" s="320" t="n"/>
      <c r="D257" s="320" t="n"/>
      <c r="E257" s="320" t="n"/>
      <c r="F257" s="320" t="n"/>
      <c r="G257" s="284">
        <f>IFERROR((D257-F257)/C257*100,"")</f>
        <v/>
      </c>
      <c r="H257" s="324" t="n"/>
      <c r="I257" s="320" t="n"/>
      <c r="J257" s="325">
        <f>IF(COUNTA(A257:F257)=0,"",IF(OR(C257&lt;0,D257&lt;0,E257&lt;0,F257&lt;0),"ERRO: valor negativo",IF(C257&lt;&gt;SUM(D257:F257),"ERRO: categorias diferem dos respondentes",IF(COUNTIFS($A$5:$A$1200,A257,$B$5:$B$1200,B257)&gt;1,"ERRO: período e curso duplicados","OK"))))</f>
        <v/>
      </c>
    </row>
    <row r="258" ht="15" customHeight="1" s="131">
      <c r="A258" s="320" t="n"/>
      <c r="B258" s="323" t="n"/>
      <c r="C258" s="320" t="n"/>
      <c r="D258" s="320" t="n"/>
      <c r="E258" s="320" t="n"/>
      <c r="F258" s="320" t="n"/>
      <c r="G258" s="284">
        <f>IFERROR((D258-F258)/C258*100,"")</f>
        <v/>
      </c>
      <c r="H258" s="324" t="n"/>
      <c r="I258" s="320" t="n"/>
      <c r="J258" s="325">
        <f>IF(COUNTA(A258:F258)=0,"",IF(OR(C258&lt;0,D258&lt;0,E258&lt;0,F258&lt;0),"ERRO: valor negativo",IF(C258&lt;&gt;SUM(D258:F258),"ERRO: categorias diferem dos respondentes",IF(COUNTIFS($A$5:$A$1200,A258,$B$5:$B$1200,B258)&gt;1,"ERRO: período e curso duplicados","OK"))))</f>
        <v/>
      </c>
    </row>
    <row r="259" ht="15" customHeight="1" s="131">
      <c r="A259" s="320" t="n"/>
      <c r="B259" s="323" t="n"/>
      <c r="C259" s="320" t="n"/>
      <c r="D259" s="320" t="n"/>
      <c r="E259" s="320" t="n"/>
      <c r="F259" s="320" t="n"/>
      <c r="G259" s="284">
        <f>IFERROR((D259-F259)/C259*100,"")</f>
        <v/>
      </c>
      <c r="H259" s="324" t="n"/>
      <c r="I259" s="320" t="n"/>
      <c r="J259" s="325">
        <f>IF(COUNTA(A259:F259)=0,"",IF(OR(C259&lt;0,D259&lt;0,E259&lt;0,F259&lt;0),"ERRO: valor negativo",IF(C259&lt;&gt;SUM(D259:F259),"ERRO: categorias diferem dos respondentes",IF(COUNTIFS($A$5:$A$1200,A259,$B$5:$B$1200,B259)&gt;1,"ERRO: período e curso duplicados","OK"))))</f>
        <v/>
      </c>
    </row>
    <row r="260" ht="15" customHeight="1" s="131">
      <c r="A260" s="320" t="n"/>
      <c r="B260" s="323" t="n"/>
      <c r="C260" s="320" t="n"/>
      <c r="D260" s="320" t="n"/>
      <c r="E260" s="320" t="n"/>
      <c r="F260" s="320" t="n"/>
      <c r="G260" s="284">
        <f>IFERROR((D260-F260)/C260*100,"")</f>
        <v/>
      </c>
      <c r="H260" s="324" t="n"/>
      <c r="I260" s="320" t="n"/>
      <c r="J260" s="325">
        <f>IF(COUNTA(A260:F260)=0,"",IF(OR(C260&lt;0,D260&lt;0,E260&lt;0,F260&lt;0),"ERRO: valor negativo",IF(C260&lt;&gt;SUM(D260:F260),"ERRO: categorias diferem dos respondentes",IF(COUNTIFS($A$5:$A$1200,A260,$B$5:$B$1200,B260)&gt;1,"ERRO: período e curso duplicados","OK"))))</f>
        <v/>
      </c>
    </row>
    <row r="261" ht="15" customHeight="1" s="131">
      <c r="A261" s="320" t="n"/>
      <c r="B261" s="323" t="n"/>
      <c r="C261" s="320" t="n"/>
      <c r="D261" s="320" t="n"/>
      <c r="E261" s="320" t="n"/>
      <c r="F261" s="320" t="n"/>
      <c r="G261" s="284">
        <f>IFERROR((D261-F261)/C261*100,"")</f>
        <v/>
      </c>
      <c r="H261" s="324" t="n"/>
      <c r="I261" s="320" t="n"/>
      <c r="J261" s="325">
        <f>IF(COUNTA(A261:F261)=0,"",IF(OR(C261&lt;0,D261&lt;0,E261&lt;0,F261&lt;0),"ERRO: valor negativo",IF(C261&lt;&gt;SUM(D261:F261),"ERRO: categorias diferem dos respondentes",IF(COUNTIFS($A$5:$A$1200,A261,$B$5:$B$1200,B261)&gt;1,"ERRO: período e curso duplicados","OK"))))</f>
        <v/>
      </c>
    </row>
    <row r="262" ht="15" customHeight="1" s="131">
      <c r="A262" s="320" t="n"/>
      <c r="B262" s="323" t="n"/>
      <c r="C262" s="320" t="n"/>
      <c r="D262" s="320" t="n"/>
      <c r="E262" s="320" t="n"/>
      <c r="F262" s="320" t="n"/>
      <c r="G262" s="284">
        <f>IFERROR((D262-F262)/C262*100,"")</f>
        <v/>
      </c>
      <c r="H262" s="324" t="n"/>
      <c r="I262" s="320" t="n"/>
      <c r="J262" s="325">
        <f>IF(COUNTA(A262:F262)=0,"",IF(OR(C262&lt;0,D262&lt;0,E262&lt;0,F262&lt;0),"ERRO: valor negativo",IF(C262&lt;&gt;SUM(D262:F262),"ERRO: categorias diferem dos respondentes",IF(COUNTIFS($A$5:$A$1200,A262,$B$5:$B$1200,B262)&gt;1,"ERRO: período e curso duplicados","OK"))))</f>
        <v/>
      </c>
    </row>
    <row r="263" ht="15" customHeight="1" s="131">
      <c r="A263" s="320" t="n"/>
      <c r="B263" s="323" t="n"/>
      <c r="C263" s="320" t="n"/>
      <c r="D263" s="320" t="n"/>
      <c r="E263" s="320" t="n"/>
      <c r="F263" s="320" t="n"/>
      <c r="G263" s="284">
        <f>IFERROR((D263-F263)/C263*100,"")</f>
        <v/>
      </c>
      <c r="H263" s="324" t="n"/>
      <c r="I263" s="320" t="n"/>
      <c r="J263" s="325">
        <f>IF(COUNTA(A263:F263)=0,"",IF(OR(C263&lt;0,D263&lt;0,E263&lt;0,F263&lt;0),"ERRO: valor negativo",IF(C263&lt;&gt;SUM(D263:F263),"ERRO: categorias diferem dos respondentes",IF(COUNTIFS($A$5:$A$1200,A263,$B$5:$B$1200,B263)&gt;1,"ERRO: período e curso duplicados","OK"))))</f>
        <v/>
      </c>
    </row>
    <row r="264" ht="15" customHeight="1" s="131">
      <c r="A264" s="320" t="n"/>
      <c r="B264" s="323" t="n"/>
      <c r="C264" s="320" t="n"/>
      <c r="D264" s="320" t="n"/>
      <c r="E264" s="320" t="n"/>
      <c r="F264" s="320" t="n"/>
      <c r="G264" s="284">
        <f>IFERROR((D264-F264)/C264*100,"")</f>
        <v/>
      </c>
      <c r="H264" s="324" t="n"/>
      <c r="I264" s="320" t="n"/>
      <c r="J264" s="325">
        <f>IF(COUNTA(A264:F264)=0,"",IF(OR(C264&lt;0,D264&lt;0,E264&lt;0,F264&lt;0),"ERRO: valor negativo",IF(C264&lt;&gt;SUM(D264:F264),"ERRO: categorias diferem dos respondentes",IF(COUNTIFS($A$5:$A$1200,A264,$B$5:$B$1200,B264)&gt;1,"ERRO: período e curso duplicados","OK"))))</f>
        <v/>
      </c>
    </row>
    <row r="265" ht="15" customHeight="1" s="131">
      <c r="A265" s="320" t="n"/>
      <c r="B265" s="323" t="n"/>
      <c r="C265" s="320" t="n"/>
      <c r="D265" s="320" t="n"/>
      <c r="E265" s="320" t="n"/>
      <c r="F265" s="320" t="n"/>
      <c r="G265" s="284">
        <f>IFERROR((D265-F265)/C265*100,"")</f>
        <v/>
      </c>
      <c r="H265" s="324" t="n"/>
      <c r="I265" s="320" t="n"/>
      <c r="J265" s="325">
        <f>IF(COUNTA(A265:F265)=0,"",IF(OR(C265&lt;0,D265&lt;0,E265&lt;0,F265&lt;0),"ERRO: valor negativo",IF(C265&lt;&gt;SUM(D265:F265),"ERRO: categorias diferem dos respondentes",IF(COUNTIFS($A$5:$A$1200,A265,$B$5:$B$1200,B265)&gt;1,"ERRO: período e curso duplicados","OK"))))</f>
        <v/>
      </c>
    </row>
    <row r="266" ht="15" customHeight="1" s="131">
      <c r="A266" s="320" t="n"/>
      <c r="B266" s="323" t="n"/>
      <c r="C266" s="320" t="n"/>
      <c r="D266" s="320" t="n"/>
      <c r="E266" s="320" t="n"/>
      <c r="F266" s="320" t="n"/>
      <c r="G266" s="284">
        <f>IFERROR((D266-F266)/C266*100,"")</f>
        <v/>
      </c>
      <c r="H266" s="324" t="n"/>
      <c r="I266" s="320" t="n"/>
      <c r="J266" s="325">
        <f>IF(COUNTA(A266:F266)=0,"",IF(OR(C266&lt;0,D266&lt;0,E266&lt;0,F266&lt;0),"ERRO: valor negativo",IF(C266&lt;&gt;SUM(D266:F266),"ERRO: categorias diferem dos respondentes",IF(COUNTIFS($A$5:$A$1200,A266,$B$5:$B$1200,B266)&gt;1,"ERRO: período e curso duplicados","OK"))))</f>
        <v/>
      </c>
    </row>
    <row r="267" ht="15" customHeight="1" s="131">
      <c r="A267" s="320" t="n"/>
      <c r="B267" s="323" t="n"/>
      <c r="C267" s="320" t="n"/>
      <c r="D267" s="320" t="n"/>
      <c r="E267" s="320" t="n"/>
      <c r="F267" s="320" t="n"/>
      <c r="G267" s="284">
        <f>IFERROR((D267-F267)/C267*100,"")</f>
        <v/>
      </c>
      <c r="H267" s="324" t="n"/>
      <c r="I267" s="320" t="n"/>
      <c r="J267" s="325">
        <f>IF(COUNTA(A267:F267)=0,"",IF(OR(C267&lt;0,D267&lt;0,E267&lt;0,F267&lt;0),"ERRO: valor negativo",IF(C267&lt;&gt;SUM(D267:F267),"ERRO: categorias diferem dos respondentes",IF(COUNTIFS($A$5:$A$1200,A267,$B$5:$B$1200,B267)&gt;1,"ERRO: período e curso duplicados","OK"))))</f>
        <v/>
      </c>
    </row>
    <row r="268" ht="15" customHeight="1" s="131">
      <c r="A268" s="320" t="n"/>
      <c r="B268" s="323" t="n"/>
      <c r="C268" s="320" t="n"/>
      <c r="D268" s="320" t="n"/>
      <c r="E268" s="320" t="n"/>
      <c r="F268" s="320" t="n"/>
      <c r="G268" s="284">
        <f>IFERROR((D268-F268)/C268*100,"")</f>
        <v/>
      </c>
      <c r="H268" s="324" t="n"/>
      <c r="I268" s="320" t="n"/>
      <c r="J268" s="325">
        <f>IF(COUNTA(A268:F268)=0,"",IF(OR(C268&lt;0,D268&lt;0,E268&lt;0,F268&lt;0),"ERRO: valor negativo",IF(C268&lt;&gt;SUM(D268:F268),"ERRO: categorias diferem dos respondentes",IF(COUNTIFS($A$5:$A$1200,A268,$B$5:$B$1200,B268)&gt;1,"ERRO: período e curso duplicados","OK"))))</f>
        <v/>
      </c>
    </row>
    <row r="269" ht="15" customHeight="1" s="131">
      <c r="A269" s="320" t="n"/>
      <c r="B269" s="323" t="n"/>
      <c r="C269" s="320" t="n"/>
      <c r="D269" s="320" t="n"/>
      <c r="E269" s="320" t="n"/>
      <c r="F269" s="320" t="n"/>
      <c r="G269" s="284">
        <f>IFERROR((D269-F269)/C269*100,"")</f>
        <v/>
      </c>
      <c r="H269" s="324" t="n"/>
      <c r="I269" s="320" t="n"/>
      <c r="J269" s="325">
        <f>IF(COUNTA(A269:F269)=0,"",IF(OR(C269&lt;0,D269&lt;0,E269&lt;0,F269&lt;0),"ERRO: valor negativo",IF(C269&lt;&gt;SUM(D269:F269),"ERRO: categorias diferem dos respondentes",IF(COUNTIFS($A$5:$A$1200,A269,$B$5:$B$1200,B269)&gt;1,"ERRO: período e curso duplicados","OK"))))</f>
        <v/>
      </c>
    </row>
    <row r="270" ht="15" customHeight="1" s="131">
      <c r="A270" s="320" t="n"/>
      <c r="B270" s="323" t="n"/>
      <c r="C270" s="320" t="n"/>
      <c r="D270" s="320" t="n"/>
      <c r="E270" s="320" t="n"/>
      <c r="F270" s="320" t="n"/>
      <c r="G270" s="284">
        <f>IFERROR((D270-F270)/C270*100,"")</f>
        <v/>
      </c>
      <c r="H270" s="324" t="n"/>
      <c r="I270" s="320" t="n"/>
      <c r="J270" s="325">
        <f>IF(COUNTA(A270:F270)=0,"",IF(OR(C270&lt;0,D270&lt;0,E270&lt;0,F270&lt;0),"ERRO: valor negativo",IF(C270&lt;&gt;SUM(D270:F270),"ERRO: categorias diferem dos respondentes",IF(COUNTIFS($A$5:$A$1200,A270,$B$5:$B$1200,B270)&gt;1,"ERRO: período e curso duplicados","OK"))))</f>
        <v/>
      </c>
    </row>
    <row r="271" ht="15" customHeight="1" s="131">
      <c r="A271" s="320" t="n"/>
      <c r="B271" s="323" t="n"/>
      <c r="C271" s="320" t="n"/>
      <c r="D271" s="320" t="n"/>
      <c r="E271" s="320" t="n"/>
      <c r="F271" s="320" t="n"/>
      <c r="G271" s="284">
        <f>IFERROR((D271-F271)/C271*100,"")</f>
        <v/>
      </c>
      <c r="H271" s="324" t="n"/>
      <c r="I271" s="320" t="n"/>
      <c r="J271" s="325">
        <f>IF(COUNTA(A271:F271)=0,"",IF(OR(C271&lt;0,D271&lt;0,E271&lt;0,F271&lt;0),"ERRO: valor negativo",IF(C271&lt;&gt;SUM(D271:F271),"ERRO: categorias diferem dos respondentes",IF(COUNTIFS($A$5:$A$1200,A271,$B$5:$B$1200,B271)&gt;1,"ERRO: período e curso duplicados","OK"))))</f>
        <v/>
      </c>
    </row>
    <row r="272" ht="15" customHeight="1" s="131">
      <c r="A272" s="320" t="n"/>
      <c r="B272" s="323" t="n"/>
      <c r="C272" s="320" t="n"/>
      <c r="D272" s="320" t="n"/>
      <c r="E272" s="320" t="n"/>
      <c r="F272" s="320" t="n"/>
      <c r="G272" s="284">
        <f>IFERROR((D272-F272)/C272*100,"")</f>
        <v/>
      </c>
      <c r="H272" s="324" t="n"/>
      <c r="I272" s="320" t="n"/>
      <c r="J272" s="325">
        <f>IF(COUNTA(A272:F272)=0,"",IF(OR(C272&lt;0,D272&lt;0,E272&lt;0,F272&lt;0),"ERRO: valor negativo",IF(C272&lt;&gt;SUM(D272:F272),"ERRO: categorias diferem dos respondentes",IF(COUNTIFS($A$5:$A$1200,A272,$B$5:$B$1200,B272)&gt;1,"ERRO: período e curso duplicados","OK"))))</f>
        <v/>
      </c>
    </row>
    <row r="273" ht="15" customHeight="1" s="131">
      <c r="A273" s="320" t="n"/>
      <c r="B273" s="323" t="n"/>
      <c r="C273" s="320" t="n"/>
      <c r="D273" s="320" t="n"/>
      <c r="E273" s="320" t="n"/>
      <c r="F273" s="320" t="n"/>
      <c r="G273" s="284">
        <f>IFERROR((D273-F273)/C273*100,"")</f>
        <v/>
      </c>
      <c r="H273" s="324" t="n"/>
      <c r="I273" s="320" t="n"/>
      <c r="J273" s="325">
        <f>IF(COUNTA(A273:F273)=0,"",IF(OR(C273&lt;0,D273&lt;0,E273&lt;0,F273&lt;0),"ERRO: valor negativo",IF(C273&lt;&gt;SUM(D273:F273),"ERRO: categorias diferem dos respondentes",IF(COUNTIFS($A$5:$A$1200,A273,$B$5:$B$1200,B273)&gt;1,"ERRO: período e curso duplicados","OK"))))</f>
        <v/>
      </c>
    </row>
    <row r="274" ht="15" customHeight="1" s="131">
      <c r="A274" s="320" t="n"/>
      <c r="B274" s="323" t="n"/>
      <c r="C274" s="320" t="n"/>
      <c r="D274" s="320" t="n"/>
      <c r="E274" s="320" t="n"/>
      <c r="F274" s="320" t="n"/>
      <c r="G274" s="284">
        <f>IFERROR((D274-F274)/C274*100,"")</f>
        <v/>
      </c>
      <c r="H274" s="324" t="n"/>
      <c r="I274" s="320" t="n"/>
      <c r="J274" s="325">
        <f>IF(COUNTA(A274:F274)=0,"",IF(OR(C274&lt;0,D274&lt;0,E274&lt;0,F274&lt;0),"ERRO: valor negativo",IF(C274&lt;&gt;SUM(D274:F274),"ERRO: categorias diferem dos respondentes",IF(COUNTIFS($A$5:$A$1200,A274,$B$5:$B$1200,B274)&gt;1,"ERRO: período e curso duplicados","OK"))))</f>
        <v/>
      </c>
    </row>
    <row r="275" ht="15" customHeight="1" s="131">
      <c r="A275" s="320" t="n"/>
      <c r="B275" s="323" t="n"/>
      <c r="C275" s="320" t="n"/>
      <c r="D275" s="320" t="n"/>
      <c r="E275" s="320" t="n"/>
      <c r="F275" s="320" t="n"/>
      <c r="G275" s="284">
        <f>IFERROR((D275-F275)/C275*100,"")</f>
        <v/>
      </c>
      <c r="H275" s="324" t="n"/>
      <c r="I275" s="320" t="n"/>
      <c r="J275" s="325">
        <f>IF(COUNTA(A275:F275)=0,"",IF(OR(C275&lt;0,D275&lt;0,E275&lt;0,F275&lt;0),"ERRO: valor negativo",IF(C275&lt;&gt;SUM(D275:F275),"ERRO: categorias diferem dos respondentes",IF(COUNTIFS($A$5:$A$1200,A275,$B$5:$B$1200,B275)&gt;1,"ERRO: período e curso duplicados","OK"))))</f>
        <v/>
      </c>
    </row>
    <row r="276" ht="15" customHeight="1" s="131">
      <c r="A276" s="320" t="n"/>
      <c r="B276" s="323" t="n"/>
      <c r="C276" s="320" t="n"/>
      <c r="D276" s="320" t="n"/>
      <c r="E276" s="320" t="n"/>
      <c r="F276" s="320" t="n"/>
      <c r="G276" s="284">
        <f>IFERROR((D276-F276)/C276*100,"")</f>
        <v/>
      </c>
      <c r="H276" s="324" t="n"/>
      <c r="I276" s="320" t="n"/>
      <c r="J276" s="325">
        <f>IF(COUNTA(A276:F276)=0,"",IF(OR(C276&lt;0,D276&lt;0,E276&lt;0,F276&lt;0),"ERRO: valor negativo",IF(C276&lt;&gt;SUM(D276:F276),"ERRO: categorias diferem dos respondentes",IF(COUNTIFS($A$5:$A$1200,A276,$B$5:$B$1200,B276)&gt;1,"ERRO: período e curso duplicados","OK"))))</f>
        <v/>
      </c>
    </row>
    <row r="277" ht="15" customHeight="1" s="131">
      <c r="A277" s="320" t="n"/>
      <c r="B277" s="323" t="n"/>
      <c r="C277" s="320" t="n"/>
      <c r="D277" s="320" t="n"/>
      <c r="E277" s="320" t="n"/>
      <c r="F277" s="320" t="n"/>
      <c r="G277" s="284">
        <f>IFERROR((D277-F277)/C277*100,"")</f>
        <v/>
      </c>
      <c r="H277" s="324" t="n"/>
      <c r="I277" s="320" t="n"/>
      <c r="J277" s="325">
        <f>IF(COUNTA(A277:F277)=0,"",IF(OR(C277&lt;0,D277&lt;0,E277&lt;0,F277&lt;0),"ERRO: valor negativo",IF(C277&lt;&gt;SUM(D277:F277),"ERRO: categorias diferem dos respondentes",IF(COUNTIFS($A$5:$A$1200,A277,$B$5:$B$1200,B277)&gt;1,"ERRO: período e curso duplicados","OK"))))</f>
        <v/>
      </c>
    </row>
    <row r="278" ht="15" customHeight="1" s="131">
      <c r="A278" s="320" t="n"/>
      <c r="B278" s="323" t="n"/>
      <c r="C278" s="320" t="n"/>
      <c r="D278" s="320" t="n"/>
      <c r="E278" s="320" t="n"/>
      <c r="F278" s="320" t="n"/>
      <c r="G278" s="284">
        <f>IFERROR((D278-F278)/C278*100,"")</f>
        <v/>
      </c>
      <c r="H278" s="324" t="n"/>
      <c r="I278" s="320" t="n"/>
      <c r="J278" s="325">
        <f>IF(COUNTA(A278:F278)=0,"",IF(OR(C278&lt;0,D278&lt;0,E278&lt;0,F278&lt;0),"ERRO: valor negativo",IF(C278&lt;&gt;SUM(D278:F278),"ERRO: categorias diferem dos respondentes",IF(COUNTIFS($A$5:$A$1200,A278,$B$5:$B$1200,B278)&gt;1,"ERRO: período e curso duplicados","OK"))))</f>
        <v/>
      </c>
    </row>
    <row r="279" ht="15" customHeight="1" s="131">
      <c r="A279" s="320" t="n"/>
      <c r="B279" s="323" t="n"/>
      <c r="C279" s="320" t="n"/>
      <c r="D279" s="320" t="n"/>
      <c r="E279" s="320" t="n"/>
      <c r="F279" s="320" t="n"/>
      <c r="G279" s="284">
        <f>IFERROR((D279-F279)/C279*100,"")</f>
        <v/>
      </c>
      <c r="H279" s="324" t="n"/>
      <c r="I279" s="320" t="n"/>
      <c r="J279" s="325">
        <f>IF(COUNTA(A279:F279)=0,"",IF(OR(C279&lt;0,D279&lt;0,E279&lt;0,F279&lt;0),"ERRO: valor negativo",IF(C279&lt;&gt;SUM(D279:F279),"ERRO: categorias diferem dos respondentes",IF(COUNTIFS($A$5:$A$1200,A279,$B$5:$B$1200,B279)&gt;1,"ERRO: período e curso duplicados","OK"))))</f>
        <v/>
      </c>
    </row>
    <row r="280" ht="15" customHeight="1" s="131">
      <c r="A280" s="320" t="n"/>
      <c r="B280" s="323" t="n"/>
      <c r="C280" s="320" t="n"/>
      <c r="D280" s="320" t="n"/>
      <c r="E280" s="320" t="n"/>
      <c r="F280" s="320" t="n"/>
      <c r="G280" s="284">
        <f>IFERROR((D280-F280)/C280*100,"")</f>
        <v/>
      </c>
      <c r="H280" s="324" t="n"/>
      <c r="I280" s="320" t="n"/>
      <c r="J280" s="325">
        <f>IF(COUNTA(A280:F280)=0,"",IF(OR(C280&lt;0,D280&lt;0,E280&lt;0,F280&lt;0),"ERRO: valor negativo",IF(C280&lt;&gt;SUM(D280:F280),"ERRO: categorias diferem dos respondentes",IF(COUNTIFS($A$5:$A$1200,A280,$B$5:$B$1200,B280)&gt;1,"ERRO: período e curso duplicados","OK"))))</f>
        <v/>
      </c>
    </row>
    <row r="281" ht="15" customHeight="1" s="131">
      <c r="A281" s="320" t="n"/>
      <c r="B281" s="323" t="n"/>
      <c r="C281" s="320" t="n"/>
      <c r="D281" s="320" t="n"/>
      <c r="E281" s="320" t="n"/>
      <c r="F281" s="320" t="n"/>
      <c r="G281" s="284">
        <f>IFERROR((D281-F281)/C281*100,"")</f>
        <v/>
      </c>
      <c r="H281" s="324" t="n"/>
      <c r="I281" s="320" t="n"/>
      <c r="J281" s="325">
        <f>IF(COUNTA(A281:F281)=0,"",IF(OR(C281&lt;0,D281&lt;0,E281&lt;0,F281&lt;0),"ERRO: valor negativo",IF(C281&lt;&gt;SUM(D281:F281),"ERRO: categorias diferem dos respondentes",IF(COUNTIFS($A$5:$A$1200,A281,$B$5:$B$1200,B281)&gt;1,"ERRO: período e curso duplicados","OK"))))</f>
        <v/>
      </c>
    </row>
    <row r="282" ht="15" customHeight="1" s="131">
      <c r="A282" s="320" t="n"/>
      <c r="B282" s="323" t="n"/>
      <c r="C282" s="320" t="n"/>
      <c r="D282" s="320" t="n"/>
      <c r="E282" s="320" t="n"/>
      <c r="F282" s="320" t="n"/>
      <c r="G282" s="284">
        <f>IFERROR((D282-F282)/C282*100,"")</f>
        <v/>
      </c>
      <c r="H282" s="324" t="n"/>
      <c r="I282" s="320" t="n"/>
      <c r="J282" s="325">
        <f>IF(COUNTA(A282:F282)=0,"",IF(OR(C282&lt;0,D282&lt;0,E282&lt;0,F282&lt;0),"ERRO: valor negativo",IF(C282&lt;&gt;SUM(D282:F282),"ERRO: categorias diferem dos respondentes",IF(COUNTIFS($A$5:$A$1200,A282,$B$5:$B$1200,B282)&gt;1,"ERRO: período e curso duplicados","OK"))))</f>
        <v/>
      </c>
    </row>
    <row r="283" ht="15" customHeight="1" s="131">
      <c r="A283" s="320" t="n"/>
      <c r="B283" s="323" t="n"/>
      <c r="C283" s="320" t="n"/>
      <c r="D283" s="320" t="n"/>
      <c r="E283" s="320" t="n"/>
      <c r="F283" s="320" t="n"/>
      <c r="G283" s="284">
        <f>IFERROR((D283-F283)/C283*100,"")</f>
        <v/>
      </c>
      <c r="H283" s="324" t="n"/>
      <c r="I283" s="320" t="n"/>
      <c r="J283" s="325">
        <f>IF(COUNTA(A283:F283)=0,"",IF(OR(C283&lt;0,D283&lt;0,E283&lt;0,F283&lt;0),"ERRO: valor negativo",IF(C283&lt;&gt;SUM(D283:F283),"ERRO: categorias diferem dos respondentes",IF(COUNTIFS($A$5:$A$1200,A283,$B$5:$B$1200,B283)&gt;1,"ERRO: período e curso duplicados","OK"))))</f>
        <v/>
      </c>
    </row>
    <row r="284" ht="15" customHeight="1" s="131">
      <c r="A284" s="320" t="n"/>
      <c r="B284" s="323" t="n"/>
      <c r="C284" s="320" t="n"/>
      <c r="D284" s="320" t="n"/>
      <c r="E284" s="320" t="n"/>
      <c r="F284" s="320" t="n"/>
      <c r="G284" s="284">
        <f>IFERROR((D284-F284)/C284*100,"")</f>
        <v/>
      </c>
      <c r="H284" s="324" t="n"/>
      <c r="I284" s="320" t="n"/>
      <c r="J284" s="325">
        <f>IF(COUNTA(A284:F284)=0,"",IF(OR(C284&lt;0,D284&lt;0,E284&lt;0,F284&lt;0),"ERRO: valor negativo",IF(C284&lt;&gt;SUM(D284:F284),"ERRO: categorias diferem dos respondentes",IF(COUNTIFS($A$5:$A$1200,A284,$B$5:$B$1200,B284)&gt;1,"ERRO: período e curso duplicados","OK"))))</f>
        <v/>
      </c>
    </row>
    <row r="285" ht="15" customHeight="1" s="131">
      <c r="A285" s="320" t="n"/>
      <c r="B285" s="323" t="n"/>
      <c r="C285" s="320" t="n"/>
      <c r="D285" s="320" t="n"/>
      <c r="E285" s="320" t="n"/>
      <c r="F285" s="320" t="n"/>
      <c r="G285" s="284">
        <f>IFERROR((D285-F285)/C285*100,"")</f>
        <v/>
      </c>
      <c r="H285" s="324" t="n"/>
      <c r="I285" s="320" t="n"/>
      <c r="J285" s="325">
        <f>IF(COUNTA(A285:F285)=0,"",IF(OR(C285&lt;0,D285&lt;0,E285&lt;0,F285&lt;0),"ERRO: valor negativo",IF(C285&lt;&gt;SUM(D285:F285),"ERRO: categorias diferem dos respondentes",IF(COUNTIFS($A$5:$A$1200,A285,$B$5:$B$1200,B285)&gt;1,"ERRO: período e curso duplicados","OK"))))</f>
        <v/>
      </c>
    </row>
    <row r="286" ht="15" customHeight="1" s="131">
      <c r="A286" s="320" t="n"/>
      <c r="B286" s="323" t="n"/>
      <c r="C286" s="320" t="n"/>
      <c r="D286" s="320" t="n"/>
      <c r="E286" s="320" t="n"/>
      <c r="F286" s="320" t="n"/>
      <c r="G286" s="284">
        <f>IFERROR((D286-F286)/C286*100,"")</f>
        <v/>
      </c>
      <c r="H286" s="324" t="n"/>
      <c r="I286" s="320" t="n"/>
      <c r="J286" s="325">
        <f>IF(COUNTA(A286:F286)=0,"",IF(OR(C286&lt;0,D286&lt;0,E286&lt;0,F286&lt;0),"ERRO: valor negativo",IF(C286&lt;&gt;SUM(D286:F286),"ERRO: categorias diferem dos respondentes",IF(COUNTIFS($A$5:$A$1200,A286,$B$5:$B$1200,B286)&gt;1,"ERRO: período e curso duplicados","OK"))))</f>
        <v/>
      </c>
    </row>
    <row r="287" ht="15" customHeight="1" s="131">
      <c r="A287" s="320" t="n"/>
      <c r="B287" s="323" t="n"/>
      <c r="C287" s="320" t="n"/>
      <c r="D287" s="320" t="n"/>
      <c r="E287" s="320" t="n"/>
      <c r="F287" s="320" t="n"/>
      <c r="G287" s="284">
        <f>IFERROR((D287-F287)/C287*100,"")</f>
        <v/>
      </c>
      <c r="H287" s="324" t="n"/>
      <c r="I287" s="320" t="n"/>
      <c r="J287" s="325">
        <f>IF(COUNTA(A287:F287)=0,"",IF(OR(C287&lt;0,D287&lt;0,E287&lt;0,F287&lt;0),"ERRO: valor negativo",IF(C287&lt;&gt;SUM(D287:F287),"ERRO: categorias diferem dos respondentes",IF(COUNTIFS($A$5:$A$1200,A287,$B$5:$B$1200,B287)&gt;1,"ERRO: período e curso duplicados","OK"))))</f>
        <v/>
      </c>
    </row>
    <row r="288" ht="15" customHeight="1" s="131">
      <c r="A288" s="320" t="n"/>
      <c r="B288" s="323" t="n"/>
      <c r="C288" s="320" t="n"/>
      <c r="D288" s="320" t="n"/>
      <c r="E288" s="320" t="n"/>
      <c r="F288" s="320" t="n"/>
      <c r="G288" s="284">
        <f>IFERROR((D288-F288)/C288*100,"")</f>
        <v/>
      </c>
      <c r="H288" s="324" t="n"/>
      <c r="I288" s="320" t="n"/>
      <c r="J288" s="325">
        <f>IF(COUNTA(A288:F288)=0,"",IF(OR(C288&lt;0,D288&lt;0,E288&lt;0,F288&lt;0),"ERRO: valor negativo",IF(C288&lt;&gt;SUM(D288:F288),"ERRO: categorias diferem dos respondentes",IF(COUNTIFS($A$5:$A$1200,A288,$B$5:$B$1200,B288)&gt;1,"ERRO: período e curso duplicados","OK"))))</f>
        <v/>
      </c>
    </row>
    <row r="289" ht="15" customHeight="1" s="131">
      <c r="A289" s="320" t="n"/>
      <c r="B289" s="323" t="n"/>
      <c r="C289" s="320" t="n"/>
      <c r="D289" s="320" t="n"/>
      <c r="E289" s="320" t="n"/>
      <c r="F289" s="320" t="n"/>
      <c r="G289" s="284">
        <f>IFERROR((D289-F289)/C289*100,"")</f>
        <v/>
      </c>
      <c r="H289" s="324" t="n"/>
      <c r="I289" s="320" t="n"/>
      <c r="J289" s="325">
        <f>IF(COUNTA(A289:F289)=0,"",IF(OR(C289&lt;0,D289&lt;0,E289&lt;0,F289&lt;0),"ERRO: valor negativo",IF(C289&lt;&gt;SUM(D289:F289),"ERRO: categorias diferem dos respondentes",IF(COUNTIFS($A$5:$A$1200,A289,$B$5:$B$1200,B289)&gt;1,"ERRO: período e curso duplicados","OK"))))</f>
        <v/>
      </c>
    </row>
    <row r="290" ht="15" customHeight="1" s="131">
      <c r="A290" s="320" t="n"/>
      <c r="B290" s="323" t="n"/>
      <c r="C290" s="320" t="n"/>
      <c r="D290" s="320" t="n"/>
      <c r="E290" s="320" t="n"/>
      <c r="F290" s="320" t="n"/>
      <c r="G290" s="284">
        <f>IFERROR((D290-F290)/C290*100,"")</f>
        <v/>
      </c>
      <c r="H290" s="324" t="n"/>
      <c r="I290" s="320" t="n"/>
      <c r="J290" s="325">
        <f>IF(COUNTA(A290:F290)=0,"",IF(OR(C290&lt;0,D290&lt;0,E290&lt;0,F290&lt;0),"ERRO: valor negativo",IF(C290&lt;&gt;SUM(D290:F290),"ERRO: categorias diferem dos respondentes",IF(COUNTIFS($A$5:$A$1200,A290,$B$5:$B$1200,B290)&gt;1,"ERRO: período e curso duplicados","OK"))))</f>
        <v/>
      </c>
    </row>
    <row r="291" ht="15" customHeight="1" s="131">
      <c r="A291" s="320" t="n"/>
      <c r="B291" s="323" t="n"/>
      <c r="C291" s="320" t="n"/>
      <c r="D291" s="320" t="n"/>
      <c r="E291" s="320" t="n"/>
      <c r="F291" s="320" t="n"/>
      <c r="G291" s="284">
        <f>IFERROR((D291-F291)/C291*100,"")</f>
        <v/>
      </c>
      <c r="H291" s="324" t="n"/>
      <c r="I291" s="320" t="n"/>
      <c r="J291" s="325">
        <f>IF(COUNTA(A291:F291)=0,"",IF(OR(C291&lt;0,D291&lt;0,E291&lt;0,F291&lt;0),"ERRO: valor negativo",IF(C291&lt;&gt;SUM(D291:F291),"ERRO: categorias diferem dos respondentes",IF(COUNTIFS($A$5:$A$1200,A291,$B$5:$B$1200,B291)&gt;1,"ERRO: período e curso duplicados","OK"))))</f>
        <v/>
      </c>
    </row>
    <row r="292" ht="15" customHeight="1" s="131">
      <c r="A292" s="320" t="n"/>
      <c r="B292" s="323" t="n"/>
      <c r="C292" s="320" t="n"/>
      <c r="D292" s="320" t="n"/>
      <c r="E292" s="320" t="n"/>
      <c r="F292" s="320" t="n"/>
      <c r="G292" s="284">
        <f>IFERROR((D292-F292)/C292*100,"")</f>
        <v/>
      </c>
      <c r="H292" s="324" t="n"/>
      <c r="I292" s="320" t="n"/>
      <c r="J292" s="325">
        <f>IF(COUNTA(A292:F292)=0,"",IF(OR(C292&lt;0,D292&lt;0,E292&lt;0,F292&lt;0),"ERRO: valor negativo",IF(C292&lt;&gt;SUM(D292:F292),"ERRO: categorias diferem dos respondentes",IF(COUNTIFS($A$5:$A$1200,A292,$B$5:$B$1200,B292)&gt;1,"ERRO: período e curso duplicados","OK"))))</f>
        <v/>
      </c>
    </row>
    <row r="293" ht="15" customHeight="1" s="131">
      <c r="A293" s="320" t="n"/>
      <c r="B293" s="323" t="n"/>
      <c r="C293" s="320" t="n"/>
      <c r="D293" s="320" t="n"/>
      <c r="E293" s="320" t="n"/>
      <c r="F293" s="320" t="n"/>
      <c r="G293" s="284">
        <f>IFERROR((D293-F293)/C293*100,"")</f>
        <v/>
      </c>
      <c r="H293" s="324" t="n"/>
      <c r="I293" s="320" t="n"/>
      <c r="J293" s="325">
        <f>IF(COUNTA(A293:F293)=0,"",IF(OR(C293&lt;0,D293&lt;0,E293&lt;0,F293&lt;0),"ERRO: valor negativo",IF(C293&lt;&gt;SUM(D293:F293),"ERRO: categorias diferem dos respondentes",IF(COUNTIFS($A$5:$A$1200,A293,$B$5:$B$1200,B293)&gt;1,"ERRO: período e curso duplicados","OK"))))</f>
        <v/>
      </c>
    </row>
    <row r="294" ht="15" customHeight="1" s="131">
      <c r="A294" s="320" t="n"/>
      <c r="B294" s="323" t="n"/>
      <c r="C294" s="320" t="n"/>
      <c r="D294" s="320" t="n"/>
      <c r="E294" s="320" t="n"/>
      <c r="F294" s="320" t="n"/>
      <c r="G294" s="284">
        <f>IFERROR((D294-F294)/C294*100,"")</f>
        <v/>
      </c>
      <c r="H294" s="324" t="n"/>
      <c r="I294" s="320" t="n"/>
      <c r="J294" s="325">
        <f>IF(COUNTA(A294:F294)=0,"",IF(OR(C294&lt;0,D294&lt;0,E294&lt;0,F294&lt;0),"ERRO: valor negativo",IF(C294&lt;&gt;SUM(D294:F294),"ERRO: categorias diferem dos respondentes",IF(COUNTIFS($A$5:$A$1200,A294,$B$5:$B$1200,B294)&gt;1,"ERRO: período e curso duplicados","OK"))))</f>
        <v/>
      </c>
    </row>
    <row r="295" ht="15" customHeight="1" s="131">
      <c r="A295" s="320" t="n"/>
      <c r="B295" s="323" t="n"/>
      <c r="C295" s="320" t="n"/>
      <c r="D295" s="320" t="n"/>
      <c r="E295" s="320" t="n"/>
      <c r="F295" s="320" t="n"/>
      <c r="G295" s="284">
        <f>IFERROR((D295-F295)/C295*100,"")</f>
        <v/>
      </c>
      <c r="H295" s="324" t="n"/>
      <c r="I295" s="320" t="n"/>
      <c r="J295" s="325">
        <f>IF(COUNTA(A295:F295)=0,"",IF(OR(C295&lt;0,D295&lt;0,E295&lt;0,F295&lt;0),"ERRO: valor negativo",IF(C295&lt;&gt;SUM(D295:F295),"ERRO: categorias diferem dos respondentes",IF(COUNTIFS($A$5:$A$1200,A295,$B$5:$B$1200,B295)&gt;1,"ERRO: período e curso duplicados","OK"))))</f>
        <v/>
      </c>
    </row>
    <row r="296" ht="15" customHeight="1" s="131">
      <c r="A296" s="320" t="n"/>
      <c r="B296" s="323" t="n"/>
      <c r="C296" s="320" t="n"/>
      <c r="D296" s="320" t="n"/>
      <c r="E296" s="320" t="n"/>
      <c r="F296" s="320" t="n"/>
      <c r="G296" s="284">
        <f>IFERROR((D296-F296)/C296*100,"")</f>
        <v/>
      </c>
      <c r="H296" s="324" t="n"/>
      <c r="I296" s="320" t="n"/>
      <c r="J296" s="325">
        <f>IF(COUNTA(A296:F296)=0,"",IF(OR(C296&lt;0,D296&lt;0,E296&lt;0,F296&lt;0),"ERRO: valor negativo",IF(C296&lt;&gt;SUM(D296:F296),"ERRO: categorias diferem dos respondentes",IF(COUNTIFS($A$5:$A$1200,A296,$B$5:$B$1200,B296)&gt;1,"ERRO: período e curso duplicados","OK"))))</f>
        <v/>
      </c>
    </row>
    <row r="297" ht="15" customHeight="1" s="131">
      <c r="A297" s="320" t="n"/>
      <c r="B297" s="323" t="n"/>
      <c r="C297" s="320" t="n"/>
      <c r="D297" s="320" t="n"/>
      <c r="E297" s="320" t="n"/>
      <c r="F297" s="320" t="n"/>
      <c r="G297" s="284">
        <f>IFERROR((D297-F297)/C297*100,"")</f>
        <v/>
      </c>
      <c r="H297" s="324" t="n"/>
      <c r="I297" s="320" t="n"/>
      <c r="J297" s="325">
        <f>IF(COUNTA(A297:F297)=0,"",IF(OR(C297&lt;0,D297&lt;0,E297&lt;0,F297&lt;0),"ERRO: valor negativo",IF(C297&lt;&gt;SUM(D297:F297),"ERRO: categorias diferem dos respondentes",IF(COUNTIFS($A$5:$A$1200,A297,$B$5:$B$1200,B297)&gt;1,"ERRO: período e curso duplicados","OK"))))</f>
        <v/>
      </c>
    </row>
    <row r="298" ht="15" customHeight="1" s="131">
      <c r="A298" s="320" t="n"/>
      <c r="B298" s="323" t="n"/>
      <c r="C298" s="320" t="n"/>
      <c r="D298" s="320" t="n"/>
      <c r="E298" s="320" t="n"/>
      <c r="F298" s="320" t="n"/>
      <c r="G298" s="284">
        <f>IFERROR((D298-F298)/C298*100,"")</f>
        <v/>
      </c>
      <c r="H298" s="324" t="n"/>
      <c r="I298" s="320" t="n"/>
      <c r="J298" s="325">
        <f>IF(COUNTA(A298:F298)=0,"",IF(OR(C298&lt;0,D298&lt;0,E298&lt;0,F298&lt;0),"ERRO: valor negativo",IF(C298&lt;&gt;SUM(D298:F298),"ERRO: categorias diferem dos respondentes",IF(COUNTIFS($A$5:$A$1200,A298,$B$5:$B$1200,B298)&gt;1,"ERRO: período e curso duplicados","OK"))))</f>
        <v/>
      </c>
    </row>
    <row r="299" ht="15" customHeight="1" s="131">
      <c r="A299" s="320" t="n"/>
      <c r="B299" s="323" t="n"/>
      <c r="C299" s="320" t="n"/>
      <c r="D299" s="320" t="n"/>
      <c r="E299" s="320" t="n"/>
      <c r="F299" s="320" t="n"/>
      <c r="G299" s="284">
        <f>IFERROR((D299-F299)/C299*100,"")</f>
        <v/>
      </c>
      <c r="H299" s="324" t="n"/>
      <c r="I299" s="320" t="n"/>
      <c r="J299" s="325">
        <f>IF(COUNTA(A299:F299)=0,"",IF(OR(C299&lt;0,D299&lt;0,E299&lt;0,F299&lt;0),"ERRO: valor negativo",IF(C299&lt;&gt;SUM(D299:F299),"ERRO: categorias diferem dos respondentes",IF(COUNTIFS($A$5:$A$1200,A299,$B$5:$B$1200,B299)&gt;1,"ERRO: período e curso duplicados","OK"))))</f>
        <v/>
      </c>
    </row>
    <row r="300" ht="15" customHeight="1" s="131">
      <c r="A300" s="320" t="n"/>
      <c r="B300" s="323" t="n"/>
      <c r="C300" s="320" t="n"/>
      <c r="D300" s="320" t="n"/>
      <c r="E300" s="320" t="n"/>
      <c r="F300" s="320" t="n"/>
      <c r="G300" s="284">
        <f>IFERROR((D300-F300)/C300*100,"")</f>
        <v/>
      </c>
      <c r="H300" s="324" t="n"/>
      <c r="I300" s="320" t="n"/>
      <c r="J300" s="325">
        <f>IF(COUNTA(A300:F300)=0,"",IF(OR(C300&lt;0,D300&lt;0,E300&lt;0,F300&lt;0),"ERRO: valor negativo",IF(C300&lt;&gt;SUM(D300:F300),"ERRO: categorias diferem dos respondentes",IF(COUNTIFS($A$5:$A$1200,A300,$B$5:$B$1200,B300)&gt;1,"ERRO: período e curso duplicados","OK"))))</f>
        <v/>
      </c>
    </row>
    <row r="301" ht="15" customHeight="1" s="131">
      <c r="A301" s="320" t="n"/>
      <c r="B301" s="323" t="n"/>
      <c r="C301" s="320" t="n"/>
      <c r="D301" s="320" t="n"/>
      <c r="E301" s="320" t="n"/>
      <c r="F301" s="320" t="n"/>
      <c r="G301" s="284">
        <f>IFERROR((D301-F301)/C301*100,"")</f>
        <v/>
      </c>
      <c r="H301" s="324" t="n"/>
      <c r="I301" s="320" t="n"/>
      <c r="J301" s="325">
        <f>IF(COUNTA(A301:F301)=0,"",IF(OR(C301&lt;0,D301&lt;0,E301&lt;0,F301&lt;0),"ERRO: valor negativo",IF(C301&lt;&gt;SUM(D301:F301),"ERRO: categorias diferem dos respondentes",IF(COUNTIFS($A$5:$A$1200,A301,$B$5:$B$1200,B301)&gt;1,"ERRO: período e curso duplicados","OK"))))</f>
        <v/>
      </c>
    </row>
    <row r="302" ht="15" customHeight="1" s="131">
      <c r="A302" s="320" t="n"/>
      <c r="B302" s="323" t="n"/>
      <c r="C302" s="320" t="n"/>
      <c r="D302" s="320" t="n"/>
      <c r="E302" s="320" t="n"/>
      <c r="F302" s="320" t="n"/>
      <c r="G302" s="284">
        <f>IFERROR((D302-F302)/C302*100,"")</f>
        <v/>
      </c>
      <c r="H302" s="324" t="n"/>
      <c r="I302" s="320" t="n"/>
      <c r="J302" s="325">
        <f>IF(COUNTA(A302:F302)=0,"",IF(OR(C302&lt;0,D302&lt;0,E302&lt;0,F302&lt;0),"ERRO: valor negativo",IF(C302&lt;&gt;SUM(D302:F302),"ERRO: categorias diferem dos respondentes",IF(COUNTIFS($A$5:$A$1200,A302,$B$5:$B$1200,B302)&gt;1,"ERRO: período e curso duplicados","OK"))))</f>
        <v/>
      </c>
    </row>
    <row r="303" ht="15" customHeight="1" s="131">
      <c r="A303" s="320" t="n"/>
      <c r="B303" s="323" t="n"/>
      <c r="C303" s="320" t="n"/>
      <c r="D303" s="320" t="n"/>
      <c r="E303" s="320" t="n"/>
      <c r="F303" s="320" t="n"/>
      <c r="G303" s="284">
        <f>IFERROR((D303-F303)/C303*100,"")</f>
        <v/>
      </c>
      <c r="H303" s="324" t="n"/>
      <c r="I303" s="320" t="n"/>
      <c r="J303" s="325">
        <f>IF(COUNTA(A303:F303)=0,"",IF(OR(C303&lt;0,D303&lt;0,E303&lt;0,F303&lt;0),"ERRO: valor negativo",IF(C303&lt;&gt;SUM(D303:F303),"ERRO: categorias diferem dos respondentes",IF(COUNTIFS($A$5:$A$1200,A303,$B$5:$B$1200,B303)&gt;1,"ERRO: período e curso duplicados","OK"))))</f>
        <v/>
      </c>
    </row>
    <row r="304" ht="15" customHeight="1" s="131">
      <c r="A304" s="320" t="n"/>
      <c r="B304" s="323" t="n"/>
      <c r="C304" s="320" t="n"/>
      <c r="D304" s="320" t="n"/>
      <c r="E304" s="320" t="n"/>
      <c r="F304" s="320" t="n"/>
      <c r="G304" s="284">
        <f>IFERROR((D304-F304)/C304*100,"")</f>
        <v/>
      </c>
      <c r="H304" s="324" t="n"/>
      <c r="I304" s="320" t="n"/>
      <c r="J304" s="325">
        <f>IF(COUNTA(A304:F304)=0,"",IF(OR(C304&lt;0,D304&lt;0,E304&lt;0,F304&lt;0),"ERRO: valor negativo",IF(C304&lt;&gt;SUM(D304:F304),"ERRO: categorias diferem dos respondentes",IF(COUNTIFS($A$5:$A$1200,A304,$B$5:$B$1200,B304)&gt;1,"ERRO: período e curso duplicados","OK"))))</f>
        <v/>
      </c>
    </row>
    <row r="305" ht="15" customHeight="1" s="131">
      <c r="A305" s="320" t="n"/>
      <c r="B305" s="323" t="n"/>
      <c r="C305" s="320" t="n"/>
      <c r="D305" s="320" t="n"/>
      <c r="E305" s="320" t="n"/>
      <c r="F305" s="320" t="n"/>
      <c r="G305" s="284">
        <f>IFERROR((D305-F305)/C305*100,"")</f>
        <v/>
      </c>
      <c r="H305" s="324" t="n"/>
      <c r="I305" s="320" t="n"/>
      <c r="J305" s="325">
        <f>IF(COUNTA(A305:F305)=0,"",IF(OR(C305&lt;0,D305&lt;0,E305&lt;0,F305&lt;0),"ERRO: valor negativo",IF(C305&lt;&gt;SUM(D305:F305),"ERRO: categorias diferem dos respondentes",IF(COUNTIFS($A$5:$A$1200,A305,$B$5:$B$1200,B305)&gt;1,"ERRO: período e curso duplicados","OK"))))</f>
        <v/>
      </c>
    </row>
    <row r="306" ht="15" customHeight="1" s="131">
      <c r="A306" s="320" t="n"/>
      <c r="B306" s="323" t="n"/>
      <c r="C306" s="320" t="n"/>
      <c r="D306" s="320" t="n"/>
      <c r="E306" s="320" t="n"/>
      <c r="F306" s="320" t="n"/>
      <c r="G306" s="284">
        <f>IFERROR((D306-F306)/C306*100,"")</f>
        <v/>
      </c>
      <c r="H306" s="324" t="n"/>
      <c r="I306" s="320" t="n"/>
      <c r="J306" s="325">
        <f>IF(COUNTA(A306:F306)=0,"",IF(OR(C306&lt;0,D306&lt;0,E306&lt;0,F306&lt;0),"ERRO: valor negativo",IF(C306&lt;&gt;SUM(D306:F306),"ERRO: categorias diferem dos respondentes",IF(COUNTIFS($A$5:$A$1200,A306,$B$5:$B$1200,B306)&gt;1,"ERRO: período e curso duplicados","OK"))))</f>
        <v/>
      </c>
    </row>
    <row r="307" ht="15" customHeight="1" s="131">
      <c r="A307" s="320" t="n"/>
      <c r="B307" s="323" t="n"/>
      <c r="C307" s="320" t="n"/>
      <c r="D307" s="320" t="n"/>
      <c r="E307" s="320" t="n"/>
      <c r="F307" s="320" t="n"/>
      <c r="G307" s="284">
        <f>IFERROR((D307-F307)/C307*100,"")</f>
        <v/>
      </c>
      <c r="H307" s="324" t="n"/>
      <c r="I307" s="320" t="n"/>
      <c r="J307" s="325">
        <f>IF(COUNTA(A307:F307)=0,"",IF(OR(C307&lt;0,D307&lt;0,E307&lt;0,F307&lt;0),"ERRO: valor negativo",IF(C307&lt;&gt;SUM(D307:F307),"ERRO: categorias diferem dos respondentes",IF(COUNTIFS($A$5:$A$1200,A307,$B$5:$B$1200,B307)&gt;1,"ERRO: período e curso duplicados","OK"))))</f>
        <v/>
      </c>
    </row>
    <row r="308" ht="15" customHeight="1" s="131">
      <c r="A308" s="320" t="n"/>
      <c r="B308" s="323" t="n"/>
      <c r="C308" s="320" t="n"/>
      <c r="D308" s="320" t="n"/>
      <c r="E308" s="320" t="n"/>
      <c r="F308" s="320" t="n"/>
      <c r="G308" s="284">
        <f>IFERROR((D308-F308)/C308*100,"")</f>
        <v/>
      </c>
      <c r="H308" s="324" t="n"/>
      <c r="I308" s="320" t="n"/>
      <c r="J308" s="325">
        <f>IF(COUNTA(A308:F308)=0,"",IF(OR(C308&lt;0,D308&lt;0,E308&lt;0,F308&lt;0),"ERRO: valor negativo",IF(C308&lt;&gt;SUM(D308:F308),"ERRO: categorias diferem dos respondentes",IF(COUNTIFS($A$5:$A$1200,A308,$B$5:$B$1200,B308)&gt;1,"ERRO: período e curso duplicados","OK"))))</f>
        <v/>
      </c>
    </row>
    <row r="309" ht="15" customHeight="1" s="131">
      <c r="A309" s="320" t="n"/>
      <c r="B309" s="323" t="n"/>
      <c r="C309" s="320" t="n"/>
      <c r="D309" s="320" t="n"/>
      <c r="E309" s="320" t="n"/>
      <c r="F309" s="320" t="n"/>
      <c r="G309" s="284">
        <f>IFERROR((D309-F309)/C309*100,"")</f>
        <v/>
      </c>
      <c r="H309" s="324" t="n"/>
      <c r="I309" s="320" t="n"/>
      <c r="J309" s="325">
        <f>IF(COUNTA(A309:F309)=0,"",IF(OR(C309&lt;0,D309&lt;0,E309&lt;0,F309&lt;0),"ERRO: valor negativo",IF(C309&lt;&gt;SUM(D309:F309),"ERRO: categorias diferem dos respondentes",IF(COUNTIFS($A$5:$A$1200,A309,$B$5:$B$1200,B309)&gt;1,"ERRO: período e curso duplicados","OK"))))</f>
        <v/>
      </c>
    </row>
    <row r="310" ht="15" customHeight="1" s="131">
      <c r="A310" s="320" t="n"/>
      <c r="B310" s="323" t="n"/>
      <c r="C310" s="320" t="n"/>
      <c r="D310" s="320" t="n"/>
      <c r="E310" s="320" t="n"/>
      <c r="F310" s="320" t="n"/>
      <c r="G310" s="284">
        <f>IFERROR((D310-F310)/C310*100,"")</f>
        <v/>
      </c>
      <c r="H310" s="324" t="n"/>
      <c r="I310" s="320" t="n"/>
      <c r="J310" s="325">
        <f>IF(COUNTA(A310:F310)=0,"",IF(OR(C310&lt;0,D310&lt;0,E310&lt;0,F310&lt;0),"ERRO: valor negativo",IF(C310&lt;&gt;SUM(D310:F310),"ERRO: categorias diferem dos respondentes",IF(COUNTIFS($A$5:$A$1200,A310,$B$5:$B$1200,B310)&gt;1,"ERRO: período e curso duplicados","OK"))))</f>
        <v/>
      </c>
    </row>
    <row r="311" ht="15" customHeight="1" s="131">
      <c r="A311" s="320" t="n"/>
      <c r="B311" s="323" t="n"/>
      <c r="C311" s="320" t="n"/>
      <c r="D311" s="320" t="n"/>
      <c r="E311" s="320" t="n"/>
      <c r="F311" s="320" t="n"/>
      <c r="G311" s="284">
        <f>IFERROR((D311-F311)/C311*100,"")</f>
        <v/>
      </c>
      <c r="H311" s="324" t="n"/>
      <c r="I311" s="320" t="n"/>
      <c r="J311" s="325">
        <f>IF(COUNTA(A311:F311)=0,"",IF(OR(C311&lt;0,D311&lt;0,E311&lt;0,F311&lt;0),"ERRO: valor negativo",IF(C311&lt;&gt;SUM(D311:F311),"ERRO: categorias diferem dos respondentes",IF(COUNTIFS($A$5:$A$1200,A311,$B$5:$B$1200,B311)&gt;1,"ERRO: período e curso duplicados","OK"))))</f>
        <v/>
      </c>
    </row>
    <row r="312" ht="15" customHeight="1" s="131">
      <c r="A312" s="320" t="n"/>
      <c r="B312" s="323" t="n"/>
      <c r="C312" s="320" t="n"/>
      <c r="D312" s="320" t="n"/>
      <c r="E312" s="320" t="n"/>
      <c r="F312" s="320" t="n"/>
      <c r="G312" s="284">
        <f>IFERROR((D312-F312)/C312*100,"")</f>
        <v/>
      </c>
      <c r="H312" s="324" t="n"/>
      <c r="I312" s="320" t="n"/>
      <c r="J312" s="325">
        <f>IF(COUNTA(A312:F312)=0,"",IF(OR(C312&lt;0,D312&lt;0,E312&lt;0,F312&lt;0),"ERRO: valor negativo",IF(C312&lt;&gt;SUM(D312:F312),"ERRO: categorias diferem dos respondentes",IF(COUNTIFS($A$5:$A$1200,A312,$B$5:$B$1200,B312)&gt;1,"ERRO: período e curso duplicados","OK"))))</f>
        <v/>
      </c>
    </row>
    <row r="313" ht="15" customHeight="1" s="131">
      <c r="A313" s="320" t="n"/>
      <c r="B313" s="323" t="n"/>
      <c r="C313" s="320" t="n"/>
      <c r="D313" s="320" t="n"/>
      <c r="E313" s="320" t="n"/>
      <c r="F313" s="320" t="n"/>
      <c r="G313" s="284">
        <f>IFERROR((D313-F313)/C313*100,"")</f>
        <v/>
      </c>
      <c r="H313" s="324" t="n"/>
      <c r="I313" s="320" t="n"/>
      <c r="J313" s="325">
        <f>IF(COUNTA(A313:F313)=0,"",IF(OR(C313&lt;0,D313&lt;0,E313&lt;0,F313&lt;0),"ERRO: valor negativo",IF(C313&lt;&gt;SUM(D313:F313),"ERRO: categorias diferem dos respondentes",IF(COUNTIFS($A$5:$A$1200,A313,$B$5:$B$1200,B313)&gt;1,"ERRO: período e curso duplicados","OK"))))</f>
        <v/>
      </c>
    </row>
    <row r="314" ht="15" customHeight="1" s="131">
      <c r="A314" s="320" t="n"/>
      <c r="B314" s="323" t="n"/>
      <c r="C314" s="320" t="n"/>
      <c r="D314" s="320" t="n"/>
      <c r="E314" s="320" t="n"/>
      <c r="F314" s="320" t="n"/>
      <c r="G314" s="284">
        <f>IFERROR((D314-F314)/C314*100,"")</f>
        <v/>
      </c>
      <c r="H314" s="324" t="n"/>
      <c r="I314" s="320" t="n"/>
      <c r="J314" s="325">
        <f>IF(COUNTA(A314:F314)=0,"",IF(OR(C314&lt;0,D314&lt;0,E314&lt;0,F314&lt;0),"ERRO: valor negativo",IF(C314&lt;&gt;SUM(D314:F314),"ERRO: categorias diferem dos respondentes",IF(COUNTIFS($A$5:$A$1200,A314,$B$5:$B$1200,B314)&gt;1,"ERRO: período e curso duplicados","OK"))))</f>
        <v/>
      </c>
    </row>
    <row r="315" ht="15" customHeight="1" s="131">
      <c r="A315" s="320" t="n"/>
      <c r="B315" s="323" t="n"/>
      <c r="C315" s="320" t="n"/>
      <c r="D315" s="320" t="n"/>
      <c r="E315" s="320" t="n"/>
      <c r="F315" s="320" t="n"/>
      <c r="G315" s="284">
        <f>IFERROR((D315-F315)/C315*100,"")</f>
        <v/>
      </c>
      <c r="H315" s="324" t="n"/>
      <c r="I315" s="320" t="n"/>
      <c r="J315" s="325">
        <f>IF(COUNTA(A315:F315)=0,"",IF(OR(C315&lt;0,D315&lt;0,E315&lt;0,F315&lt;0),"ERRO: valor negativo",IF(C315&lt;&gt;SUM(D315:F315),"ERRO: categorias diferem dos respondentes",IF(COUNTIFS($A$5:$A$1200,A315,$B$5:$B$1200,B315)&gt;1,"ERRO: período e curso duplicados","OK"))))</f>
        <v/>
      </c>
    </row>
    <row r="316" ht="15" customHeight="1" s="131">
      <c r="A316" s="320" t="n"/>
      <c r="B316" s="323" t="n"/>
      <c r="C316" s="320" t="n"/>
      <c r="D316" s="320" t="n"/>
      <c r="E316" s="320" t="n"/>
      <c r="F316" s="320" t="n"/>
      <c r="G316" s="284">
        <f>IFERROR((D316-F316)/C316*100,"")</f>
        <v/>
      </c>
      <c r="H316" s="324" t="n"/>
      <c r="I316" s="320" t="n"/>
      <c r="J316" s="325">
        <f>IF(COUNTA(A316:F316)=0,"",IF(OR(C316&lt;0,D316&lt;0,E316&lt;0,F316&lt;0),"ERRO: valor negativo",IF(C316&lt;&gt;SUM(D316:F316),"ERRO: categorias diferem dos respondentes",IF(COUNTIFS($A$5:$A$1200,A316,$B$5:$B$1200,B316)&gt;1,"ERRO: período e curso duplicados","OK"))))</f>
        <v/>
      </c>
    </row>
    <row r="317" ht="15" customHeight="1" s="131">
      <c r="A317" s="320" t="n"/>
      <c r="B317" s="323" t="n"/>
      <c r="C317" s="320" t="n"/>
      <c r="D317" s="320" t="n"/>
      <c r="E317" s="320" t="n"/>
      <c r="F317" s="320" t="n"/>
      <c r="G317" s="284">
        <f>IFERROR((D317-F317)/C317*100,"")</f>
        <v/>
      </c>
      <c r="H317" s="324" t="n"/>
      <c r="I317" s="320" t="n"/>
      <c r="J317" s="325">
        <f>IF(COUNTA(A317:F317)=0,"",IF(OR(C317&lt;0,D317&lt;0,E317&lt;0,F317&lt;0),"ERRO: valor negativo",IF(C317&lt;&gt;SUM(D317:F317),"ERRO: categorias diferem dos respondentes",IF(COUNTIFS($A$5:$A$1200,A317,$B$5:$B$1200,B317)&gt;1,"ERRO: período e curso duplicados","OK"))))</f>
        <v/>
      </c>
    </row>
    <row r="318" ht="15" customHeight="1" s="131">
      <c r="A318" s="320" t="n"/>
      <c r="B318" s="323" t="n"/>
      <c r="C318" s="320" t="n"/>
      <c r="D318" s="320" t="n"/>
      <c r="E318" s="320" t="n"/>
      <c r="F318" s="320" t="n"/>
      <c r="G318" s="284">
        <f>IFERROR((D318-F318)/C318*100,"")</f>
        <v/>
      </c>
      <c r="H318" s="324" t="n"/>
      <c r="I318" s="320" t="n"/>
      <c r="J318" s="325">
        <f>IF(COUNTA(A318:F318)=0,"",IF(OR(C318&lt;0,D318&lt;0,E318&lt;0,F318&lt;0),"ERRO: valor negativo",IF(C318&lt;&gt;SUM(D318:F318),"ERRO: categorias diferem dos respondentes",IF(COUNTIFS($A$5:$A$1200,A318,$B$5:$B$1200,B318)&gt;1,"ERRO: período e curso duplicados","OK"))))</f>
        <v/>
      </c>
    </row>
    <row r="319" ht="15" customHeight="1" s="131">
      <c r="A319" s="320" t="n"/>
      <c r="B319" s="323" t="n"/>
      <c r="C319" s="320" t="n"/>
      <c r="D319" s="320" t="n"/>
      <c r="E319" s="320" t="n"/>
      <c r="F319" s="320" t="n"/>
      <c r="G319" s="284">
        <f>IFERROR((D319-F319)/C319*100,"")</f>
        <v/>
      </c>
      <c r="H319" s="324" t="n"/>
      <c r="I319" s="320" t="n"/>
      <c r="J319" s="325">
        <f>IF(COUNTA(A319:F319)=0,"",IF(OR(C319&lt;0,D319&lt;0,E319&lt;0,F319&lt;0),"ERRO: valor negativo",IF(C319&lt;&gt;SUM(D319:F319),"ERRO: categorias diferem dos respondentes",IF(COUNTIFS($A$5:$A$1200,A319,$B$5:$B$1200,B319)&gt;1,"ERRO: período e curso duplicados","OK"))))</f>
        <v/>
      </c>
    </row>
    <row r="320" ht="15" customHeight="1" s="131">
      <c r="A320" s="320" t="n"/>
      <c r="B320" s="323" t="n"/>
      <c r="C320" s="320" t="n"/>
      <c r="D320" s="320" t="n"/>
      <c r="E320" s="320" t="n"/>
      <c r="F320" s="320" t="n"/>
      <c r="G320" s="284">
        <f>IFERROR((D320-F320)/C320*100,"")</f>
        <v/>
      </c>
      <c r="H320" s="324" t="n"/>
      <c r="I320" s="320" t="n"/>
      <c r="J320" s="325">
        <f>IF(COUNTA(A320:F320)=0,"",IF(OR(C320&lt;0,D320&lt;0,E320&lt;0,F320&lt;0),"ERRO: valor negativo",IF(C320&lt;&gt;SUM(D320:F320),"ERRO: categorias diferem dos respondentes",IF(COUNTIFS($A$5:$A$1200,A320,$B$5:$B$1200,B320)&gt;1,"ERRO: período e curso duplicados","OK"))))</f>
        <v/>
      </c>
    </row>
    <row r="321" ht="15" customHeight="1" s="131">
      <c r="A321" s="320" t="n"/>
      <c r="B321" s="323" t="n"/>
      <c r="C321" s="320" t="n"/>
      <c r="D321" s="320" t="n"/>
      <c r="E321" s="320" t="n"/>
      <c r="F321" s="320" t="n"/>
      <c r="G321" s="284">
        <f>IFERROR((D321-F321)/C321*100,"")</f>
        <v/>
      </c>
      <c r="H321" s="324" t="n"/>
      <c r="I321" s="320" t="n"/>
      <c r="J321" s="325">
        <f>IF(COUNTA(A321:F321)=0,"",IF(OR(C321&lt;0,D321&lt;0,E321&lt;0,F321&lt;0),"ERRO: valor negativo",IF(C321&lt;&gt;SUM(D321:F321),"ERRO: categorias diferem dos respondentes",IF(COUNTIFS($A$5:$A$1200,A321,$B$5:$B$1200,B321)&gt;1,"ERRO: período e curso duplicados","OK"))))</f>
        <v/>
      </c>
    </row>
    <row r="322" ht="15" customHeight="1" s="131">
      <c r="A322" s="320" t="n"/>
      <c r="B322" s="323" t="n"/>
      <c r="C322" s="320" t="n"/>
      <c r="D322" s="320" t="n"/>
      <c r="E322" s="320" t="n"/>
      <c r="F322" s="320" t="n"/>
      <c r="G322" s="284">
        <f>IFERROR((D322-F322)/C322*100,"")</f>
        <v/>
      </c>
      <c r="H322" s="324" t="n"/>
      <c r="I322" s="320" t="n"/>
      <c r="J322" s="325">
        <f>IF(COUNTA(A322:F322)=0,"",IF(OR(C322&lt;0,D322&lt;0,E322&lt;0,F322&lt;0),"ERRO: valor negativo",IF(C322&lt;&gt;SUM(D322:F322),"ERRO: categorias diferem dos respondentes",IF(COUNTIFS($A$5:$A$1200,A322,$B$5:$B$1200,B322)&gt;1,"ERRO: período e curso duplicados","OK"))))</f>
        <v/>
      </c>
    </row>
    <row r="323" ht="15" customHeight="1" s="131">
      <c r="A323" s="320" t="n"/>
      <c r="B323" s="323" t="n"/>
      <c r="C323" s="320" t="n"/>
      <c r="D323" s="320" t="n"/>
      <c r="E323" s="320" t="n"/>
      <c r="F323" s="320" t="n"/>
      <c r="G323" s="284">
        <f>IFERROR((D323-F323)/C323*100,"")</f>
        <v/>
      </c>
      <c r="H323" s="324" t="n"/>
      <c r="I323" s="320" t="n"/>
      <c r="J323" s="325">
        <f>IF(COUNTA(A323:F323)=0,"",IF(OR(C323&lt;0,D323&lt;0,E323&lt;0,F323&lt;0),"ERRO: valor negativo",IF(C323&lt;&gt;SUM(D323:F323),"ERRO: categorias diferem dos respondentes",IF(COUNTIFS($A$5:$A$1200,A323,$B$5:$B$1200,B323)&gt;1,"ERRO: período e curso duplicados","OK"))))</f>
        <v/>
      </c>
    </row>
    <row r="324" ht="15" customHeight="1" s="131">
      <c r="A324" s="320" t="n"/>
      <c r="B324" s="323" t="n"/>
      <c r="C324" s="320" t="n"/>
      <c r="D324" s="320" t="n"/>
      <c r="E324" s="320" t="n"/>
      <c r="F324" s="320" t="n"/>
      <c r="G324" s="284">
        <f>IFERROR((D324-F324)/C324*100,"")</f>
        <v/>
      </c>
      <c r="H324" s="324" t="n"/>
      <c r="I324" s="320" t="n"/>
      <c r="J324" s="325">
        <f>IF(COUNTA(A324:F324)=0,"",IF(OR(C324&lt;0,D324&lt;0,E324&lt;0,F324&lt;0),"ERRO: valor negativo",IF(C324&lt;&gt;SUM(D324:F324),"ERRO: categorias diferem dos respondentes",IF(COUNTIFS($A$5:$A$1200,A324,$B$5:$B$1200,B324)&gt;1,"ERRO: período e curso duplicados","OK"))))</f>
        <v/>
      </c>
    </row>
    <row r="325" ht="15" customHeight="1" s="131">
      <c r="A325" s="320" t="n"/>
      <c r="B325" s="323" t="n"/>
      <c r="C325" s="320" t="n"/>
      <c r="D325" s="320" t="n"/>
      <c r="E325" s="320" t="n"/>
      <c r="F325" s="320" t="n"/>
      <c r="G325" s="284">
        <f>IFERROR((D325-F325)/C325*100,"")</f>
        <v/>
      </c>
      <c r="H325" s="324" t="n"/>
      <c r="I325" s="320" t="n"/>
      <c r="J325" s="325">
        <f>IF(COUNTA(A325:F325)=0,"",IF(OR(C325&lt;0,D325&lt;0,E325&lt;0,F325&lt;0),"ERRO: valor negativo",IF(C325&lt;&gt;SUM(D325:F325),"ERRO: categorias diferem dos respondentes",IF(COUNTIFS($A$5:$A$1200,A325,$B$5:$B$1200,B325)&gt;1,"ERRO: período e curso duplicados","OK"))))</f>
        <v/>
      </c>
    </row>
    <row r="326" ht="15" customHeight="1" s="131">
      <c r="A326" s="320" t="n"/>
      <c r="B326" s="323" t="n"/>
      <c r="C326" s="320" t="n"/>
      <c r="D326" s="320" t="n"/>
      <c r="E326" s="320" t="n"/>
      <c r="F326" s="320" t="n"/>
      <c r="G326" s="284">
        <f>IFERROR((D326-F326)/C326*100,"")</f>
        <v/>
      </c>
      <c r="H326" s="324" t="n"/>
      <c r="I326" s="320" t="n"/>
      <c r="J326" s="325">
        <f>IF(COUNTA(A326:F326)=0,"",IF(OR(C326&lt;0,D326&lt;0,E326&lt;0,F326&lt;0),"ERRO: valor negativo",IF(C326&lt;&gt;SUM(D326:F326),"ERRO: categorias diferem dos respondentes",IF(COUNTIFS($A$5:$A$1200,A326,$B$5:$B$1200,B326)&gt;1,"ERRO: período e curso duplicados","OK"))))</f>
        <v/>
      </c>
    </row>
    <row r="327" ht="15" customHeight="1" s="131">
      <c r="A327" s="320" t="n"/>
      <c r="B327" s="323" t="n"/>
      <c r="C327" s="320" t="n"/>
      <c r="D327" s="320" t="n"/>
      <c r="E327" s="320" t="n"/>
      <c r="F327" s="320" t="n"/>
      <c r="G327" s="284">
        <f>IFERROR((D327-F327)/C327*100,"")</f>
        <v/>
      </c>
      <c r="H327" s="324" t="n"/>
      <c r="I327" s="320" t="n"/>
      <c r="J327" s="325">
        <f>IF(COUNTA(A327:F327)=0,"",IF(OR(C327&lt;0,D327&lt;0,E327&lt;0,F327&lt;0),"ERRO: valor negativo",IF(C327&lt;&gt;SUM(D327:F327),"ERRO: categorias diferem dos respondentes",IF(COUNTIFS($A$5:$A$1200,A327,$B$5:$B$1200,B327)&gt;1,"ERRO: período e curso duplicados","OK"))))</f>
        <v/>
      </c>
    </row>
    <row r="328" ht="15" customHeight="1" s="131">
      <c r="A328" s="320" t="n"/>
      <c r="B328" s="323" t="n"/>
      <c r="C328" s="320" t="n"/>
      <c r="D328" s="320" t="n"/>
      <c r="E328" s="320" t="n"/>
      <c r="F328" s="320" t="n"/>
      <c r="G328" s="284">
        <f>IFERROR((D328-F328)/C328*100,"")</f>
        <v/>
      </c>
      <c r="H328" s="324" t="n"/>
      <c r="I328" s="320" t="n"/>
      <c r="J328" s="325">
        <f>IF(COUNTA(A328:F328)=0,"",IF(OR(C328&lt;0,D328&lt;0,E328&lt;0,F328&lt;0),"ERRO: valor negativo",IF(C328&lt;&gt;SUM(D328:F328),"ERRO: categorias diferem dos respondentes",IF(COUNTIFS($A$5:$A$1200,A328,$B$5:$B$1200,B328)&gt;1,"ERRO: período e curso duplicados","OK"))))</f>
        <v/>
      </c>
    </row>
    <row r="329" ht="15" customHeight="1" s="131">
      <c r="A329" s="320" t="n"/>
      <c r="B329" s="323" t="n"/>
      <c r="C329" s="320" t="n"/>
      <c r="D329" s="320" t="n"/>
      <c r="E329" s="320" t="n"/>
      <c r="F329" s="320" t="n"/>
      <c r="G329" s="284">
        <f>IFERROR((D329-F329)/C329*100,"")</f>
        <v/>
      </c>
      <c r="H329" s="324" t="n"/>
      <c r="I329" s="320" t="n"/>
      <c r="J329" s="325">
        <f>IF(COUNTA(A329:F329)=0,"",IF(OR(C329&lt;0,D329&lt;0,E329&lt;0,F329&lt;0),"ERRO: valor negativo",IF(C329&lt;&gt;SUM(D329:F329),"ERRO: categorias diferem dos respondentes",IF(COUNTIFS($A$5:$A$1200,A329,$B$5:$B$1200,B329)&gt;1,"ERRO: período e curso duplicados","OK"))))</f>
        <v/>
      </c>
    </row>
    <row r="330" ht="15" customHeight="1" s="131">
      <c r="A330" s="320" t="n"/>
      <c r="B330" s="323" t="n"/>
      <c r="C330" s="320" t="n"/>
      <c r="D330" s="320" t="n"/>
      <c r="E330" s="320" t="n"/>
      <c r="F330" s="320" t="n"/>
      <c r="G330" s="284">
        <f>IFERROR((D330-F330)/C330*100,"")</f>
        <v/>
      </c>
      <c r="H330" s="324" t="n"/>
      <c r="I330" s="320" t="n"/>
      <c r="J330" s="325">
        <f>IF(COUNTA(A330:F330)=0,"",IF(OR(C330&lt;0,D330&lt;0,E330&lt;0,F330&lt;0),"ERRO: valor negativo",IF(C330&lt;&gt;SUM(D330:F330),"ERRO: categorias diferem dos respondentes",IF(COUNTIFS($A$5:$A$1200,A330,$B$5:$B$1200,B330)&gt;1,"ERRO: período e curso duplicados","OK"))))</f>
        <v/>
      </c>
    </row>
    <row r="331" ht="15" customHeight="1" s="131">
      <c r="A331" s="320" t="n"/>
      <c r="B331" s="323" t="n"/>
      <c r="C331" s="320" t="n"/>
      <c r="D331" s="320" t="n"/>
      <c r="E331" s="320" t="n"/>
      <c r="F331" s="320" t="n"/>
      <c r="G331" s="284">
        <f>IFERROR((D331-F331)/C331*100,"")</f>
        <v/>
      </c>
      <c r="H331" s="324" t="n"/>
      <c r="I331" s="320" t="n"/>
      <c r="J331" s="325">
        <f>IF(COUNTA(A331:F331)=0,"",IF(OR(C331&lt;0,D331&lt;0,E331&lt;0,F331&lt;0),"ERRO: valor negativo",IF(C331&lt;&gt;SUM(D331:F331),"ERRO: categorias diferem dos respondentes",IF(COUNTIFS($A$5:$A$1200,A331,$B$5:$B$1200,B331)&gt;1,"ERRO: período e curso duplicados","OK"))))</f>
        <v/>
      </c>
    </row>
    <row r="332" ht="15" customHeight="1" s="131">
      <c r="A332" s="320" t="n"/>
      <c r="B332" s="323" t="n"/>
      <c r="C332" s="320" t="n"/>
      <c r="D332" s="320" t="n"/>
      <c r="E332" s="320" t="n"/>
      <c r="F332" s="320" t="n"/>
      <c r="G332" s="284">
        <f>IFERROR((D332-F332)/C332*100,"")</f>
        <v/>
      </c>
      <c r="H332" s="324" t="n"/>
      <c r="I332" s="320" t="n"/>
      <c r="J332" s="325">
        <f>IF(COUNTA(A332:F332)=0,"",IF(OR(C332&lt;0,D332&lt;0,E332&lt;0,F332&lt;0),"ERRO: valor negativo",IF(C332&lt;&gt;SUM(D332:F332),"ERRO: categorias diferem dos respondentes",IF(COUNTIFS($A$5:$A$1200,A332,$B$5:$B$1200,B332)&gt;1,"ERRO: período e curso duplicados","OK"))))</f>
        <v/>
      </c>
    </row>
    <row r="333" ht="15" customHeight="1" s="131">
      <c r="A333" s="320" t="n"/>
      <c r="B333" s="323" t="n"/>
      <c r="C333" s="320" t="n"/>
      <c r="D333" s="320" t="n"/>
      <c r="E333" s="320" t="n"/>
      <c r="F333" s="320" t="n"/>
      <c r="G333" s="284">
        <f>IFERROR((D333-F333)/C333*100,"")</f>
        <v/>
      </c>
      <c r="H333" s="324" t="n"/>
      <c r="I333" s="320" t="n"/>
      <c r="J333" s="325">
        <f>IF(COUNTA(A333:F333)=0,"",IF(OR(C333&lt;0,D333&lt;0,E333&lt;0,F333&lt;0),"ERRO: valor negativo",IF(C333&lt;&gt;SUM(D333:F333),"ERRO: categorias diferem dos respondentes",IF(COUNTIFS($A$5:$A$1200,A333,$B$5:$B$1200,B333)&gt;1,"ERRO: período e curso duplicados","OK"))))</f>
        <v/>
      </c>
    </row>
    <row r="334" ht="15" customHeight="1" s="131">
      <c r="A334" s="320" t="n"/>
      <c r="B334" s="323" t="n"/>
      <c r="C334" s="320" t="n"/>
      <c r="D334" s="320" t="n"/>
      <c r="E334" s="320" t="n"/>
      <c r="F334" s="320" t="n"/>
      <c r="G334" s="284">
        <f>IFERROR((D334-F334)/C334*100,"")</f>
        <v/>
      </c>
      <c r="H334" s="324" t="n"/>
      <c r="I334" s="320" t="n"/>
      <c r="J334" s="325">
        <f>IF(COUNTA(A334:F334)=0,"",IF(OR(C334&lt;0,D334&lt;0,E334&lt;0,F334&lt;0),"ERRO: valor negativo",IF(C334&lt;&gt;SUM(D334:F334),"ERRO: categorias diferem dos respondentes",IF(COUNTIFS($A$5:$A$1200,A334,$B$5:$B$1200,B334)&gt;1,"ERRO: período e curso duplicados","OK"))))</f>
        <v/>
      </c>
    </row>
    <row r="335" ht="15" customHeight="1" s="131">
      <c r="A335" s="320" t="n"/>
      <c r="B335" s="323" t="n"/>
      <c r="C335" s="320" t="n"/>
      <c r="D335" s="320" t="n"/>
      <c r="E335" s="320" t="n"/>
      <c r="F335" s="320" t="n"/>
      <c r="G335" s="284">
        <f>IFERROR((D335-F335)/C335*100,"")</f>
        <v/>
      </c>
      <c r="H335" s="324" t="n"/>
      <c r="I335" s="320" t="n"/>
      <c r="J335" s="325">
        <f>IF(COUNTA(A335:F335)=0,"",IF(OR(C335&lt;0,D335&lt;0,E335&lt;0,F335&lt;0),"ERRO: valor negativo",IF(C335&lt;&gt;SUM(D335:F335),"ERRO: categorias diferem dos respondentes",IF(COUNTIFS($A$5:$A$1200,A335,$B$5:$B$1200,B335)&gt;1,"ERRO: período e curso duplicados","OK"))))</f>
        <v/>
      </c>
    </row>
    <row r="336" ht="15" customHeight="1" s="131">
      <c r="A336" s="320" t="n"/>
      <c r="B336" s="323" t="n"/>
      <c r="C336" s="320" t="n"/>
      <c r="D336" s="320" t="n"/>
      <c r="E336" s="320" t="n"/>
      <c r="F336" s="320" t="n"/>
      <c r="G336" s="284">
        <f>IFERROR((D336-F336)/C336*100,"")</f>
        <v/>
      </c>
      <c r="H336" s="324" t="n"/>
      <c r="I336" s="320" t="n"/>
      <c r="J336" s="325">
        <f>IF(COUNTA(A336:F336)=0,"",IF(OR(C336&lt;0,D336&lt;0,E336&lt;0,F336&lt;0),"ERRO: valor negativo",IF(C336&lt;&gt;SUM(D336:F336),"ERRO: categorias diferem dos respondentes",IF(COUNTIFS($A$5:$A$1200,A336,$B$5:$B$1200,B336)&gt;1,"ERRO: período e curso duplicados","OK"))))</f>
        <v/>
      </c>
    </row>
    <row r="337" ht="15" customHeight="1" s="131">
      <c r="A337" s="320" t="n"/>
      <c r="B337" s="323" t="n"/>
      <c r="C337" s="320" t="n"/>
      <c r="D337" s="320" t="n"/>
      <c r="E337" s="320" t="n"/>
      <c r="F337" s="320" t="n"/>
      <c r="G337" s="284">
        <f>IFERROR((D337-F337)/C337*100,"")</f>
        <v/>
      </c>
      <c r="H337" s="324" t="n"/>
      <c r="I337" s="320" t="n"/>
      <c r="J337" s="325">
        <f>IF(COUNTA(A337:F337)=0,"",IF(OR(C337&lt;0,D337&lt;0,E337&lt;0,F337&lt;0),"ERRO: valor negativo",IF(C337&lt;&gt;SUM(D337:F337),"ERRO: categorias diferem dos respondentes",IF(COUNTIFS($A$5:$A$1200,A337,$B$5:$B$1200,B337)&gt;1,"ERRO: período e curso duplicados","OK"))))</f>
        <v/>
      </c>
    </row>
    <row r="338" ht="15" customHeight="1" s="131">
      <c r="A338" s="320" t="n"/>
      <c r="B338" s="323" t="n"/>
      <c r="C338" s="320" t="n"/>
      <c r="D338" s="320" t="n"/>
      <c r="E338" s="320" t="n"/>
      <c r="F338" s="320" t="n"/>
      <c r="G338" s="284">
        <f>IFERROR((D338-F338)/C338*100,"")</f>
        <v/>
      </c>
      <c r="H338" s="324" t="n"/>
      <c r="I338" s="320" t="n"/>
      <c r="J338" s="325">
        <f>IF(COUNTA(A338:F338)=0,"",IF(OR(C338&lt;0,D338&lt;0,E338&lt;0,F338&lt;0),"ERRO: valor negativo",IF(C338&lt;&gt;SUM(D338:F338),"ERRO: categorias diferem dos respondentes",IF(COUNTIFS($A$5:$A$1200,A338,$B$5:$B$1200,B338)&gt;1,"ERRO: período e curso duplicados","OK"))))</f>
        <v/>
      </c>
    </row>
    <row r="339" ht="15" customHeight="1" s="131">
      <c r="A339" s="320" t="n"/>
      <c r="B339" s="323" t="n"/>
      <c r="C339" s="320" t="n"/>
      <c r="D339" s="320" t="n"/>
      <c r="E339" s="320" t="n"/>
      <c r="F339" s="320" t="n"/>
      <c r="G339" s="284">
        <f>IFERROR((D339-F339)/C339*100,"")</f>
        <v/>
      </c>
      <c r="H339" s="324" t="n"/>
      <c r="I339" s="320" t="n"/>
      <c r="J339" s="325">
        <f>IF(COUNTA(A339:F339)=0,"",IF(OR(C339&lt;0,D339&lt;0,E339&lt;0,F339&lt;0),"ERRO: valor negativo",IF(C339&lt;&gt;SUM(D339:F339),"ERRO: categorias diferem dos respondentes",IF(COUNTIFS($A$5:$A$1200,A339,$B$5:$B$1200,B339)&gt;1,"ERRO: período e curso duplicados","OK"))))</f>
        <v/>
      </c>
    </row>
    <row r="340" ht="15" customHeight="1" s="131">
      <c r="A340" s="320" t="n"/>
      <c r="B340" s="323" t="n"/>
      <c r="C340" s="320" t="n"/>
      <c r="D340" s="320" t="n"/>
      <c r="E340" s="320" t="n"/>
      <c r="F340" s="320" t="n"/>
      <c r="G340" s="284">
        <f>IFERROR((D340-F340)/C340*100,"")</f>
        <v/>
      </c>
      <c r="H340" s="324" t="n"/>
      <c r="I340" s="320" t="n"/>
      <c r="J340" s="325">
        <f>IF(COUNTA(A340:F340)=0,"",IF(OR(C340&lt;0,D340&lt;0,E340&lt;0,F340&lt;0),"ERRO: valor negativo",IF(C340&lt;&gt;SUM(D340:F340),"ERRO: categorias diferem dos respondentes",IF(COUNTIFS($A$5:$A$1200,A340,$B$5:$B$1200,B340)&gt;1,"ERRO: período e curso duplicados","OK"))))</f>
        <v/>
      </c>
    </row>
    <row r="341" ht="15" customHeight="1" s="131">
      <c r="A341" s="320" t="n"/>
      <c r="B341" s="323" t="n"/>
      <c r="C341" s="320" t="n"/>
      <c r="D341" s="320" t="n"/>
      <c r="E341" s="320" t="n"/>
      <c r="F341" s="320" t="n"/>
      <c r="G341" s="284">
        <f>IFERROR((D341-F341)/C341*100,"")</f>
        <v/>
      </c>
      <c r="H341" s="324" t="n"/>
      <c r="I341" s="320" t="n"/>
      <c r="J341" s="325">
        <f>IF(COUNTA(A341:F341)=0,"",IF(OR(C341&lt;0,D341&lt;0,E341&lt;0,F341&lt;0),"ERRO: valor negativo",IF(C341&lt;&gt;SUM(D341:F341),"ERRO: categorias diferem dos respondentes",IF(COUNTIFS($A$5:$A$1200,A341,$B$5:$B$1200,B341)&gt;1,"ERRO: período e curso duplicados","OK"))))</f>
        <v/>
      </c>
    </row>
    <row r="342" ht="15" customHeight="1" s="131">
      <c r="A342" s="320" t="n"/>
      <c r="B342" s="323" t="n"/>
      <c r="C342" s="320" t="n"/>
      <c r="D342" s="320" t="n"/>
      <c r="E342" s="320" t="n"/>
      <c r="F342" s="320" t="n"/>
      <c r="G342" s="284">
        <f>IFERROR((D342-F342)/C342*100,"")</f>
        <v/>
      </c>
      <c r="H342" s="324" t="n"/>
      <c r="I342" s="320" t="n"/>
      <c r="J342" s="325">
        <f>IF(COUNTA(A342:F342)=0,"",IF(OR(C342&lt;0,D342&lt;0,E342&lt;0,F342&lt;0),"ERRO: valor negativo",IF(C342&lt;&gt;SUM(D342:F342),"ERRO: categorias diferem dos respondentes",IF(COUNTIFS($A$5:$A$1200,A342,$B$5:$B$1200,B342)&gt;1,"ERRO: período e curso duplicados","OK"))))</f>
        <v/>
      </c>
    </row>
    <row r="343" ht="15" customHeight="1" s="131">
      <c r="A343" s="320" t="n"/>
      <c r="B343" s="323" t="n"/>
      <c r="C343" s="320" t="n"/>
      <c r="D343" s="320" t="n"/>
      <c r="E343" s="320" t="n"/>
      <c r="F343" s="320" t="n"/>
      <c r="G343" s="284">
        <f>IFERROR((D343-F343)/C343*100,"")</f>
        <v/>
      </c>
      <c r="H343" s="324" t="n"/>
      <c r="I343" s="320" t="n"/>
      <c r="J343" s="325">
        <f>IF(COUNTA(A343:F343)=0,"",IF(OR(C343&lt;0,D343&lt;0,E343&lt;0,F343&lt;0),"ERRO: valor negativo",IF(C343&lt;&gt;SUM(D343:F343),"ERRO: categorias diferem dos respondentes",IF(COUNTIFS($A$5:$A$1200,A343,$B$5:$B$1200,B343)&gt;1,"ERRO: período e curso duplicados","OK"))))</f>
        <v/>
      </c>
    </row>
    <row r="344" ht="15" customHeight="1" s="131">
      <c r="A344" s="320" t="n"/>
      <c r="B344" s="323" t="n"/>
      <c r="C344" s="320" t="n"/>
      <c r="D344" s="320" t="n"/>
      <c r="E344" s="320" t="n"/>
      <c r="F344" s="320" t="n"/>
      <c r="G344" s="284">
        <f>IFERROR((D344-F344)/C344*100,"")</f>
        <v/>
      </c>
      <c r="H344" s="324" t="n"/>
      <c r="I344" s="320" t="n"/>
      <c r="J344" s="325">
        <f>IF(COUNTA(A344:F344)=0,"",IF(OR(C344&lt;0,D344&lt;0,E344&lt;0,F344&lt;0),"ERRO: valor negativo",IF(C344&lt;&gt;SUM(D344:F344),"ERRO: categorias diferem dos respondentes",IF(COUNTIFS($A$5:$A$1200,A344,$B$5:$B$1200,B344)&gt;1,"ERRO: período e curso duplicados","OK"))))</f>
        <v/>
      </c>
    </row>
    <row r="345" ht="15" customHeight="1" s="131">
      <c r="A345" s="320" t="n"/>
      <c r="B345" s="323" t="n"/>
      <c r="C345" s="320" t="n"/>
      <c r="D345" s="320" t="n"/>
      <c r="E345" s="320" t="n"/>
      <c r="F345" s="320" t="n"/>
      <c r="G345" s="284">
        <f>IFERROR((D345-F345)/C345*100,"")</f>
        <v/>
      </c>
      <c r="H345" s="324" t="n"/>
      <c r="I345" s="320" t="n"/>
      <c r="J345" s="325">
        <f>IF(COUNTA(A345:F345)=0,"",IF(OR(C345&lt;0,D345&lt;0,E345&lt;0,F345&lt;0),"ERRO: valor negativo",IF(C345&lt;&gt;SUM(D345:F345),"ERRO: categorias diferem dos respondentes",IF(COUNTIFS($A$5:$A$1200,A345,$B$5:$B$1200,B345)&gt;1,"ERRO: período e curso duplicados","OK"))))</f>
        <v/>
      </c>
    </row>
    <row r="346" ht="15" customHeight="1" s="131">
      <c r="A346" s="320" t="n"/>
      <c r="B346" s="323" t="n"/>
      <c r="C346" s="320" t="n"/>
      <c r="D346" s="320" t="n"/>
      <c r="E346" s="320" t="n"/>
      <c r="F346" s="320" t="n"/>
      <c r="G346" s="284">
        <f>IFERROR((D346-F346)/C346*100,"")</f>
        <v/>
      </c>
      <c r="H346" s="324" t="n"/>
      <c r="I346" s="320" t="n"/>
      <c r="J346" s="325">
        <f>IF(COUNTA(A346:F346)=0,"",IF(OR(C346&lt;0,D346&lt;0,E346&lt;0,F346&lt;0),"ERRO: valor negativo",IF(C346&lt;&gt;SUM(D346:F346),"ERRO: categorias diferem dos respondentes",IF(COUNTIFS($A$5:$A$1200,A346,$B$5:$B$1200,B346)&gt;1,"ERRO: período e curso duplicados","OK"))))</f>
        <v/>
      </c>
    </row>
    <row r="347" ht="15" customHeight="1" s="131">
      <c r="A347" s="320" t="n"/>
      <c r="B347" s="323" t="n"/>
      <c r="C347" s="320" t="n"/>
      <c r="D347" s="320" t="n"/>
      <c r="E347" s="320" t="n"/>
      <c r="F347" s="320" t="n"/>
      <c r="G347" s="284">
        <f>IFERROR((D347-F347)/C347*100,"")</f>
        <v/>
      </c>
      <c r="H347" s="324" t="n"/>
      <c r="I347" s="320" t="n"/>
      <c r="J347" s="325">
        <f>IF(COUNTA(A347:F347)=0,"",IF(OR(C347&lt;0,D347&lt;0,E347&lt;0,F347&lt;0),"ERRO: valor negativo",IF(C347&lt;&gt;SUM(D347:F347),"ERRO: categorias diferem dos respondentes",IF(COUNTIFS($A$5:$A$1200,A347,$B$5:$B$1200,B347)&gt;1,"ERRO: período e curso duplicados","OK"))))</f>
        <v/>
      </c>
    </row>
    <row r="348" ht="15" customHeight="1" s="131">
      <c r="A348" s="320" t="n"/>
      <c r="B348" s="323" t="n"/>
      <c r="C348" s="320" t="n"/>
      <c r="D348" s="320" t="n"/>
      <c r="E348" s="320" t="n"/>
      <c r="F348" s="320" t="n"/>
      <c r="G348" s="284">
        <f>IFERROR((D348-F348)/C348*100,"")</f>
        <v/>
      </c>
      <c r="H348" s="324" t="n"/>
      <c r="I348" s="320" t="n"/>
      <c r="J348" s="325">
        <f>IF(COUNTA(A348:F348)=0,"",IF(OR(C348&lt;0,D348&lt;0,E348&lt;0,F348&lt;0),"ERRO: valor negativo",IF(C348&lt;&gt;SUM(D348:F348),"ERRO: categorias diferem dos respondentes",IF(COUNTIFS($A$5:$A$1200,A348,$B$5:$B$1200,B348)&gt;1,"ERRO: período e curso duplicados","OK"))))</f>
        <v/>
      </c>
    </row>
    <row r="349" ht="15" customHeight="1" s="131">
      <c r="A349" s="320" t="n"/>
      <c r="B349" s="323" t="n"/>
      <c r="C349" s="320" t="n"/>
      <c r="D349" s="320" t="n"/>
      <c r="E349" s="320" t="n"/>
      <c r="F349" s="320" t="n"/>
      <c r="G349" s="284">
        <f>IFERROR((D349-F349)/C349*100,"")</f>
        <v/>
      </c>
      <c r="H349" s="324" t="n"/>
      <c r="I349" s="320" t="n"/>
      <c r="J349" s="325">
        <f>IF(COUNTA(A349:F349)=0,"",IF(OR(C349&lt;0,D349&lt;0,E349&lt;0,F349&lt;0),"ERRO: valor negativo",IF(C349&lt;&gt;SUM(D349:F349),"ERRO: categorias diferem dos respondentes",IF(COUNTIFS($A$5:$A$1200,A349,$B$5:$B$1200,B349)&gt;1,"ERRO: período e curso duplicados","OK"))))</f>
        <v/>
      </c>
    </row>
    <row r="350" ht="15" customHeight="1" s="131">
      <c r="A350" s="320" t="n"/>
      <c r="B350" s="323" t="n"/>
      <c r="C350" s="320" t="n"/>
      <c r="D350" s="320" t="n"/>
      <c r="E350" s="320" t="n"/>
      <c r="F350" s="320" t="n"/>
      <c r="G350" s="284">
        <f>IFERROR((D350-F350)/C350*100,"")</f>
        <v/>
      </c>
      <c r="H350" s="324" t="n"/>
      <c r="I350" s="320" t="n"/>
      <c r="J350" s="325">
        <f>IF(COUNTA(A350:F350)=0,"",IF(OR(C350&lt;0,D350&lt;0,E350&lt;0,F350&lt;0),"ERRO: valor negativo",IF(C350&lt;&gt;SUM(D350:F350),"ERRO: categorias diferem dos respondentes",IF(COUNTIFS($A$5:$A$1200,A350,$B$5:$B$1200,B350)&gt;1,"ERRO: período e curso duplicados","OK"))))</f>
        <v/>
      </c>
    </row>
    <row r="351" ht="15" customHeight="1" s="131">
      <c r="A351" s="320" t="n"/>
      <c r="B351" s="323" t="n"/>
      <c r="C351" s="320" t="n"/>
      <c r="D351" s="320" t="n"/>
      <c r="E351" s="320" t="n"/>
      <c r="F351" s="320" t="n"/>
      <c r="G351" s="284">
        <f>IFERROR((D351-F351)/C351*100,"")</f>
        <v/>
      </c>
      <c r="H351" s="324" t="n"/>
      <c r="I351" s="320" t="n"/>
      <c r="J351" s="325">
        <f>IF(COUNTA(A351:F351)=0,"",IF(OR(C351&lt;0,D351&lt;0,E351&lt;0,F351&lt;0),"ERRO: valor negativo",IF(C351&lt;&gt;SUM(D351:F351),"ERRO: categorias diferem dos respondentes",IF(COUNTIFS($A$5:$A$1200,A351,$B$5:$B$1200,B351)&gt;1,"ERRO: período e curso duplicados","OK"))))</f>
        <v/>
      </c>
    </row>
    <row r="352" ht="15" customHeight="1" s="131">
      <c r="A352" s="320" t="n"/>
      <c r="B352" s="323" t="n"/>
      <c r="C352" s="320" t="n"/>
      <c r="D352" s="320" t="n"/>
      <c r="E352" s="320" t="n"/>
      <c r="F352" s="320" t="n"/>
      <c r="G352" s="284">
        <f>IFERROR((D352-F352)/C352*100,"")</f>
        <v/>
      </c>
      <c r="H352" s="324" t="n"/>
      <c r="I352" s="320" t="n"/>
      <c r="J352" s="325">
        <f>IF(COUNTA(A352:F352)=0,"",IF(OR(C352&lt;0,D352&lt;0,E352&lt;0,F352&lt;0),"ERRO: valor negativo",IF(C352&lt;&gt;SUM(D352:F352),"ERRO: categorias diferem dos respondentes",IF(COUNTIFS($A$5:$A$1200,A352,$B$5:$B$1200,B352)&gt;1,"ERRO: período e curso duplicados","OK"))))</f>
        <v/>
      </c>
    </row>
    <row r="353" ht="15" customHeight="1" s="131">
      <c r="A353" s="320" t="n"/>
      <c r="B353" s="323" t="n"/>
      <c r="C353" s="320" t="n"/>
      <c r="D353" s="320" t="n"/>
      <c r="E353" s="320" t="n"/>
      <c r="F353" s="320" t="n"/>
      <c r="G353" s="284">
        <f>IFERROR((D353-F353)/C353*100,"")</f>
        <v/>
      </c>
      <c r="H353" s="324" t="n"/>
      <c r="I353" s="320" t="n"/>
      <c r="J353" s="325">
        <f>IF(COUNTA(A353:F353)=0,"",IF(OR(C353&lt;0,D353&lt;0,E353&lt;0,F353&lt;0),"ERRO: valor negativo",IF(C353&lt;&gt;SUM(D353:F353),"ERRO: categorias diferem dos respondentes",IF(COUNTIFS($A$5:$A$1200,A353,$B$5:$B$1200,B353)&gt;1,"ERRO: período e curso duplicados","OK"))))</f>
        <v/>
      </c>
    </row>
    <row r="354" ht="15" customHeight="1" s="131">
      <c r="A354" s="320" t="n"/>
      <c r="B354" s="323" t="n"/>
      <c r="C354" s="320" t="n"/>
      <c r="D354" s="320" t="n"/>
      <c r="E354" s="320" t="n"/>
      <c r="F354" s="320" t="n"/>
      <c r="G354" s="284">
        <f>IFERROR((D354-F354)/C354*100,"")</f>
        <v/>
      </c>
      <c r="H354" s="324" t="n"/>
      <c r="I354" s="320" t="n"/>
      <c r="J354" s="325">
        <f>IF(COUNTA(A354:F354)=0,"",IF(OR(C354&lt;0,D354&lt;0,E354&lt;0,F354&lt;0),"ERRO: valor negativo",IF(C354&lt;&gt;SUM(D354:F354),"ERRO: categorias diferem dos respondentes",IF(COUNTIFS($A$5:$A$1200,A354,$B$5:$B$1200,B354)&gt;1,"ERRO: período e curso duplicados","OK"))))</f>
        <v/>
      </c>
    </row>
    <row r="355" ht="15" customHeight="1" s="131">
      <c r="A355" s="320" t="n"/>
      <c r="B355" s="323" t="n"/>
      <c r="C355" s="320" t="n"/>
      <c r="D355" s="320" t="n"/>
      <c r="E355" s="320" t="n"/>
      <c r="F355" s="320" t="n"/>
      <c r="G355" s="284">
        <f>IFERROR((D355-F355)/C355*100,"")</f>
        <v/>
      </c>
      <c r="H355" s="324" t="n"/>
      <c r="I355" s="320" t="n"/>
      <c r="J355" s="325">
        <f>IF(COUNTA(A355:F355)=0,"",IF(OR(C355&lt;0,D355&lt;0,E355&lt;0,F355&lt;0),"ERRO: valor negativo",IF(C355&lt;&gt;SUM(D355:F355),"ERRO: categorias diferem dos respondentes",IF(COUNTIFS($A$5:$A$1200,A355,$B$5:$B$1200,B355)&gt;1,"ERRO: período e curso duplicados","OK"))))</f>
        <v/>
      </c>
    </row>
    <row r="356" ht="15" customHeight="1" s="131">
      <c r="A356" s="320" t="n"/>
      <c r="B356" s="323" t="n"/>
      <c r="C356" s="320" t="n"/>
      <c r="D356" s="320" t="n"/>
      <c r="E356" s="320" t="n"/>
      <c r="F356" s="320" t="n"/>
      <c r="G356" s="284">
        <f>IFERROR((D356-F356)/C356*100,"")</f>
        <v/>
      </c>
      <c r="H356" s="324" t="n"/>
      <c r="I356" s="320" t="n"/>
      <c r="J356" s="325">
        <f>IF(COUNTA(A356:F356)=0,"",IF(OR(C356&lt;0,D356&lt;0,E356&lt;0,F356&lt;0),"ERRO: valor negativo",IF(C356&lt;&gt;SUM(D356:F356),"ERRO: categorias diferem dos respondentes",IF(COUNTIFS($A$5:$A$1200,A356,$B$5:$B$1200,B356)&gt;1,"ERRO: período e curso duplicados","OK"))))</f>
        <v/>
      </c>
    </row>
    <row r="357" ht="15" customHeight="1" s="131">
      <c r="A357" s="320" t="n"/>
      <c r="B357" s="323" t="n"/>
      <c r="C357" s="320" t="n"/>
      <c r="D357" s="320" t="n"/>
      <c r="E357" s="320" t="n"/>
      <c r="F357" s="320" t="n"/>
      <c r="G357" s="284">
        <f>IFERROR((D357-F357)/C357*100,"")</f>
        <v/>
      </c>
      <c r="H357" s="324" t="n"/>
      <c r="I357" s="320" t="n"/>
      <c r="J357" s="325">
        <f>IF(COUNTA(A357:F357)=0,"",IF(OR(C357&lt;0,D357&lt;0,E357&lt;0,F357&lt;0),"ERRO: valor negativo",IF(C357&lt;&gt;SUM(D357:F357),"ERRO: categorias diferem dos respondentes",IF(COUNTIFS($A$5:$A$1200,A357,$B$5:$B$1200,B357)&gt;1,"ERRO: período e curso duplicados","OK"))))</f>
        <v/>
      </c>
    </row>
    <row r="358" ht="15" customHeight="1" s="131">
      <c r="A358" s="320" t="n"/>
      <c r="B358" s="323" t="n"/>
      <c r="C358" s="320" t="n"/>
      <c r="D358" s="320" t="n"/>
      <c r="E358" s="320" t="n"/>
      <c r="F358" s="320" t="n"/>
      <c r="G358" s="284">
        <f>IFERROR((D358-F358)/C358*100,"")</f>
        <v/>
      </c>
      <c r="H358" s="324" t="n"/>
      <c r="I358" s="320" t="n"/>
      <c r="J358" s="325">
        <f>IF(COUNTA(A358:F358)=0,"",IF(OR(C358&lt;0,D358&lt;0,E358&lt;0,F358&lt;0),"ERRO: valor negativo",IF(C358&lt;&gt;SUM(D358:F358),"ERRO: categorias diferem dos respondentes",IF(COUNTIFS($A$5:$A$1200,A358,$B$5:$B$1200,B358)&gt;1,"ERRO: período e curso duplicados","OK"))))</f>
        <v/>
      </c>
    </row>
    <row r="359" ht="15" customHeight="1" s="131">
      <c r="A359" s="320" t="n"/>
      <c r="B359" s="323" t="n"/>
      <c r="C359" s="320" t="n"/>
      <c r="D359" s="320" t="n"/>
      <c r="E359" s="320" t="n"/>
      <c r="F359" s="320" t="n"/>
      <c r="G359" s="284">
        <f>IFERROR((D359-F359)/C359*100,"")</f>
        <v/>
      </c>
      <c r="H359" s="324" t="n"/>
      <c r="I359" s="320" t="n"/>
      <c r="J359" s="325">
        <f>IF(COUNTA(A359:F359)=0,"",IF(OR(C359&lt;0,D359&lt;0,E359&lt;0,F359&lt;0),"ERRO: valor negativo",IF(C359&lt;&gt;SUM(D359:F359),"ERRO: categorias diferem dos respondentes",IF(COUNTIFS($A$5:$A$1200,A359,$B$5:$B$1200,B359)&gt;1,"ERRO: período e curso duplicados","OK"))))</f>
        <v/>
      </c>
    </row>
    <row r="360" ht="15" customHeight="1" s="131">
      <c r="A360" s="320" t="n"/>
      <c r="B360" s="323" t="n"/>
      <c r="C360" s="320" t="n"/>
      <c r="D360" s="320" t="n"/>
      <c r="E360" s="320" t="n"/>
      <c r="F360" s="320" t="n"/>
      <c r="G360" s="284">
        <f>IFERROR((D360-F360)/C360*100,"")</f>
        <v/>
      </c>
      <c r="H360" s="324" t="n"/>
      <c r="I360" s="320" t="n"/>
      <c r="J360" s="325">
        <f>IF(COUNTA(A360:F360)=0,"",IF(OR(C360&lt;0,D360&lt;0,E360&lt;0,F360&lt;0),"ERRO: valor negativo",IF(C360&lt;&gt;SUM(D360:F360),"ERRO: categorias diferem dos respondentes",IF(COUNTIFS($A$5:$A$1200,A360,$B$5:$B$1200,B360)&gt;1,"ERRO: período e curso duplicados","OK"))))</f>
        <v/>
      </c>
    </row>
    <row r="361" ht="15" customHeight="1" s="131">
      <c r="A361" s="320" t="n"/>
      <c r="B361" s="323" t="n"/>
      <c r="C361" s="320" t="n"/>
      <c r="D361" s="320" t="n"/>
      <c r="E361" s="320" t="n"/>
      <c r="F361" s="320" t="n"/>
      <c r="G361" s="284">
        <f>IFERROR((D361-F361)/C361*100,"")</f>
        <v/>
      </c>
      <c r="H361" s="324" t="n"/>
      <c r="I361" s="320" t="n"/>
      <c r="J361" s="325">
        <f>IF(COUNTA(A361:F361)=0,"",IF(OR(C361&lt;0,D361&lt;0,E361&lt;0,F361&lt;0),"ERRO: valor negativo",IF(C361&lt;&gt;SUM(D361:F361),"ERRO: categorias diferem dos respondentes",IF(COUNTIFS($A$5:$A$1200,A361,$B$5:$B$1200,B361)&gt;1,"ERRO: período e curso duplicados","OK"))))</f>
        <v/>
      </c>
    </row>
    <row r="362" ht="15" customHeight="1" s="131">
      <c r="A362" s="320" t="n"/>
      <c r="B362" s="323" t="n"/>
      <c r="C362" s="320" t="n"/>
      <c r="D362" s="320" t="n"/>
      <c r="E362" s="320" t="n"/>
      <c r="F362" s="320" t="n"/>
      <c r="G362" s="284">
        <f>IFERROR((D362-F362)/C362*100,"")</f>
        <v/>
      </c>
      <c r="H362" s="324" t="n"/>
      <c r="I362" s="320" t="n"/>
      <c r="J362" s="325">
        <f>IF(COUNTA(A362:F362)=0,"",IF(OR(C362&lt;0,D362&lt;0,E362&lt;0,F362&lt;0),"ERRO: valor negativo",IF(C362&lt;&gt;SUM(D362:F362),"ERRO: categorias diferem dos respondentes",IF(COUNTIFS($A$5:$A$1200,A362,$B$5:$B$1200,B362)&gt;1,"ERRO: período e curso duplicados","OK"))))</f>
        <v/>
      </c>
    </row>
    <row r="363" ht="15" customHeight="1" s="131">
      <c r="A363" s="320" t="n"/>
      <c r="B363" s="323" t="n"/>
      <c r="C363" s="320" t="n"/>
      <c r="D363" s="320" t="n"/>
      <c r="E363" s="320" t="n"/>
      <c r="F363" s="320" t="n"/>
      <c r="G363" s="284">
        <f>IFERROR((D363-F363)/C363*100,"")</f>
        <v/>
      </c>
      <c r="H363" s="324" t="n"/>
      <c r="I363" s="320" t="n"/>
      <c r="J363" s="325">
        <f>IF(COUNTA(A363:F363)=0,"",IF(OR(C363&lt;0,D363&lt;0,E363&lt;0,F363&lt;0),"ERRO: valor negativo",IF(C363&lt;&gt;SUM(D363:F363),"ERRO: categorias diferem dos respondentes",IF(COUNTIFS($A$5:$A$1200,A363,$B$5:$B$1200,B363)&gt;1,"ERRO: período e curso duplicados","OK"))))</f>
        <v/>
      </c>
    </row>
    <row r="364" ht="15" customHeight="1" s="131">
      <c r="A364" s="320" t="n"/>
      <c r="B364" s="323" t="n"/>
      <c r="C364" s="320" t="n"/>
      <c r="D364" s="320" t="n"/>
      <c r="E364" s="320" t="n"/>
      <c r="F364" s="320" t="n"/>
      <c r="G364" s="284">
        <f>IFERROR((D364-F364)/C364*100,"")</f>
        <v/>
      </c>
      <c r="H364" s="324" t="n"/>
      <c r="I364" s="320" t="n"/>
      <c r="J364" s="325">
        <f>IF(COUNTA(A364:F364)=0,"",IF(OR(C364&lt;0,D364&lt;0,E364&lt;0,F364&lt;0),"ERRO: valor negativo",IF(C364&lt;&gt;SUM(D364:F364),"ERRO: categorias diferem dos respondentes",IF(COUNTIFS($A$5:$A$1200,A364,$B$5:$B$1200,B364)&gt;1,"ERRO: período e curso duplicados","OK"))))</f>
        <v/>
      </c>
    </row>
    <row r="365" ht="15" customHeight="1" s="131">
      <c r="A365" s="320" t="n"/>
      <c r="B365" s="323" t="n"/>
      <c r="C365" s="320" t="n"/>
      <c r="D365" s="320" t="n"/>
      <c r="E365" s="320" t="n"/>
      <c r="F365" s="320" t="n"/>
      <c r="G365" s="284">
        <f>IFERROR((D365-F365)/C365*100,"")</f>
        <v/>
      </c>
      <c r="H365" s="324" t="n"/>
      <c r="I365" s="320" t="n"/>
      <c r="J365" s="325">
        <f>IF(COUNTA(A365:F365)=0,"",IF(OR(C365&lt;0,D365&lt;0,E365&lt;0,F365&lt;0),"ERRO: valor negativo",IF(C365&lt;&gt;SUM(D365:F365),"ERRO: categorias diferem dos respondentes",IF(COUNTIFS($A$5:$A$1200,A365,$B$5:$B$1200,B365)&gt;1,"ERRO: período e curso duplicados","OK"))))</f>
        <v/>
      </c>
    </row>
    <row r="366" ht="15" customHeight="1" s="131">
      <c r="A366" s="320" t="n"/>
      <c r="B366" s="323" t="n"/>
      <c r="C366" s="320" t="n"/>
      <c r="D366" s="320" t="n"/>
      <c r="E366" s="320" t="n"/>
      <c r="F366" s="320" t="n"/>
      <c r="G366" s="284">
        <f>IFERROR((D366-F366)/C366*100,"")</f>
        <v/>
      </c>
      <c r="H366" s="324" t="n"/>
      <c r="I366" s="320" t="n"/>
      <c r="J366" s="325">
        <f>IF(COUNTA(A366:F366)=0,"",IF(OR(C366&lt;0,D366&lt;0,E366&lt;0,F366&lt;0),"ERRO: valor negativo",IF(C366&lt;&gt;SUM(D366:F366),"ERRO: categorias diferem dos respondentes",IF(COUNTIFS($A$5:$A$1200,A366,$B$5:$B$1200,B366)&gt;1,"ERRO: período e curso duplicados","OK"))))</f>
        <v/>
      </c>
    </row>
    <row r="367" ht="15" customHeight="1" s="131">
      <c r="A367" s="320" t="n"/>
      <c r="B367" s="323" t="n"/>
      <c r="C367" s="320" t="n"/>
      <c r="D367" s="320" t="n"/>
      <c r="E367" s="320" t="n"/>
      <c r="F367" s="320" t="n"/>
      <c r="G367" s="284">
        <f>IFERROR((D367-F367)/C367*100,"")</f>
        <v/>
      </c>
      <c r="H367" s="324" t="n"/>
      <c r="I367" s="320" t="n"/>
      <c r="J367" s="325">
        <f>IF(COUNTA(A367:F367)=0,"",IF(OR(C367&lt;0,D367&lt;0,E367&lt;0,F367&lt;0),"ERRO: valor negativo",IF(C367&lt;&gt;SUM(D367:F367),"ERRO: categorias diferem dos respondentes",IF(COUNTIFS($A$5:$A$1200,A367,$B$5:$B$1200,B367)&gt;1,"ERRO: período e curso duplicados","OK"))))</f>
        <v/>
      </c>
    </row>
    <row r="368" ht="15" customHeight="1" s="131">
      <c r="A368" s="320" t="n"/>
      <c r="B368" s="323" t="n"/>
      <c r="C368" s="320" t="n"/>
      <c r="D368" s="320" t="n"/>
      <c r="E368" s="320" t="n"/>
      <c r="F368" s="320" t="n"/>
      <c r="G368" s="284">
        <f>IFERROR((D368-F368)/C368*100,"")</f>
        <v/>
      </c>
      <c r="H368" s="324" t="n"/>
      <c r="I368" s="320" t="n"/>
      <c r="J368" s="325">
        <f>IF(COUNTA(A368:F368)=0,"",IF(OR(C368&lt;0,D368&lt;0,E368&lt;0,F368&lt;0),"ERRO: valor negativo",IF(C368&lt;&gt;SUM(D368:F368),"ERRO: categorias diferem dos respondentes",IF(COUNTIFS($A$5:$A$1200,A368,$B$5:$B$1200,B368)&gt;1,"ERRO: período e curso duplicados","OK"))))</f>
        <v/>
      </c>
    </row>
    <row r="369" ht="15" customHeight="1" s="131">
      <c r="A369" s="320" t="n"/>
      <c r="B369" s="323" t="n"/>
      <c r="C369" s="320" t="n"/>
      <c r="D369" s="320" t="n"/>
      <c r="E369" s="320" t="n"/>
      <c r="F369" s="320" t="n"/>
      <c r="G369" s="284">
        <f>IFERROR((D369-F369)/C369*100,"")</f>
        <v/>
      </c>
      <c r="H369" s="324" t="n"/>
      <c r="I369" s="320" t="n"/>
      <c r="J369" s="325">
        <f>IF(COUNTA(A369:F369)=0,"",IF(OR(C369&lt;0,D369&lt;0,E369&lt;0,F369&lt;0),"ERRO: valor negativo",IF(C369&lt;&gt;SUM(D369:F369),"ERRO: categorias diferem dos respondentes",IF(COUNTIFS($A$5:$A$1200,A369,$B$5:$B$1200,B369)&gt;1,"ERRO: período e curso duplicados","OK"))))</f>
        <v/>
      </c>
    </row>
    <row r="370" ht="15" customHeight="1" s="131">
      <c r="A370" s="320" t="n"/>
      <c r="B370" s="323" t="n"/>
      <c r="C370" s="320" t="n"/>
      <c r="D370" s="320" t="n"/>
      <c r="E370" s="320" t="n"/>
      <c r="F370" s="320" t="n"/>
      <c r="G370" s="284">
        <f>IFERROR((D370-F370)/C370*100,"")</f>
        <v/>
      </c>
      <c r="H370" s="324" t="n"/>
      <c r="I370" s="320" t="n"/>
      <c r="J370" s="325">
        <f>IF(COUNTA(A370:F370)=0,"",IF(OR(C370&lt;0,D370&lt;0,E370&lt;0,F370&lt;0),"ERRO: valor negativo",IF(C370&lt;&gt;SUM(D370:F370),"ERRO: categorias diferem dos respondentes",IF(COUNTIFS($A$5:$A$1200,A370,$B$5:$B$1200,B370)&gt;1,"ERRO: período e curso duplicados","OK"))))</f>
        <v/>
      </c>
    </row>
    <row r="371" ht="15" customHeight="1" s="131">
      <c r="A371" s="320" t="n"/>
      <c r="B371" s="323" t="n"/>
      <c r="C371" s="320" t="n"/>
      <c r="D371" s="320" t="n"/>
      <c r="E371" s="320" t="n"/>
      <c r="F371" s="320" t="n"/>
      <c r="G371" s="284">
        <f>IFERROR((D371-F371)/C371*100,"")</f>
        <v/>
      </c>
      <c r="H371" s="324" t="n"/>
      <c r="I371" s="320" t="n"/>
      <c r="J371" s="325">
        <f>IF(COUNTA(A371:F371)=0,"",IF(OR(C371&lt;0,D371&lt;0,E371&lt;0,F371&lt;0),"ERRO: valor negativo",IF(C371&lt;&gt;SUM(D371:F371),"ERRO: categorias diferem dos respondentes",IF(COUNTIFS($A$5:$A$1200,A371,$B$5:$B$1200,B371)&gt;1,"ERRO: período e curso duplicados","OK"))))</f>
        <v/>
      </c>
    </row>
    <row r="372" ht="15" customHeight="1" s="131">
      <c r="A372" s="320" t="n"/>
      <c r="B372" s="323" t="n"/>
      <c r="C372" s="320" t="n"/>
      <c r="D372" s="320" t="n"/>
      <c r="E372" s="320" t="n"/>
      <c r="F372" s="320" t="n"/>
      <c r="G372" s="284">
        <f>IFERROR((D372-F372)/C372*100,"")</f>
        <v/>
      </c>
      <c r="H372" s="324" t="n"/>
      <c r="I372" s="320" t="n"/>
      <c r="J372" s="325">
        <f>IF(COUNTA(A372:F372)=0,"",IF(OR(C372&lt;0,D372&lt;0,E372&lt;0,F372&lt;0),"ERRO: valor negativo",IF(C372&lt;&gt;SUM(D372:F372),"ERRO: categorias diferem dos respondentes",IF(COUNTIFS($A$5:$A$1200,A372,$B$5:$B$1200,B372)&gt;1,"ERRO: período e curso duplicados","OK"))))</f>
        <v/>
      </c>
    </row>
    <row r="373" ht="15" customHeight="1" s="131">
      <c r="A373" s="320" t="n"/>
      <c r="B373" s="323" t="n"/>
      <c r="C373" s="320" t="n"/>
      <c r="D373" s="320" t="n"/>
      <c r="E373" s="320" t="n"/>
      <c r="F373" s="320" t="n"/>
      <c r="G373" s="284">
        <f>IFERROR((D373-F373)/C373*100,"")</f>
        <v/>
      </c>
      <c r="H373" s="324" t="n"/>
      <c r="I373" s="320" t="n"/>
      <c r="J373" s="325">
        <f>IF(COUNTA(A373:F373)=0,"",IF(OR(C373&lt;0,D373&lt;0,E373&lt;0,F373&lt;0),"ERRO: valor negativo",IF(C373&lt;&gt;SUM(D373:F373),"ERRO: categorias diferem dos respondentes",IF(COUNTIFS($A$5:$A$1200,A373,$B$5:$B$1200,B373)&gt;1,"ERRO: período e curso duplicados","OK"))))</f>
        <v/>
      </c>
    </row>
    <row r="374" ht="15" customHeight="1" s="131">
      <c r="A374" s="320" t="n"/>
      <c r="B374" s="323" t="n"/>
      <c r="C374" s="320" t="n"/>
      <c r="D374" s="320" t="n"/>
      <c r="E374" s="320" t="n"/>
      <c r="F374" s="320" t="n"/>
      <c r="G374" s="284">
        <f>IFERROR((D374-F374)/C374*100,"")</f>
        <v/>
      </c>
      <c r="H374" s="324" t="n"/>
      <c r="I374" s="320" t="n"/>
      <c r="J374" s="325">
        <f>IF(COUNTA(A374:F374)=0,"",IF(OR(C374&lt;0,D374&lt;0,E374&lt;0,F374&lt;0),"ERRO: valor negativo",IF(C374&lt;&gt;SUM(D374:F374),"ERRO: categorias diferem dos respondentes",IF(COUNTIFS($A$5:$A$1200,A374,$B$5:$B$1200,B374)&gt;1,"ERRO: período e curso duplicados","OK"))))</f>
        <v/>
      </c>
    </row>
    <row r="375" ht="15" customHeight="1" s="131">
      <c r="A375" s="320" t="n"/>
      <c r="B375" s="323" t="n"/>
      <c r="C375" s="320" t="n"/>
      <c r="D375" s="320" t="n"/>
      <c r="E375" s="320" t="n"/>
      <c r="F375" s="320" t="n"/>
      <c r="G375" s="284">
        <f>IFERROR((D375-F375)/C375*100,"")</f>
        <v/>
      </c>
      <c r="H375" s="324" t="n"/>
      <c r="I375" s="320" t="n"/>
      <c r="J375" s="325">
        <f>IF(COUNTA(A375:F375)=0,"",IF(OR(C375&lt;0,D375&lt;0,E375&lt;0,F375&lt;0),"ERRO: valor negativo",IF(C375&lt;&gt;SUM(D375:F375),"ERRO: categorias diferem dos respondentes",IF(COUNTIFS($A$5:$A$1200,A375,$B$5:$B$1200,B375)&gt;1,"ERRO: período e curso duplicados","OK"))))</f>
        <v/>
      </c>
    </row>
    <row r="376" ht="15" customHeight="1" s="131">
      <c r="A376" s="320" t="n"/>
      <c r="B376" s="323" t="n"/>
      <c r="C376" s="320" t="n"/>
      <c r="D376" s="320" t="n"/>
      <c r="E376" s="320" t="n"/>
      <c r="F376" s="320" t="n"/>
      <c r="G376" s="284">
        <f>IFERROR((D376-F376)/C376*100,"")</f>
        <v/>
      </c>
      <c r="H376" s="324" t="n"/>
      <c r="I376" s="320" t="n"/>
      <c r="J376" s="325">
        <f>IF(COUNTA(A376:F376)=0,"",IF(OR(C376&lt;0,D376&lt;0,E376&lt;0,F376&lt;0),"ERRO: valor negativo",IF(C376&lt;&gt;SUM(D376:F376),"ERRO: categorias diferem dos respondentes",IF(COUNTIFS($A$5:$A$1200,A376,$B$5:$B$1200,B376)&gt;1,"ERRO: período e curso duplicados","OK"))))</f>
        <v/>
      </c>
    </row>
    <row r="377" ht="15" customHeight="1" s="131">
      <c r="A377" s="320" t="n"/>
      <c r="B377" s="323" t="n"/>
      <c r="C377" s="320" t="n"/>
      <c r="D377" s="320" t="n"/>
      <c r="E377" s="320" t="n"/>
      <c r="F377" s="320" t="n"/>
      <c r="G377" s="284">
        <f>IFERROR((D377-F377)/C377*100,"")</f>
        <v/>
      </c>
      <c r="H377" s="324" t="n"/>
      <c r="I377" s="320" t="n"/>
      <c r="J377" s="325">
        <f>IF(COUNTA(A377:F377)=0,"",IF(OR(C377&lt;0,D377&lt;0,E377&lt;0,F377&lt;0),"ERRO: valor negativo",IF(C377&lt;&gt;SUM(D377:F377),"ERRO: categorias diferem dos respondentes",IF(COUNTIFS($A$5:$A$1200,A377,$B$5:$B$1200,B377)&gt;1,"ERRO: período e curso duplicados","OK"))))</f>
        <v/>
      </c>
    </row>
    <row r="378" ht="15" customHeight="1" s="131">
      <c r="A378" s="320" t="n"/>
      <c r="B378" s="323" t="n"/>
      <c r="C378" s="320" t="n"/>
      <c r="D378" s="320" t="n"/>
      <c r="E378" s="320" t="n"/>
      <c r="F378" s="320" t="n"/>
      <c r="G378" s="284">
        <f>IFERROR((D378-F378)/C378*100,"")</f>
        <v/>
      </c>
      <c r="H378" s="324" t="n"/>
      <c r="I378" s="320" t="n"/>
      <c r="J378" s="325">
        <f>IF(COUNTA(A378:F378)=0,"",IF(OR(C378&lt;0,D378&lt;0,E378&lt;0,F378&lt;0),"ERRO: valor negativo",IF(C378&lt;&gt;SUM(D378:F378),"ERRO: categorias diferem dos respondentes",IF(COUNTIFS($A$5:$A$1200,A378,$B$5:$B$1200,B378)&gt;1,"ERRO: período e curso duplicados","OK"))))</f>
        <v/>
      </c>
    </row>
    <row r="379" ht="15" customHeight="1" s="131">
      <c r="A379" s="320" t="n"/>
      <c r="B379" s="323" t="n"/>
      <c r="C379" s="320" t="n"/>
      <c r="D379" s="320" t="n"/>
      <c r="E379" s="320" t="n"/>
      <c r="F379" s="320" t="n"/>
      <c r="G379" s="284">
        <f>IFERROR((D379-F379)/C379*100,"")</f>
        <v/>
      </c>
      <c r="H379" s="324" t="n"/>
      <c r="I379" s="320" t="n"/>
      <c r="J379" s="325">
        <f>IF(COUNTA(A379:F379)=0,"",IF(OR(C379&lt;0,D379&lt;0,E379&lt;0,F379&lt;0),"ERRO: valor negativo",IF(C379&lt;&gt;SUM(D379:F379),"ERRO: categorias diferem dos respondentes",IF(COUNTIFS($A$5:$A$1200,A379,$B$5:$B$1200,B379)&gt;1,"ERRO: período e curso duplicados","OK"))))</f>
        <v/>
      </c>
    </row>
    <row r="380" ht="15" customHeight="1" s="131">
      <c r="A380" s="320" t="n"/>
      <c r="B380" s="323" t="n"/>
      <c r="C380" s="320" t="n"/>
      <c r="D380" s="320" t="n"/>
      <c r="E380" s="320" t="n"/>
      <c r="F380" s="320" t="n"/>
      <c r="G380" s="284">
        <f>IFERROR((D380-F380)/C380*100,"")</f>
        <v/>
      </c>
      <c r="H380" s="324" t="n"/>
      <c r="I380" s="320" t="n"/>
      <c r="J380" s="325">
        <f>IF(COUNTA(A380:F380)=0,"",IF(OR(C380&lt;0,D380&lt;0,E380&lt;0,F380&lt;0),"ERRO: valor negativo",IF(C380&lt;&gt;SUM(D380:F380),"ERRO: categorias diferem dos respondentes",IF(COUNTIFS($A$5:$A$1200,A380,$B$5:$B$1200,B380)&gt;1,"ERRO: período e curso duplicados","OK"))))</f>
        <v/>
      </c>
    </row>
    <row r="381" ht="15" customHeight="1" s="131">
      <c r="A381" s="320" t="n"/>
      <c r="B381" s="323" t="n"/>
      <c r="C381" s="320" t="n"/>
      <c r="D381" s="320" t="n"/>
      <c r="E381" s="320" t="n"/>
      <c r="F381" s="320" t="n"/>
      <c r="G381" s="284">
        <f>IFERROR((D381-F381)/C381*100,"")</f>
        <v/>
      </c>
      <c r="H381" s="324" t="n"/>
      <c r="I381" s="320" t="n"/>
      <c r="J381" s="325">
        <f>IF(COUNTA(A381:F381)=0,"",IF(OR(C381&lt;0,D381&lt;0,E381&lt;0,F381&lt;0),"ERRO: valor negativo",IF(C381&lt;&gt;SUM(D381:F381),"ERRO: categorias diferem dos respondentes",IF(COUNTIFS($A$5:$A$1200,A381,$B$5:$B$1200,B381)&gt;1,"ERRO: período e curso duplicados","OK"))))</f>
        <v/>
      </c>
    </row>
    <row r="382" ht="15" customHeight="1" s="131">
      <c r="A382" s="320" t="n"/>
      <c r="B382" s="323" t="n"/>
      <c r="C382" s="320" t="n"/>
      <c r="D382" s="320" t="n"/>
      <c r="E382" s="320" t="n"/>
      <c r="F382" s="320" t="n"/>
      <c r="G382" s="284">
        <f>IFERROR((D382-F382)/C382*100,"")</f>
        <v/>
      </c>
      <c r="H382" s="324" t="n"/>
      <c r="I382" s="320" t="n"/>
      <c r="J382" s="325">
        <f>IF(COUNTA(A382:F382)=0,"",IF(OR(C382&lt;0,D382&lt;0,E382&lt;0,F382&lt;0),"ERRO: valor negativo",IF(C382&lt;&gt;SUM(D382:F382),"ERRO: categorias diferem dos respondentes",IF(COUNTIFS($A$5:$A$1200,A382,$B$5:$B$1200,B382)&gt;1,"ERRO: período e curso duplicados","OK"))))</f>
        <v/>
      </c>
    </row>
    <row r="383" ht="15" customHeight="1" s="131">
      <c r="A383" s="320" t="n"/>
      <c r="B383" s="323" t="n"/>
      <c r="C383" s="320" t="n"/>
      <c r="D383" s="320" t="n"/>
      <c r="E383" s="320" t="n"/>
      <c r="F383" s="320" t="n"/>
      <c r="G383" s="284">
        <f>IFERROR((D383-F383)/C383*100,"")</f>
        <v/>
      </c>
      <c r="H383" s="324" t="n"/>
      <c r="I383" s="320" t="n"/>
      <c r="J383" s="325">
        <f>IF(COUNTA(A383:F383)=0,"",IF(OR(C383&lt;0,D383&lt;0,E383&lt;0,F383&lt;0),"ERRO: valor negativo",IF(C383&lt;&gt;SUM(D383:F383),"ERRO: categorias diferem dos respondentes",IF(COUNTIFS($A$5:$A$1200,A383,$B$5:$B$1200,B383)&gt;1,"ERRO: período e curso duplicados","OK"))))</f>
        <v/>
      </c>
    </row>
    <row r="384" ht="15" customHeight="1" s="131">
      <c r="A384" s="320" t="n"/>
      <c r="B384" s="323" t="n"/>
      <c r="C384" s="320" t="n"/>
      <c r="D384" s="320" t="n"/>
      <c r="E384" s="320" t="n"/>
      <c r="F384" s="320" t="n"/>
      <c r="G384" s="284">
        <f>IFERROR((D384-F384)/C384*100,"")</f>
        <v/>
      </c>
      <c r="H384" s="324" t="n"/>
      <c r="I384" s="320" t="n"/>
      <c r="J384" s="325">
        <f>IF(COUNTA(A384:F384)=0,"",IF(OR(C384&lt;0,D384&lt;0,E384&lt;0,F384&lt;0),"ERRO: valor negativo",IF(C384&lt;&gt;SUM(D384:F384),"ERRO: categorias diferem dos respondentes",IF(COUNTIFS($A$5:$A$1200,A384,$B$5:$B$1200,B384)&gt;1,"ERRO: período e curso duplicados","OK"))))</f>
        <v/>
      </c>
    </row>
    <row r="385" ht="15" customHeight="1" s="131">
      <c r="A385" s="320" t="n"/>
      <c r="B385" s="323" t="n"/>
      <c r="C385" s="320" t="n"/>
      <c r="D385" s="320" t="n"/>
      <c r="E385" s="320" t="n"/>
      <c r="F385" s="320" t="n"/>
      <c r="G385" s="284">
        <f>IFERROR((D385-F385)/C385*100,"")</f>
        <v/>
      </c>
      <c r="H385" s="324" t="n"/>
      <c r="I385" s="320" t="n"/>
      <c r="J385" s="325">
        <f>IF(COUNTA(A385:F385)=0,"",IF(OR(C385&lt;0,D385&lt;0,E385&lt;0,F385&lt;0),"ERRO: valor negativo",IF(C385&lt;&gt;SUM(D385:F385),"ERRO: categorias diferem dos respondentes",IF(COUNTIFS($A$5:$A$1200,A385,$B$5:$B$1200,B385)&gt;1,"ERRO: período e curso duplicados","OK"))))</f>
        <v/>
      </c>
    </row>
    <row r="386" ht="15" customHeight="1" s="131">
      <c r="A386" s="320" t="n"/>
      <c r="B386" s="323" t="n"/>
      <c r="C386" s="320" t="n"/>
      <c r="D386" s="320" t="n"/>
      <c r="E386" s="320" t="n"/>
      <c r="F386" s="320" t="n"/>
      <c r="G386" s="284">
        <f>IFERROR((D386-F386)/C386*100,"")</f>
        <v/>
      </c>
      <c r="H386" s="324" t="n"/>
      <c r="I386" s="320" t="n"/>
      <c r="J386" s="325">
        <f>IF(COUNTA(A386:F386)=0,"",IF(OR(C386&lt;0,D386&lt;0,E386&lt;0,F386&lt;0),"ERRO: valor negativo",IF(C386&lt;&gt;SUM(D386:F386),"ERRO: categorias diferem dos respondentes",IF(COUNTIFS($A$5:$A$1200,A386,$B$5:$B$1200,B386)&gt;1,"ERRO: período e curso duplicados","OK"))))</f>
        <v/>
      </c>
    </row>
    <row r="387" ht="15" customHeight="1" s="131">
      <c r="A387" s="320" t="n"/>
      <c r="B387" s="323" t="n"/>
      <c r="C387" s="320" t="n"/>
      <c r="D387" s="320" t="n"/>
      <c r="E387" s="320" t="n"/>
      <c r="F387" s="320" t="n"/>
      <c r="G387" s="284">
        <f>IFERROR((D387-F387)/C387*100,"")</f>
        <v/>
      </c>
      <c r="H387" s="324" t="n"/>
      <c r="I387" s="320" t="n"/>
      <c r="J387" s="325">
        <f>IF(COUNTA(A387:F387)=0,"",IF(OR(C387&lt;0,D387&lt;0,E387&lt;0,F387&lt;0),"ERRO: valor negativo",IF(C387&lt;&gt;SUM(D387:F387),"ERRO: categorias diferem dos respondentes",IF(COUNTIFS($A$5:$A$1200,A387,$B$5:$B$1200,B387)&gt;1,"ERRO: período e curso duplicados","OK"))))</f>
        <v/>
      </c>
    </row>
    <row r="388" ht="15" customHeight="1" s="131">
      <c r="A388" s="320" t="n"/>
      <c r="B388" s="323" t="n"/>
      <c r="C388" s="320" t="n"/>
      <c r="D388" s="320" t="n"/>
      <c r="E388" s="320" t="n"/>
      <c r="F388" s="320" t="n"/>
      <c r="G388" s="284">
        <f>IFERROR((D388-F388)/C388*100,"")</f>
        <v/>
      </c>
      <c r="H388" s="324" t="n"/>
      <c r="I388" s="320" t="n"/>
      <c r="J388" s="325">
        <f>IF(COUNTA(A388:F388)=0,"",IF(OR(C388&lt;0,D388&lt;0,E388&lt;0,F388&lt;0),"ERRO: valor negativo",IF(C388&lt;&gt;SUM(D388:F388),"ERRO: categorias diferem dos respondentes",IF(COUNTIFS($A$5:$A$1200,A388,$B$5:$B$1200,B388)&gt;1,"ERRO: período e curso duplicados","OK"))))</f>
        <v/>
      </c>
    </row>
    <row r="389" ht="15" customHeight="1" s="131">
      <c r="A389" s="320" t="n"/>
      <c r="B389" s="323" t="n"/>
      <c r="C389" s="320" t="n"/>
      <c r="D389" s="320" t="n"/>
      <c r="E389" s="320" t="n"/>
      <c r="F389" s="320" t="n"/>
      <c r="G389" s="284">
        <f>IFERROR((D389-F389)/C389*100,"")</f>
        <v/>
      </c>
      <c r="H389" s="324" t="n"/>
      <c r="I389" s="320" t="n"/>
      <c r="J389" s="325">
        <f>IF(COUNTA(A389:F389)=0,"",IF(OR(C389&lt;0,D389&lt;0,E389&lt;0,F389&lt;0),"ERRO: valor negativo",IF(C389&lt;&gt;SUM(D389:F389),"ERRO: categorias diferem dos respondentes",IF(COUNTIFS($A$5:$A$1200,A389,$B$5:$B$1200,B389)&gt;1,"ERRO: período e curso duplicados","OK"))))</f>
        <v/>
      </c>
    </row>
    <row r="390" ht="15" customHeight="1" s="131">
      <c r="A390" s="320" t="n"/>
      <c r="B390" s="323" t="n"/>
      <c r="C390" s="320" t="n"/>
      <c r="D390" s="320" t="n"/>
      <c r="E390" s="320" t="n"/>
      <c r="F390" s="320" t="n"/>
      <c r="G390" s="284">
        <f>IFERROR((D390-F390)/C390*100,"")</f>
        <v/>
      </c>
      <c r="H390" s="324" t="n"/>
      <c r="I390" s="320" t="n"/>
      <c r="J390" s="325">
        <f>IF(COUNTA(A390:F390)=0,"",IF(OR(C390&lt;0,D390&lt;0,E390&lt;0,F390&lt;0),"ERRO: valor negativo",IF(C390&lt;&gt;SUM(D390:F390),"ERRO: categorias diferem dos respondentes",IF(COUNTIFS($A$5:$A$1200,A390,$B$5:$B$1200,B390)&gt;1,"ERRO: período e curso duplicados","OK"))))</f>
        <v/>
      </c>
    </row>
    <row r="391" ht="15" customHeight="1" s="131">
      <c r="A391" s="320" t="n"/>
      <c r="B391" s="323" t="n"/>
      <c r="C391" s="320" t="n"/>
      <c r="D391" s="320" t="n"/>
      <c r="E391" s="320" t="n"/>
      <c r="F391" s="320" t="n"/>
      <c r="G391" s="284">
        <f>IFERROR((D391-F391)/C391*100,"")</f>
        <v/>
      </c>
      <c r="H391" s="324" t="n"/>
      <c r="I391" s="320" t="n"/>
      <c r="J391" s="325">
        <f>IF(COUNTA(A391:F391)=0,"",IF(OR(C391&lt;0,D391&lt;0,E391&lt;0,F391&lt;0),"ERRO: valor negativo",IF(C391&lt;&gt;SUM(D391:F391),"ERRO: categorias diferem dos respondentes",IF(COUNTIFS($A$5:$A$1200,A391,$B$5:$B$1200,B391)&gt;1,"ERRO: período e curso duplicados","OK"))))</f>
        <v/>
      </c>
    </row>
    <row r="392" ht="15" customHeight="1" s="131">
      <c r="A392" s="320" t="n"/>
      <c r="B392" s="323" t="n"/>
      <c r="C392" s="320" t="n"/>
      <c r="D392" s="320" t="n"/>
      <c r="E392" s="320" t="n"/>
      <c r="F392" s="320" t="n"/>
      <c r="G392" s="284">
        <f>IFERROR((D392-F392)/C392*100,"")</f>
        <v/>
      </c>
      <c r="H392" s="324" t="n"/>
      <c r="I392" s="320" t="n"/>
      <c r="J392" s="325">
        <f>IF(COUNTA(A392:F392)=0,"",IF(OR(C392&lt;0,D392&lt;0,E392&lt;0,F392&lt;0),"ERRO: valor negativo",IF(C392&lt;&gt;SUM(D392:F392),"ERRO: categorias diferem dos respondentes",IF(COUNTIFS($A$5:$A$1200,A392,$B$5:$B$1200,B392)&gt;1,"ERRO: período e curso duplicados","OK"))))</f>
        <v/>
      </c>
    </row>
    <row r="393" ht="15" customHeight="1" s="131">
      <c r="A393" s="320" t="n"/>
      <c r="B393" s="323" t="n"/>
      <c r="C393" s="320" t="n"/>
      <c r="D393" s="320" t="n"/>
      <c r="E393" s="320" t="n"/>
      <c r="F393" s="320" t="n"/>
      <c r="G393" s="284">
        <f>IFERROR((D393-F393)/C393*100,"")</f>
        <v/>
      </c>
      <c r="H393" s="324" t="n"/>
      <c r="I393" s="320" t="n"/>
      <c r="J393" s="325">
        <f>IF(COUNTA(A393:F393)=0,"",IF(OR(C393&lt;0,D393&lt;0,E393&lt;0,F393&lt;0),"ERRO: valor negativo",IF(C393&lt;&gt;SUM(D393:F393),"ERRO: categorias diferem dos respondentes",IF(COUNTIFS($A$5:$A$1200,A393,$B$5:$B$1200,B393)&gt;1,"ERRO: período e curso duplicados","OK"))))</f>
        <v/>
      </c>
    </row>
    <row r="394" ht="15" customHeight="1" s="131">
      <c r="A394" s="320" t="n"/>
      <c r="B394" s="323" t="n"/>
      <c r="C394" s="320" t="n"/>
      <c r="D394" s="320" t="n"/>
      <c r="E394" s="320" t="n"/>
      <c r="F394" s="320" t="n"/>
      <c r="G394" s="284">
        <f>IFERROR((D394-F394)/C394*100,"")</f>
        <v/>
      </c>
      <c r="H394" s="324" t="n"/>
      <c r="I394" s="320" t="n"/>
      <c r="J394" s="325">
        <f>IF(COUNTA(A394:F394)=0,"",IF(OR(C394&lt;0,D394&lt;0,E394&lt;0,F394&lt;0),"ERRO: valor negativo",IF(C394&lt;&gt;SUM(D394:F394),"ERRO: categorias diferem dos respondentes",IF(COUNTIFS($A$5:$A$1200,A394,$B$5:$B$1200,B394)&gt;1,"ERRO: período e curso duplicados","OK"))))</f>
        <v/>
      </c>
    </row>
    <row r="395" ht="15" customHeight="1" s="131">
      <c r="A395" s="320" t="n"/>
      <c r="B395" s="323" t="n"/>
      <c r="C395" s="320" t="n"/>
      <c r="D395" s="320" t="n"/>
      <c r="E395" s="320" t="n"/>
      <c r="F395" s="320" t="n"/>
      <c r="G395" s="284">
        <f>IFERROR((D395-F395)/C395*100,"")</f>
        <v/>
      </c>
      <c r="H395" s="324" t="n"/>
      <c r="I395" s="320" t="n"/>
      <c r="J395" s="325">
        <f>IF(COUNTA(A395:F395)=0,"",IF(OR(C395&lt;0,D395&lt;0,E395&lt;0,F395&lt;0),"ERRO: valor negativo",IF(C395&lt;&gt;SUM(D395:F395),"ERRO: categorias diferem dos respondentes",IF(COUNTIFS($A$5:$A$1200,A395,$B$5:$B$1200,B395)&gt;1,"ERRO: período e curso duplicados","OK"))))</f>
        <v/>
      </c>
    </row>
    <row r="396" ht="15" customHeight="1" s="131">
      <c r="A396" s="320" t="n"/>
      <c r="B396" s="323" t="n"/>
      <c r="C396" s="320" t="n"/>
      <c r="D396" s="320" t="n"/>
      <c r="E396" s="320" t="n"/>
      <c r="F396" s="320" t="n"/>
      <c r="G396" s="284">
        <f>IFERROR((D396-F396)/C396*100,"")</f>
        <v/>
      </c>
      <c r="H396" s="324" t="n"/>
      <c r="I396" s="320" t="n"/>
      <c r="J396" s="325">
        <f>IF(COUNTA(A396:F396)=0,"",IF(OR(C396&lt;0,D396&lt;0,E396&lt;0,F396&lt;0),"ERRO: valor negativo",IF(C396&lt;&gt;SUM(D396:F396),"ERRO: categorias diferem dos respondentes",IF(COUNTIFS($A$5:$A$1200,A396,$B$5:$B$1200,B396)&gt;1,"ERRO: período e curso duplicados","OK"))))</f>
        <v/>
      </c>
    </row>
    <row r="397" ht="15" customHeight="1" s="131">
      <c r="A397" s="320" t="n"/>
      <c r="B397" s="323" t="n"/>
      <c r="C397" s="320" t="n"/>
      <c r="D397" s="320" t="n"/>
      <c r="E397" s="320" t="n"/>
      <c r="F397" s="320" t="n"/>
      <c r="G397" s="284">
        <f>IFERROR((D397-F397)/C397*100,"")</f>
        <v/>
      </c>
      <c r="H397" s="324" t="n"/>
      <c r="I397" s="320" t="n"/>
      <c r="J397" s="325">
        <f>IF(COUNTA(A397:F397)=0,"",IF(OR(C397&lt;0,D397&lt;0,E397&lt;0,F397&lt;0),"ERRO: valor negativo",IF(C397&lt;&gt;SUM(D397:F397),"ERRO: categorias diferem dos respondentes",IF(COUNTIFS($A$5:$A$1200,A397,$B$5:$B$1200,B397)&gt;1,"ERRO: período e curso duplicados","OK"))))</f>
        <v/>
      </c>
    </row>
    <row r="398" ht="15" customHeight="1" s="131">
      <c r="A398" s="320" t="n"/>
      <c r="B398" s="323" t="n"/>
      <c r="C398" s="320" t="n"/>
      <c r="D398" s="320" t="n"/>
      <c r="E398" s="320" t="n"/>
      <c r="F398" s="320" t="n"/>
      <c r="G398" s="284">
        <f>IFERROR((D398-F398)/C398*100,"")</f>
        <v/>
      </c>
      <c r="H398" s="324" t="n"/>
      <c r="I398" s="320" t="n"/>
      <c r="J398" s="325">
        <f>IF(COUNTA(A398:F398)=0,"",IF(OR(C398&lt;0,D398&lt;0,E398&lt;0,F398&lt;0),"ERRO: valor negativo",IF(C398&lt;&gt;SUM(D398:F398),"ERRO: categorias diferem dos respondentes",IF(COUNTIFS($A$5:$A$1200,A398,$B$5:$B$1200,B398)&gt;1,"ERRO: período e curso duplicados","OK"))))</f>
        <v/>
      </c>
    </row>
    <row r="399" ht="15" customHeight="1" s="131">
      <c r="A399" s="320" t="n"/>
      <c r="B399" s="323" t="n"/>
      <c r="C399" s="320" t="n"/>
      <c r="D399" s="320" t="n"/>
      <c r="E399" s="320" t="n"/>
      <c r="F399" s="320" t="n"/>
      <c r="G399" s="284">
        <f>IFERROR((D399-F399)/C399*100,"")</f>
        <v/>
      </c>
      <c r="H399" s="324" t="n"/>
      <c r="I399" s="320" t="n"/>
      <c r="J399" s="325">
        <f>IF(COUNTA(A399:F399)=0,"",IF(OR(C399&lt;0,D399&lt;0,E399&lt;0,F399&lt;0),"ERRO: valor negativo",IF(C399&lt;&gt;SUM(D399:F399),"ERRO: categorias diferem dos respondentes",IF(COUNTIFS($A$5:$A$1200,A399,$B$5:$B$1200,B399)&gt;1,"ERRO: período e curso duplicados","OK"))))</f>
        <v/>
      </c>
    </row>
    <row r="400" ht="15" customHeight="1" s="131">
      <c r="A400" s="320" t="n"/>
      <c r="B400" s="323" t="n"/>
      <c r="C400" s="320" t="n"/>
      <c r="D400" s="320" t="n"/>
      <c r="E400" s="320" t="n"/>
      <c r="F400" s="320" t="n"/>
      <c r="G400" s="284">
        <f>IFERROR((D400-F400)/C400*100,"")</f>
        <v/>
      </c>
      <c r="H400" s="324" t="n"/>
      <c r="I400" s="320" t="n"/>
      <c r="J400" s="325">
        <f>IF(COUNTA(A400:F400)=0,"",IF(OR(C400&lt;0,D400&lt;0,E400&lt;0,F400&lt;0),"ERRO: valor negativo",IF(C400&lt;&gt;SUM(D400:F400),"ERRO: categorias diferem dos respondentes",IF(COUNTIFS($A$5:$A$1200,A400,$B$5:$B$1200,B400)&gt;1,"ERRO: período e curso duplicados","OK"))))</f>
        <v/>
      </c>
    </row>
    <row r="401" ht="15" customHeight="1" s="131">
      <c r="A401" s="320" t="n"/>
      <c r="B401" s="323" t="n"/>
      <c r="C401" s="320" t="n"/>
      <c r="D401" s="320" t="n"/>
      <c r="E401" s="320" t="n"/>
      <c r="F401" s="320" t="n"/>
      <c r="G401" s="284">
        <f>IFERROR((D401-F401)/C401*100,"")</f>
        <v/>
      </c>
      <c r="H401" s="324" t="n"/>
      <c r="I401" s="320" t="n"/>
      <c r="J401" s="325">
        <f>IF(COUNTA(A401:F401)=0,"",IF(OR(C401&lt;0,D401&lt;0,E401&lt;0,F401&lt;0),"ERRO: valor negativo",IF(C401&lt;&gt;SUM(D401:F401),"ERRO: categorias diferem dos respondentes",IF(COUNTIFS($A$5:$A$1200,A401,$B$5:$B$1200,B401)&gt;1,"ERRO: período e curso duplicados","OK"))))</f>
        <v/>
      </c>
    </row>
    <row r="402" ht="15" customHeight="1" s="131">
      <c r="A402" s="320" t="n"/>
      <c r="B402" s="323" t="n"/>
      <c r="C402" s="320" t="n"/>
      <c r="D402" s="320" t="n"/>
      <c r="E402" s="320" t="n"/>
      <c r="F402" s="320" t="n"/>
      <c r="G402" s="284">
        <f>IFERROR((D402-F402)/C402*100,"")</f>
        <v/>
      </c>
      <c r="H402" s="324" t="n"/>
      <c r="I402" s="320" t="n"/>
      <c r="J402" s="325">
        <f>IF(COUNTA(A402:F402)=0,"",IF(OR(C402&lt;0,D402&lt;0,E402&lt;0,F402&lt;0),"ERRO: valor negativo",IF(C402&lt;&gt;SUM(D402:F402),"ERRO: categorias diferem dos respondentes",IF(COUNTIFS($A$5:$A$1200,A402,$B$5:$B$1200,B402)&gt;1,"ERRO: período e curso duplicados","OK"))))</f>
        <v/>
      </c>
    </row>
    <row r="403" ht="15" customHeight="1" s="131">
      <c r="A403" s="320" t="n"/>
      <c r="B403" s="323" t="n"/>
      <c r="C403" s="320" t="n"/>
      <c r="D403" s="320" t="n"/>
      <c r="E403" s="320" t="n"/>
      <c r="F403" s="320" t="n"/>
      <c r="G403" s="284">
        <f>IFERROR((D403-F403)/C403*100,"")</f>
        <v/>
      </c>
      <c r="H403" s="324" t="n"/>
      <c r="I403" s="320" t="n"/>
      <c r="J403" s="325">
        <f>IF(COUNTA(A403:F403)=0,"",IF(OR(C403&lt;0,D403&lt;0,E403&lt;0,F403&lt;0),"ERRO: valor negativo",IF(C403&lt;&gt;SUM(D403:F403),"ERRO: categorias diferem dos respondentes",IF(COUNTIFS($A$5:$A$1200,A403,$B$5:$B$1200,B403)&gt;1,"ERRO: período e curso duplicados","OK"))))</f>
        <v/>
      </c>
    </row>
    <row r="404" ht="15" customHeight="1" s="131">
      <c r="A404" s="320" t="n"/>
      <c r="B404" s="323" t="n"/>
      <c r="C404" s="320" t="n"/>
      <c r="D404" s="320" t="n"/>
      <c r="E404" s="320" t="n"/>
      <c r="F404" s="320" t="n"/>
      <c r="G404" s="284">
        <f>IFERROR((D404-F404)/C404*100,"")</f>
        <v/>
      </c>
      <c r="H404" s="324" t="n"/>
      <c r="I404" s="320" t="n"/>
      <c r="J404" s="325">
        <f>IF(COUNTA(A404:F404)=0,"",IF(OR(C404&lt;0,D404&lt;0,E404&lt;0,F404&lt;0),"ERRO: valor negativo",IF(C404&lt;&gt;SUM(D404:F404),"ERRO: categorias diferem dos respondentes",IF(COUNTIFS($A$5:$A$1200,A404,$B$5:$B$1200,B404)&gt;1,"ERRO: período e curso duplicados","OK"))))</f>
        <v/>
      </c>
    </row>
    <row r="405" ht="15" customHeight="1" s="131">
      <c r="A405" s="320" t="n"/>
      <c r="B405" s="323" t="n"/>
      <c r="C405" s="320" t="n"/>
      <c r="D405" s="320" t="n"/>
      <c r="E405" s="320" t="n"/>
      <c r="F405" s="320" t="n"/>
      <c r="G405" s="284">
        <f>IFERROR((D405-F405)/C405*100,"")</f>
        <v/>
      </c>
      <c r="H405" s="324" t="n"/>
      <c r="I405" s="320" t="n"/>
      <c r="J405" s="325">
        <f>IF(COUNTA(A405:F405)=0,"",IF(OR(C405&lt;0,D405&lt;0,E405&lt;0,F405&lt;0),"ERRO: valor negativo",IF(C405&lt;&gt;SUM(D405:F405),"ERRO: categorias diferem dos respondentes",IF(COUNTIFS($A$5:$A$1200,A405,$B$5:$B$1200,B405)&gt;1,"ERRO: período e curso duplicados","OK"))))</f>
        <v/>
      </c>
    </row>
    <row r="406" ht="15" customHeight="1" s="131">
      <c r="A406" s="320" t="n"/>
      <c r="B406" s="323" t="n"/>
      <c r="C406" s="320" t="n"/>
      <c r="D406" s="320" t="n"/>
      <c r="E406" s="320" t="n"/>
      <c r="F406" s="320" t="n"/>
      <c r="G406" s="284">
        <f>IFERROR((D406-F406)/C406*100,"")</f>
        <v/>
      </c>
      <c r="H406" s="324" t="n"/>
      <c r="I406" s="320" t="n"/>
      <c r="J406" s="325">
        <f>IF(COUNTA(A406:F406)=0,"",IF(OR(C406&lt;0,D406&lt;0,E406&lt;0,F406&lt;0),"ERRO: valor negativo",IF(C406&lt;&gt;SUM(D406:F406),"ERRO: categorias diferem dos respondentes",IF(COUNTIFS($A$5:$A$1200,A406,$B$5:$B$1200,B406)&gt;1,"ERRO: período e curso duplicados","OK"))))</f>
        <v/>
      </c>
    </row>
    <row r="407" ht="15" customHeight="1" s="131">
      <c r="A407" s="320" t="n"/>
      <c r="B407" s="323" t="n"/>
      <c r="C407" s="320" t="n"/>
      <c r="D407" s="320" t="n"/>
      <c r="E407" s="320" t="n"/>
      <c r="F407" s="320" t="n"/>
      <c r="G407" s="284">
        <f>IFERROR((D407-F407)/C407*100,"")</f>
        <v/>
      </c>
      <c r="H407" s="324" t="n"/>
      <c r="I407" s="320" t="n"/>
      <c r="J407" s="325">
        <f>IF(COUNTA(A407:F407)=0,"",IF(OR(C407&lt;0,D407&lt;0,E407&lt;0,F407&lt;0),"ERRO: valor negativo",IF(C407&lt;&gt;SUM(D407:F407),"ERRO: categorias diferem dos respondentes",IF(COUNTIFS($A$5:$A$1200,A407,$B$5:$B$1200,B407)&gt;1,"ERRO: período e curso duplicados","OK"))))</f>
        <v/>
      </c>
    </row>
    <row r="408" ht="15" customHeight="1" s="131">
      <c r="A408" s="320" t="n"/>
      <c r="B408" s="323" t="n"/>
      <c r="C408" s="320" t="n"/>
      <c r="D408" s="320" t="n"/>
      <c r="E408" s="320" t="n"/>
      <c r="F408" s="320" t="n"/>
      <c r="G408" s="284">
        <f>IFERROR((D408-F408)/C408*100,"")</f>
        <v/>
      </c>
      <c r="H408" s="324" t="n"/>
      <c r="I408" s="320" t="n"/>
      <c r="J408" s="325">
        <f>IF(COUNTA(A408:F408)=0,"",IF(OR(C408&lt;0,D408&lt;0,E408&lt;0,F408&lt;0),"ERRO: valor negativo",IF(C408&lt;&gt;SUM(D408:F408),"ERRO: categorias diferem dos respondentes",IF(COUNTIFS($A$5:$A$1200,A408,$B$5:$B$1200,B408)&gt;1,"ERRO: período e curso duplicados","OK"))))</f>
        <v/>
      </c>
    </row>
    <row r="409" ht="15" customHeight="1" s="131">
      <c r="A409" s="320" t="n"/>
      <c r="B409" s="323" t="n"/>
      <c r="C409" s="320" t="n"/>
      <c r="D409" s="320" t="n"/>
      <c r="E409" s="320" t="n"/>
      <c r="F409" s="320" t="n"/>
      <c r="G409" s="284">
        <f>IFERROR((D409-F409)/C409*100,"")</f>
        <v/>
      </c>
      <c r="H409" s="324" t="n"/>
      <c r="I409" s="320" t="n"/>
      <c r="J409" s="325">
        <f>IF(COUNTA(A409:F409)=0,"",IF(OR(C409&lt;0,D409&lt;0,E409&lt;0,F409&lt;0),"ERRO: valor negativo",IF(C409&lt;&gt;SUM(D409:F409),"ERRO: categorias diferem dos respondentes",IF(COUNTIFS($A$5:$A$1200,A409,$B$5:$B$1200,B409)&gt;1,"ERRO: período e curso duplicados","OK"))))</f>
        <v/>
      </c>
    </row>
    <row r="410" ht="15" customHeight="1" s="131">
      <c r="A410" s="320" t="n"/>
      <c r="B410" s="323" t="n"/>
      <c r="C410" s="320" t="n"/>
      <c r="D410" s="320" t="n"/>
      <c r="E410" s="320" t="n"/>
      <c r="F410" s="320" t="n"/>
      <c r="G410" s="284">
        <f>IFERROR((D410-F410)/C410*100,"")</f>
        <v/>
      </c>
      <c r="H410" s="324" t="n"/>
      <c r="I410" s="320" t="n"/>
      <c r="J410" s="325">
        <f>IF(COUNTA(A410:F410)=0,"",IF(OR(C410&lt;0,D410&lt;0,E410&lt;0,F410&lt;0),"ERRO: valor negativo",IF(C410&lt;&gt;SUM(D410:F410),"ERRO: categorias diferem dos respondentes",IF(COUNTIFS($A$5:$A$1200,A410,$B$5:$B$1200,B410)&gt;1,"ERRO: período e curso duplicados","OK"))))</f>
        <v/>
      </c>
    </row>
    <row r="411" ht="15" customHeight="1" s="131">
      <c r="A411" s="320" t="n"/>
      <c r="B411" s="323" t="n"/>
      <c r="C411" s="320" t="n"/>
      <c r="D411" s="320" t="n"/>
      <c r="E411" s="320" t="n"/>
      <c r="F411" s="320" t="n"/>
      <c r="G411" s="284">
        <f>IFERROR((D411-F411)/C411*100,"")</f>
        <v/>
      </c>
      <c r="H411" s="324" t="n"/>
      <c r="I411" s="320" t="n"/>
      <c r="J411" s="325">
        <f>IF(COUNTA(A411:F411)=0,"",IF(OR(C411&lt;0,D411&lt;0,E411&lt;0,F411&lt;0),"ERRO: valor negativo",IF(C411&lt;&gt;SUM(D411:F411),"ERRO: categorias diferem dos respondentes",IF(COUNTIFS($A$5:$A$1200,A411,$B$5:$B$1200,B411)&gt;1,"ERRO: período e curso duplicados","OK"))))</f>
        <v/>
      </c>
    </row>
    <row r="412" ht="15" customHeight="1" s="131">
      <c r="A412" s="320" t="n"/>
      <c r="B412" s="323" t="n"/>
      <c r="C412" s="320" t="n"/>
      <c r="D412" s="320" t="n"/>
      <c r="E412" s="320" t="n"/>
      <c r="F412" s="320" t="n"/>
      <c r="G412" s="284">
        <f>IFERROR((D412-F412)/C412*100,"")</f>
        <v/>
      </c>
      <c r="H412" s="324" t="n"/>
      <c r="I412" s="320" t="n"/>
      <c r="J412" s="325">
        <f>IF(COUNTA(A412:F412)=0,"",IF(OR(C412&lt;0,D412&lt;0,E412&lt;0,F412&lt;0),"ERRO: valor negativo",IF(C412&lt;&gt;SUM(D412:F412),"ERRO: categorias diferem dos respondentes",IF(COUNTIFS($A$5:$A$1200,A412,$B$5:$B$1200,B412)&gt;1,"ERRO: período e curso duplicados","OK"))))</f>
        <v/>
      </c>
    </row>
    <row r="413" ht="15" customHeight="1" s="131">
      <c r="A413" s="320" t="n"/>
      <c r="B413" s="323" t="n"/>
      <c r="C413" s="320" t="n"/>
      <c r="D413" s="320" t="n"/>
      <c r="E413" s="320" t="n"/>
      <c r="F413" s="320" t="n"/>
      <c r="G413" s="284">
        <f>IFERROR((D413-F413)/C413*100,"")</f>
        <v/>
      </c>
      <c r="H413" s="324" t="n"/>
      <c r="I413" s="320" t="n"/>
      <c r="J413" s="325">
        <f>IF(COUNTA(A413:F413)=0,"",IF(OR(C413&lt;0,D413&lt;0,E413&lt;0,F413&lt;0),"ERRO: valor negativo",IF(C413&lt;&gt;SUM(D413:F413),"ERRO: categorias diferem dos respondentes",IF(COUNTIFS($A$5:$A$1200,A413,$B$5:$B$1200,B413)&gt;1,"ERRO: período e curso duplicados","OK"))))</f>
        <v/>
      </c>
    </row>
    <row r="414" ht="15" customHeight="1" s="131">
      <c r="A414" s="320" t="n"/>
      <c r="B414" s="323" t="n"/>
      <c r="C414" s="320" t="n"/>
      <c r="D414" s="320" t="n"/>
      <c r="E414" s="320" t="n"/>
      <c r="F414" s="320" t="n"/>
      <c r="G414" s="284">
        <f>IFERROR((D414-F414)/C414*100,"")</f>
        <v/>
      </c>
      <c r="H414" s="324" t="n"/>
      <c r="I414" s="320" t="n"/>
      <c r="J414" s="325">
        <f>IF(COUNTA(A414:F414)=0,"",IF(OR(C414&lt;0,D414&lt;0,E414&lt;0,F414&lt;0),"ERRO: valor negativo",IF(C414&lt;&gt;SUM(D414:F414),"ERRO: categorias diferem dos respondentes",IF(COUNTIFS($A$5:$A$1200,A414,$B$5:$B$1200,B414)&gt;1,"ERRO: período e curso duplicados","OK"))))</f>
        <v/>
      </c>
    </row>
    <row r="415" ht="15" customHeight="1" s="131">
      <c r="A415" s="320" t="n"/>
      <c r="B415" s="323" t="n"/>
      <c r="C415" s="320" t="n"/>
      <c r="D415" s="320" t="n"/>
      <c r="E415" s="320" t="n"/>
      <c r="F415" s="320" t="n"/>
      <c r="G415" s="284">
        <f>IFERROR((D415-F415)/C415*100,"")</f>
        <v/>
      </c>
      <c r="H415" s="324" t="n"/>
      <c r="I415" s="320" t="n"/>
      <c r="J415" s="325">
        <f>IF(COUNTA(A415:F415)=0,"",IF(OR(C415&lt;0,D415&lt;0,E415&lt;0,F415&lt;0),"ERRO: valor negativo",IF(C415&lt;&gt;SUM(D415:F415),"ERRO: categorias diferem dos respondentes",IF(COUNTIFS($A$5:$A$1200,A415,$B$5:$B$1200,B415)&gt;1,"ERRO: período e curso duplicados","OK"))))</f>
        <v/>
      </c>
    </row>
    <row r="416" ht="15" customHeight="1" s="131">
      <c r="A416" s="320" t="n"/>
      <c r="B416" s="323" t="n"/>
      <c r="C416" s="320" t="n"/>
      <c r="D416" s="320" t="n"/>
      <c r="E416" s="320" t="n"/>
      <c r="F416" s="320" t="n"/>
      <c r="G416" s="284">
        <f>IFERROR((D416-F416)/C416*100,"")</f>
        <v/>
      </c>
      <c r="H416" s="324" t="n"/>
      <c r="I416" s="320" t="n"/>
      <c r="J416" s="325">
        <f>IF(COUNTA(A416:F416)=0,"",IF(OR(C416&lt;0,D416&lt;0,E416&lt;0,F416&lt;0),"ERRO: valor negativo",IF(C416&lt;&gt;SUM(D416:F416),"ERRO: categorias diferem dos respondentes",IF(COUNTIFS($A$5:$A$1200,A416,$B$5:$B$1200,B416)&gt;1,"ERRO: período e curso duplicados","OK"))))</f>
        <v/>
      </c>
    </row>
    <row r="417" ht="15" customHeight="1" s="131">
      <c r="A417" s="320" t="n"/>
      <c r="B417" s="323" t="n"/>
      <c r="C417" s="320" t="n"/>
      <c r="D417" s="320" t="n"/>
      <c r="E417" s="320" t="n"/>
      <c r="F417" s="320" t="n"/>
      <c r="G417" s="284">
        <f>IFERROR((D417-F417)/C417*100,"")</f>
        <v/>
      </c>
      <c r="H417" s="324" t="n"/>
      <c r="I417" s="320" t="n"/>
      <c r="J417" s="325">
        <f>IF(COUNTA(A417:F417)=0,"",IF(OR(C417&lt;0,D417&lt;0,E417&lt;0,F417&lt;0),"ERRO: valor negativo",IF(C417&lt;&gt;SUM(D417:F417),"ERRO: categorias diferem dos respondentes",IF(COUNTIFS($A$5:$A$1200,A417,$B$5:$B$1200,B417)&gt;1,"ERRO: período e curso duplicados","OK"))))</f>
        <v/>
      </c>
    </row>
    <row r="418" ht="15" customHeight="1" s="131">
      <c r="A418" s="320" t="n"/>
      <c r="B418" s="323" t="n"/>
      <c r="C418" s="320" t="n"/>
      <c r="D418" s="320" t="n"/>
      <c r="E418" s="320" t="n"/>
      <c r="F418" s="320" t="n"/>
      <c r="G418" s="284">
        <f>IFERROR((D418-F418)/C418*100,"")</f>
        <v/>
      </c>
      <c r="H418" s="324" t="n"/>
      <c r="I418" s="320" t="n"/>
      <c r="J418" s="325">
        <f>IF(COUNTA(A418:F418)=0,"",IF(OR(C418&lt;0,D418&lt;0,E418&lt;0,F418&lt;0),"ERRO: valor negativo",IF(C418&lt;&gt;SUM(D418:F418),"ERRO: categorias diferem dos respondentes",IF(COUNTIFS($A$5:$A$1200,A418,$B$5:$B$1200,B418)&gt;1,"ERRO: período e curso duplicados","OK"))))</f>
        <v/>
      </c>
    </row>
    <row r="419" ht="15" customHeight="1" s="131">
      <c r="A419" s="320" t="n"/>
      <c r="B419" s="323" t="n"/>
      <c r="C419" s="320" t="n"/>
      <c r="D419" s="320" t="n"/>
      <c r="E419" s="320" t="n"/>
      <c r="F419" s="320" t="n"/>
      <c r="G419" s="284">
        <f>IFERROR((D419-F419)/C419*100,"")</f>
        <v/>
      </c>
      <c r="H419" s="324" t="n"/>
      <c r="I419" s="320" t="n"/>
      <c r="J419" s="325">
        <f>IF(COUNTA(A419:F419)=0,"",IF(OR(C419&lt;0,D419&lt;0,E419&lt;0,F419&lt;0),"ERRO: valor negativo",IF(C419&lt;&gt;SUM(D419:F419),"ERRO: categorias diferem dos respondentes",IF(COUNTIFS($A$5:$A$1200,A419,$B$5:$B$1200,B419)&gt;1,"ERRO: período e curso duplicados","OK"))))</f>
        <v/>
      </c>
    </row>
    <row r="420" ht="15" customHeight="1" s="131">
      <c r="A420" s="320" t="n"/>
      <c r="B420" s="323" t="n"/>
      <c r="C420" s="320" t="n"/>
      <c r="D420" s="320" t="n"/>
      <c r="E420" s="320" t="n"/>
      <c r="F420" s="320" t="n"/>
      <c r="G420" s="284">
        <f>IFERROR((D420-F420)/C420*100,"")</f>
        <v/>
      </c>
      <c r="H420" s="324" t="n"/>
      <c r="I420" s="320" t="n"/>
      <c r="J420" s="325">
        <f>IF(COUNTA(A420:F420)=0,"",IF(OR(C420&lt;0,D420&lt;0,E420&lt;0,F420&lt;0),"ERRO: valor negativo",IF(C420&lt;&gt;SUM(D420:F420),"ERRO: categorias diferem dos respondentes",IF(COUNTIFS($A$5:$A$1200,A420,$B$5:$B$1200,B420)&gt;1,"ERRO: período e curso duplicados","OK"))))</f>
        <v/>
      </c>
    </row>
    <row r="421" ht="15" customHeight="1" s="131">
      <c r="A421" s="320" t="n"/>
      <c r="B421" s="323" t="n"/>
      <c r="C421" s="320" t="n"/>
      <c r="D421" s="320" t="n"/>
      <c r="E421" s="320" t="n"/>
      <c r="F421" s="320" t="n"/>
      <c r="G421" s="284">
        <f>IFERROR((D421-F421)/C421*100,"")</f>
        <v/>
      </c>
      <c r="H421" s="324" t="n"/>
      <c r="I421" s="320" t="n"/>
      <c r="J421" s="325">
        <f>IF(COUNTA(A421:F421)=0,"",IF(OR(C421&lt;0,D421&lt;0,E421&lt;0,F421&lt;0),"ERRO: valor negativo",IF(C421&lt;&gt;SUM(D421:F421),"ERRO: categorias diferem dos respondentes",IF(COUNTIFS($A$5:$A$1200,A421,$B$5:$B$1200,B421)&gt;1,"ERRO: período e curso duplicados","OK"))))</f>
        <v/>
      </c>
    </row>
    <row r="422" ht="15" customHeight="1" s="131">
      <c r="A422" s="320" t="n"/>
      <c r="B422" s="323" t="n"/>
      <c r="C422" s="320" t="n"/>
      <c r="D422" s="320" t="n"/>
      <c r="E422" s="320" t="n"/>
      <c r="F422" s="320" t="n"/>
      <c r="G422" s="284">
        <f>IFERROR((D422-F422)/C422*100,"")</f>
        <v/>
      </c>
      <c r="H422" s="324" t="n"/>
      <c r="I422" s="320" t="n"/>
      <c r="J422" s="325">
        <f>IF(COUNTA(A422:F422)=0,"",IF(OR(C422&lt;0,D422&lt;0,E422&lt;0,F422&lt;0),"ERRO: valor negativo",IF(C422&lt;&gt;SUM(D422:F422),"ERRO: categorias diferem dos respondentes",IF(COUNTIFS($A$5:$A$1200,A422,$B$5:$B$1200,B422)&gt;1,"ERRO: período e curso duplicados","OK"))))</f>
        <v/>
      </c>
    </row>
    <row r="423" ht="15" customHeight="1" s="131">
      <c r="A423" s="320" t="n"/>
      <c r="B423" s="323" t="n"/>
      <c r="C423" s="320" t="n"/>
      <c r="D423" s="320" t="n"/>
      <c r="E423" s="320" t="n"/>
      <c r="F423" s="320" t="n"/>
      <c r="G423" s="284">
        <f>IFERROR((D423-F423)/C423*100,"")</f>
        <v/>
      </c>
      <c r="H423" s="324" t="n"/>
      <c r="I423" s="320" t="n"/>
      <c r="J423" s="325">
        <f>IF(COUNTA(A423:F423)=0,"",IF(OR(C423&lt;0,D423&lt;0,E423&lt;0,F423&lt;0),"ERRO: valor negativo",IF(C423&lt;&gt;SUM(D423:F423),"ERRO: categorias diferem dos respondentes",IF(COUNTIFS($A$5:$A$1200,A423,$B$5:$B$1200,B423)&gt;1,"ERRO: período e curso duplicados","OK"))))</f>
        <v/>
      </c>
    </row>
    <row r="424" ht="15" customHeight="1" s="131">
      <c r="A424" s="320" t="n"/>
      <c r="B424" s="323" t="n"/>
      <c r="C424" s="320" t="n"/>
      <c r="D424" s="320" t="n"/>
      <c r="E424" s="320" t="n"/>
      <c r="F424" s="320" t="n"/>
      <c r="G424" s="284">
        <f>IFERROR((D424-F424)/C424*100,"")</f>
        <v/>
      </c>
      <c r="H424" s="324" t="n"/>
      <c r="I424" s="320" t="n"/>
      <c r="J424" s="325">
        <f>IF(COUNTA(A424:F424)=0,"",IF(OR(C424&lt;0,D424&lt;0,E424&lt;0,F424&lt;0),"ERRO: valor negativo",IF(C424&lt;&gt;SUM(D424:F424),"ERRO: categorias diferem dos respondentes",IF(COUNTIFS($A$5:$A$1200,A424,$B$5:$B$1200,B424)&gt;1,"ERRO: período e curso duplicados","OK"))))</f>
        <v/>
      </c>
    </row>
    <row r="425" ht="15" customHeight="1" s="131">
      <c r="A425" s="320" t="n"/>
      <c r="B425" s="323" t="n"/>
      <c r="C425" s="320" t="n"/>
      <c r="D425" s="320" t="n"/>
      <c r="E425" s="320" t="n"/>
      <c r="F425" s="320" t="n"/>
      <c r="G425" s="284">
        <f>IFERROR((D425-F425)/C425*100,"")</f>
        <v/>
      </c>
      <c r="H425" s="324" t="n"/>
      <c r="I425" s="320" t="n"/>
      <c r="J425" s="325">
        <f>IF(COUNTA(A425:F425)=0,"",IF(OR(C425&lt;0,D425&lt;0,E425&lt;0,F425&lt;0),"ERRO: valor negativo",IF(C425&lt;&gt;SUM(D425:F425),"ERRO: categorias diferem dos respondentes",IF(COUNTIFS($A$5:$A$1200,A425,$B$5:$B$1200,B425)&gt;1,"ERRO: período e curso duplicados","OK"))))</f>
        <v/>
      </c>
    </row>
    <row r="426" ht="15" customHeight="1" s="131">
      <c r="A426" s="320" t="n"/>
      <c r="B426" s="323" t="n"/>
      <c r="C426" s="320" t="n"/>
      <c r="D426" s="320" t="n"/>
      <c r="E426" s="320" t="n"/>
      <c r="F426" s="320" t="n"/>
      <c r="G426" s="284">
        <f>IFERROR((D426-F426)/C426*100,"")</f>
        <v/>
      </c>
      <c r="H426" s="324" t="n"/>
      <c r="I426" s="320" t="n"/>
      <c r="J426" s="325">
        <f>IF(COUNTA(A426:F426)=0,"",IF(OR(C426&lt;0,D426&lt;0,E426&lt;0,F426&lt;0),"ERRO: valor negativo",IF(C426&lt;&gt;SUM(D426:F426),"ERRO: categorias diferem dos respondentes",IF(COUNTIFS($A$5:$A$1200,A426,$B$5:$B$1200,B426)&gt;1,"ERRO: período e curso duplicados","OK"))))</f>
        <v/>
      </c>
    </row>
    <row r="427" ht="15" customHeight="1" s="131">
      <c r="A427" s="320" t="n"/>
      <c r="B427" s="323" t="n"/>
      <c r="C427" s="320" t="n"/>
      <c r="D427" s="320" t="n"/>
      <c r="E427" s="320" t="n"/>
      <c r="F427" s="320" t="n"/>
      <c r="G427" s="284">
        <f>IFERROR((D427-F427)/C427*100,"")</f>
        <v/>
      </c>
      <c r="H427" s="324" t="n"/>
      <c r="I427" s="320" t="n"/>
      <c r="J427" s="325">
        <f>IF(COUNTA(A427:F427)=0,"",IF(OR(C427&lt;0,D427&lt;0,E427&lt;0,F427&lt;0),"ERRO: valor negativo",IF(C427&lt;&gt;SUM(D427:F427),"ERRO: categorias diferem dos respondentes",IF(COUNTIFS($A$5:$A$1200,A427,$B$5:$B$1200,B427)&gt;1,"ERRO: período e curso duplicados","OK"))))</f>
        <v/>
      </c>
    </row>
    <row r="428" ht="15" customHeight="1" s="131">
      <c r="A428" s="320" t="n"/>
      <c r="B428" s="323" t="n"/>
      <c r="C428" s="320" t="n"/>
      <c r="D428" s="320" t="n"/>
      <c r="E428" s="320" t="n"/>
      <c r="F428" s="320" t="n"/>
      <c r="G428" s="284">
        <f>IFERROR((D428-F428)/C428*100,"")</f>
        <v/>
      </c>
      <c r="H428" s="324" t="n"/>
      <c r="I428" s="320" t="n"/>
      <c r="J428" s="325">
        <f>IF(COUNTA(A428:F428)=0,"",IF(OR(C428&lt;0,D428&lt;0,E428&lt;0,F428&lt;0),"ERRO: valor negativo",IF(C428&lt;&gt;SUM(D428:F428),"ERRO: categorias diferem dos respondentes",IF(COUNTIFS($A$5:$A$1200,A428,$B$5:$B$1200,B428)&gt;1,"ERRO: período e curso duplicados","OK"))))</f>
        <v/>
      </c>
    </row>
    <row r="429" ht="15" customHeight="1" s="131">
      <c r="A429" s="320" t="n"/>
      <c r="B429" s="323" t="n"/>
      <c r="C429" s="320" t="n"/>
      <c r="D429" s="320" t="n"/>
      <c r="E429" s="320" t="n"/>
      <c r="F429" s="320" t="n"/>
      <c r="G429" s="284">
        <f>IFERROR((D429-F429)/C429*100,"")</f>
        <v/>
      </c>
      <c r="H429" s="324" t="n"/>
      <c r="I429" s="320" t="n"/>
      <c r="J429" s="325">
        <f>IF(COUNTA(A429:F429)=0,"",IF(OR(C429&lt;0,D429&lt;0,E429&lt;0,F429&lt;0),"ERRO: valor negativo",IF(C429&lt;&gt;SUM(D429:F429),"ERRO: categorias diferem dos respondentes",IF(COUNTIFS($A$5:$A$1200,A429,$B$5:$B$1200,B429)&gt;1,"ERRO: período e curso duplicados","OK"))))</f>
        <v/>
      </c>
    </row>
    <row r="430" ht="15" customHeight="1" s="131">
      <c r="A430" s="320" t="n"/>
      <c r="B430" s="323" t="n"/>
      <c r="C430" s="320" t="n"/>
      <c r="D430" s="320" t="n"/>
      <c r="E430" s="320" t="n"/>
      <c r="F430" s="320" t="n"/>
      <c r="G430" s="284">
        <f>IFERROR((D430-F430)/C430*100,"")</f>
        <v/>
      </c>
      <c r="H430" s="324" t="n"/>
      <c r="I430" s="320" t="n"/>
      <c r="J430" s="325">
        <f>IF(COUNTA(A430:F430)=0,"",IF(OR(C430&lt;0,D430&lt;0,E430&lt;0,F430&lt;0),"ERRO: valor negativo",IF(C430&lt;&gt;SUM(D430:F430),"ERRO: categorias diferem dos respondentes",IF(COUNTIFS($A$5:$A$1200,A430,$B$5:$B$1200,B430)&gt;1,"ERRO: período e curso duplicados","OK"))))</f>
        <v/>
      </c>
    </row>
    <row r="431" ht="15" customHeight="1" s="131">
      <c r="A431" s="320" t="n"/>
      <c r="B431" s="323" t="n"/>
      <c r="C431" s="320" t="n"/>
      <c r="D431" s="320" t="n"/>
      <c r="E431" s="320" t="n"/>
      <c r="F431" s="320" t="n"/>
      <c r="G431" s="284">
        <f>IFERROR((D431-F431)/C431*100,"")</f>
        <v/>
      </c>
      <c r="H431" s="324" t="n"/>
      <c r="I431" s="320" t="n"/>
      <c r="J431" s="325">
        <f>IF(COUNTA(A431:F431)=0,"",IF(OR(C431&lt;0,D431&lt;0,E431&lt;0,F431&lt;0),"ERRO: valor negativo",IF(C431&lt;&gt;SUM(D431:F431),"ERRO: categorias diferem dos respondentes",IF(COUNTIFS($A$5:$A$1200,A431,$B$5:$B$1200,B431)&gt;1,"ERRO: período e curso duplicados","OK"))))</f>
        <v/>
      </c>
    </row>
    <row r="432" ht="15" customHeight="1" s="131">
      <c r="A432" s="320" t="n"/>
      <c r="B432" s="323" t="n"/>
      <c r="C432" s="320" t="n"/>
      <c r="D432" s="320" t="n"/>
      <c r="E432" s="320" t="n"/>
      <c r="F432" s="320" t="n"/>
      <c r="G432" s="284">
        <f>IFERROR((D432-F432)/C432*100,"")</f>
        <v/>
      </c>
      <c r="H432" s="324" t="n"/>
      <c r="I432" s="320" t="n"/>
      <c r="J432" s="325">
        <f>IF(COUNTA(A432:F432)=0,"",IF(OR(C432&lt;0,D432&lt;0,E432&lt;0,F432&lt;0),"ERRO: valor negativo",IF(C432&lt;&gt;SUM(D432:F432),"ERRO: categorias diferem dos respondentes",IF(COUNTIFS($A$5:$A$1200,A432,$B$5:$B$1200,B432)&gt;1,"ERRO: período e curso duplicados","OK"))))</f>
        <v/>
      </c>
    </row>
    <row r="433" ht="15" customHeight="1" s="131">
      <c r="A433" s="320" t="n"/>
      <c r="B433" s="323" t="n"/>
      <c r="C433" s="320" t="n"/>
      <c r="D433" s="320" t="n"/>
      <c r="E433" s="320" t="n"/>
      <c r="F433" s="320" t="n"/>
      <c r="G433" s="284">
        <f>IFERROR((D433-F433)/C433*100,"")</f>
        <v/>
      </c>
      <c r="H433" s="324" t="n"/>
      <c r="I433" s="320" t="n"/>
      <c r="J433" s="325">
        <f>IF(COUNTA(A433:F433)=0,"",IF(OR(C433&lt;0,D433&lt;0,E433&lt;0,F433&lt;0),"ERRO: valor negativo",IF(C433&lt;&gt;SUM(D433:F433),"ERRO: categorias diferem dos respondentes",IF(COUNTIFS($A$5:$A$1200,A433,$B$5:$B$1200,B433)&gt;1,"ERRO: período e curso duplicados","OK"))))</f>
        <v/>
      </c>
    </row>
    <row r="434" ht="15" customHeight="1" s="131">
      <c r="A434" s="320" t="n"/>
      <c r="B434" s="323" t="n"/>
      <c r="C434" s="320" t="n"/>
      <c r="D434" s="320" t="n"/>
      <c r="E434" s="320" t="n"/>
      <c r="F434" s="320" t="n"/>
      <c r="G434" s="284">
        <f>IFERROR((D434-F434)/C434*100,"")</f>
        <v/>
      </c>
      <c r="H434" s="324" t="n"/>
      <c r="I434" s="320" t="n"/>
      <c r="J434" s="325">
        <f>IF(COUNTA(A434:F434)=0,"",IF(OR(C434&lt;0,D434&lt;0,E434&lt;0,F434&lt;0),"ERRO: valor negativo",IF(C434&lt;&gt;SUM(D434:F434),"ERRO: categorias diferem dos respondentes",IF(COUNTIFS($A$5:$A$1200,A434,$B$5:$B$1200,B434)&gt;1,"ERRO: período e curso duplicados","OK"))))</f>
        <v/>
      </c>
    </row>
    <row r="435" ht="15" customHeight="1" s="131">
      <c r="A435" s="320" t="n"/>
      <c r="B435" s="323" t="n"/>
      <c r="C435" s="320" t="n"/>
      <c r="D435" s="320" t="n"/>
      <c r="E435" s="320" t="n"/>
      <c r="F435" s="320" t="n"/>
      <c r="G435" s="284">
        <f>IFERROR((D435-F435)/C435*100,"")</f>
        <v/>
      </c>
      <c r="H435" s="324" t="n"/>
      <c r="I435" s="320" t="n"/>
      <c r="J435" s="325">
        <f>IF(COUNTA(A435:F435)=0,"",IF(OR(C435&lt;0,D435&lt;0,E435&lt;0,F435&lt;0),"ERRO: valor negativo",IF(C435&lt;&gt;SUM(D435:F435),"ERRO: categorias diferem dos respondentes",IF(COUNTIFS($A$5:$A$1200,A435,$B$5:$B$1200,B435)&gt;1,"ERRO: período e curso duplicados","OK"))))</f>
        <v/>
      </c>
    </row>
    <row r="436" ht="15" customHeight="1" s="131">
      <c r="A436" s="320" t="n"/>
      <c r="B436" s="323" t="n"/>
      <c r="C436" s="320" t="n"/>
      <c r="D436" s="320" t="n"/>
      <c r="E436" s="320" t="n"/>
      <c r="F436" s="320" t="n"/>
      <c r="G436" s="284">
        <f>IFERROR((D436-F436)/C436*100,"")</f>
        <v/>
      </c>
      <c r="H436" s="324" t="n"/>
      <c r="I436" s="320" t="n"/>
      <c r="J436" s="325">
        <f>IF(COUNTA(A436:F436)=0,"",IF(OR(C436&lt;0,D436&lt;0,E436&lt;0,F436&lt;0),"ERRO: valor negativo",IF(C436&lt;&gt;SUM(D436:F436),"ERRO: categorias diferem dos respondentes",IF(COUNTIFS($A$5:$A$1200,A436,$B$5:$B$1200,B436)&gt;1,"ERRO: período e curso duplicados","OK"))))</f>
        <v/>
      </c>
    </row>
    <row r="437" ht="15" customHeight="1" s="131">
      <c r="A437" s="320" t="n"/>
      <c r="B437" s="323" t="n"/>
      <c r="C437" s="320" t="n"/>
      <c r="D437" s="320" t="n"/>
      <c r="E437" s="320" t="n"/>
      <c r="F437" s="320" t="n"/>
      <c r="G437" s="284">
        <f>IFERROR((D437-F437)/C437*100,"")</f>
        <v/>
      </c>
      <c r="H437" s="324" t="n"/>
      <c r="I437" s="320" t="n"/>
      <c r="J437" s="325">
        <f>IF(COUNTA(A437:F437)=0,"",IF(OR(C437&lt;0,D437&lt;0,E437&lt;0,F437&lt;0),"ERRO: valor negativo",IF(C437&lt;&gt;SUM(D437:F437),"ERRO: categorias diferem dos respondentes",IF(COUNTIFS($A$5:$A$1200,A437,$B$5:$B$1200,B437)&gt;1,"ERRO: período e curso duplicados","OK"))))</f>
        <v/>
      </c>
    </row>
    <row r="438" ht="15" customHeight="1" s="131">
      <c r="A438" s="320" t="n"/>
      <c r="B438" s="323" t="n"/>
      <c r="C438" s="320" t="n"/>
      <c r="D438" s="320" t="n"/>
      <c r="E438" s="320" t="n"/>
      <c r="F438" s="320" t="n"/>
      <c r="G438" s="284">
        <f>IFERROR((D438-F438)/C438*100,"")</f>
        <v/>
      </c>
      <c r="H438" s="324" t="n"/>
      <c r="I438" s="320" t="n"/>
      <c r="J438" s="325">
        <f>IF(COUNTA(A438:F438)=0,"",IF(OR(C438&lt;0,D438&lt;0,E438&lt;0,F438&lt;0),"ERRO: valor negativo",IF(C438&lt;&gt;SUM(D438:F438),"ERRO: categorias diferem dos respondentes",IF(COUNTIFS($A$5:$A$1200,A438,$B$5:$B$1200,B438)&gt;1,"ERRO: período e curso duplicados","OK"))))</f>
        <v/>
      </c>
    </row>
    <row r="439" ht="15" customHeight="1" s="131">
      <c r="A439" s="320" t="n"/>
      <c r="B439" s="323" t="n"/>
      <c r="C439" s="320" t="n"/>
      <c r="D439" s="320" t="n"/>
      <c r="E439" s="320" t="n"/>
      <c r="F439" s="320" t="n"/>
      <c r="G439" s="284">
        <f>IFERROR((D439-F439)/C439*100,"")</f>
        <v/>
      </c>
      <c r="H439" s="324" t="n"/>
      <c r="I439" s="320" t="n"/>
      <c r="J439" s="325">
        <f>IF(COUNTA(A439:F439)=0,"",IF(OR(C439&lt;0,D439&lt;0,E439&lt;0,F439&lt;0),"ERRO: valor negativo",IF(C439&lt;&gt;SUM(D439:F439),"ERRO: categorias diferem dos respondentes",IF(COUNTIFS($A$5:$A$1200,A439,$B$5:$B$1200,B439)&gt;1,"ERRO: período e curso duplicados","OK"))))</f>
        <v/>
      </c>
    </row>
    <row r="440" ht="15" customHeight="1" s="131">
      <c r="A440" s="320" t="n"/>
      <c r="B440" s="323" t="n"/>
      <c r="C440" s="320" t="n"/>
      <c r="D440" s="320" t="n"/>
      <c r="E440" s="320" t="n"/>
      <c r="F440" s="320" t="n"/>
      <c r="G440" s="284">
        <f>IFERROR((D440-F440)/C440*100,"")</f>
        <v/>
      </c>
      <c r="H440" s="324" t="n"/>
      <c r="I440" s="320" t="n"/>
      <c r="J440" s="325">
        <f>IF(COUNTA(A440:F440)=0,"",IF(OR(C440&lt;0,D440&lt;0,E440&lt;0,F440&lt;0),"ERRO: valor negativo",IF(C440&lt;&gt;SUM(D440:F440),"ERRO: categorias diferem dos respondentes",IF(COUNTIFS($A$5:$A$1200,A440,$B$5:$B$1200,B440)&gt;1,"ERRO: período e curso duplicados","OK"))))</f>
        <v/>
      </c>
    </row>
    <row r="441" ht="15" customHeight="1" s="131">
      <c r="A441" s="320" t="n"/>
      <c r="B441" s="323" t="n"/>
      <c r="C441" s="320" t="n"/>
      <c r="D441" s="320" t="n"/>
      <c r="E441" s="320" t="n"/>
      <c r="F441" s="320" t="n"/>
      <c r="G441" s="284">
        <f>IFERROR((D441-F441)/C441*100,"")</f>
        <v/>
      </c>
      <c r="H441" s="324" t="n"/>
      <c r="I441" s="320" t="n"/>
      <c r="J441" s="325">
        <f>IF(COUNTA(A441:F441)=0,"",IF(OR(C441&lt;0,D441&lt;0,E441&lt;0,F441&lt;0),"ERRO: valor negativo",IF(C441&lt;&gt;SUM(D441:F441),"ERRO: categorias diferem dos respondentes",IF(COUNTIFS($A$5:$A$1200,A441,$B$5:$B$1200,B441)&gt;1,"ERRO: período e curso duplicados","OK"))))</f>
        <v/>
      </c>
    </row>
    <row r="442" ht="15" customHeight="1" s="131">
      <c r="A442" s="320" t="n"/>
      <c r="B442" s="323" t="n"/>
      <c r="C442" s="320" t="n"/>
      <c r="D442" s="320" t="n"/>
      <c r="E442" s="320" t="n"/>
      <c r="F442" s="320" t="n"/>
      <c r="G442" s="284">
        <f>IFERROR((D442-F442)/C442*100,"")</f>
        <v/>
      </c>
      <c r="H442" s="324" t="n"/>
      <c r="I442" s="320" t="n"/>
      <c r="J442" s="325">
        <f>IF(COUNTA(A442:F442)=0,"",IF(OR(C442&lt;0,D442&lt;0,E442&lt;0,F442&lt;0),"ERRO: valor negativo",IF(C442&lt;&gt;SUM(D442:F442),"ERRO: categorias diferem dos respondentes",IF(COUNTIFS($A$5:$A$1200,A442,$B$5:$B$1200,B442)&gt;1,"ERRO: período e curso duplicados","OK"))))</f>
        <v/>
      </c>
    </row>
    <row r="443" ht="15" customHeight="1" s="131">
      <c r="A443" s="320" t="n"/>
      <c r="B443" s="323" t="n"/>
      <c r="C443" s="320" t="n"/>
      <c r="D443" s="320" t="n"/>
      <c r="E443" s="320" t="n"/>
      <c r="F443" s="320" t="n"/>
      <c r="G443" s="284">
        <f>IFERROR((D443-F443)/C443*100,"")</f>
        <v/>
      </c>
      <c r="H443" s="324" t="n"/>
      <c r="I443" s="320" t="n"/>
      <c r="J443" s="325">
        <f>IF(COUNTA(A443:F443)=0,"",IF(OR(C443&lt;0,D443&lt;0,E443&lt;0,F443&lt;0),"ERRO: valor negativo",IF(C443&lt;&gt;SUM(D443:F443),"ERRO: categorias diferem dos respondentes",IF(COUNTIFS($A$5:$A$1200,A443,$B$5:$B$1200,B443)&gt;1,"ERRO: período e curso duplicados","OK"))))</f>
        <v/>
      </c>
    </row>
    <row r="444" ht="15" customHeight="1" s="131">
      <c r="A444" s="320" t="n"/>
      <c r="B444" s="323" t="n"/>
      <c r="C444" s="320" t="n"/>
      <c r="D444" s="320" t="n"/>
      <c r="E444" s="320" t="n"/>
      <c r="F444" s="320" t="n"/>
      <c r="G444" s="284">
        <f>IFERROR((D444-F444)/C444*100,"")</f>
        <v/>
      </c>
      <c r="H444" s="324" t="n"/>
      <c r="I444" s="320" t="n"/>
      <c r="J444" s="325">
        <f>IF(COUNTA(A444:F444)=0,"",IF(OR(C444&lt;0,D444&lt;0,E444&lt;0,F444&lt;0),"ERRO: valor negativo",IF(C444&lt;&gt;SUM(D444:F444),"ERRO: categorias diferem dos respondentes",IF(COUNTIFS($A$5:$A$1200,A444,$B$5:$B$1200,B444)&gt;1,"ERRO: período e curso duplicados","OK"))))</f>
        <v/>
      </c>
    </row>
    <row r="445" ht="15" customHeight="1" s="131">
      <c r="A445" s="320" t="n"/>
      <c r="B445" s="323" t="n"/>
      <c r="C445" s="320" t="n"/>
      <c r="D445" s="320" t="n"/>
      <c r="E445" s="320" t="n"/>
      <c r="F445" s="320" t="n"/>
      <c r="G445" s="284">
        <f>IFERROR((D445-F445)/C445*100,"")</f>
        <v/>
      </c>
      <c r="H445" s="324" t="n"/>
      <c r="I445" s="320" t="n"/>
      <c r="J445" s="325">
        <f>IF(COUNTA(A445:F445)=0,"",IF(OR(C445&lt;0,D445&lt;0,E445&lt;0,F445&lt;0),"ERRO: valor negativo",IF(C445&lt;&gt;SUM(D445:F445),"ERRO: categorias diferem dos respondentes",IF(COUNTIFS($A$5:$A$1200,A445,$B$5:$B$1200,B445)&gt;1,"ERRO: período e curso duplicados","OK"))))</f>
        <v/>
      </c>
    </row>
    <row r="446" ht="15" customHeight="1" s="131">
      <c r="A446" s="320" t="n"/>
      <c r="B446" s="323" t="n"/>
      <c r="C446" s="320" t="n"/>
      <c r="D446" s="320" t="n"/>
      <c r="E446" s="320" t="n"/>
      <c r="F446" s="320" t="n"/>
      <c r="G446" s="284">
        <f>IFERROR((D446-F446)/C446*100,"")</f>
        <v/>
      </c>
      <c r="H446" s="324" t="n"/>
      <c r="I446" s="320" t="n"/>
      <c r="J446" s="325">
        <f>IF(COUNTA(A446:F446)=0,"",IF(OR(C446&lt;0,D446&lt;0,E446&lt;0,F446&lt;0),"ERRO: valor negativo",IF(C446&lt;&gt;SUM(D446:F446),"ERRO: categorias diferem dos respondentes",IF(COUNTIFS($A$5:$A$1200,A446,$B$5:$B$1200,B446)&gt;1,"ERRO: período e curso duplicados","OK"))))</f>
        <v/>
      </c>
    </row>
    <row r="447" ht="15" customHeight="1" s="131">
      <c r="A447" s="320" t="n"/>
      <c r="B447" s="323" t="n"/>
      <c r="C447" s="320" t="n"/>
      <c r="D447" s="320" t="n"/>
      <c r="E447" s="320" t="n"/>
      <c r="F447" s="320" t="n"/>
      <c r="G447" s="284">
        <f>IFERROR((D447-F447)/C447*100,"")</f>
        <v/>
      </c>
      <c r="H447" s="324" t="n"/>
      <c r="I447" s="320" t="n"/>
      <c r="J447" s="325">
        <f>IF(COUNTA(A447:F447)=0,"",IF(OR(C447&lt;0,D447&lt;0,E447&lt;0,F447&lt;0),"ERRO: valor negativo",IF(C447&lt;&gt;SUM(D447:F447),"ERRO: categorias diferem dos respondentes",IF(COUNTIFS($A$5:$A$1200,A447,$B$5:$B$1200,B447)&gt;1,"ERRO: período e curso duplicados","OK"))))</f>
        <v/>
      </c>
    </row>
    <row r="448" ht="15" customHeight="1" s="131">
      <c r="A448" s="320" t="n"/>
      <c r="B448" s="323" t="n"/>
      <c r="C448" s="320" t="n"/>
      <c r="D448" s="320" t="n"/>
      <c r="E448" s="320" t="n"/>
      <c r="F448" s="320" t="n"/>
      <c r="G448" s="284">
        <f>IFERROR((D448-F448)/C448*100,"")</f>
        <v/>
      </c>
      <c r="H448" s="324" t="n"/>
      <c r="I448" s="320" t="n"/>
      <c r="J448" s="325">
        <f>IF(COUNTA(A448:F448)=0,"",IF(OR(C448&lt;0,D448&lt;0,E448&lt;0,F448&lt;0),"ERRO: valor negativo",IF(C448&lt;&gt;SUM(D448:F448),"ERRO: categorias diferem dos respondentes",IF(COUNTIFS($A$5:$A$1200,A448,$B$5:$B$1200,B448)&gt;1,"ERRO: período e curso duplicados","OK"))))</f>
        <v/>
      </c>
    </row>
    <row r="449" ht="15" customHeight="1" s="131">
      <c r="A449" s="320" t="n"/>
      <c r="B449" s="323" t="n"/>
      <c r="C449" s="320" t="n"/>
      <c r="D449" s="320" t="n"/>
      <c r="E449" s="320" t="n"/>
      <c r="F449" s="320" t="n"/>
      <c r="G449" s="284">
        <f>IFERROR((D449-F449)/C449*100,"")</f>
        <v/>
      </c>
      <c r="H449" s="324" t="n"/>
      <c r="I449" s="320" t="n"/>
      <c r="J449" s="325">
        <f>IF(COUNTA(A449:F449)=0,"",IF(OR(C449&lt;0,D449&lt;0,E449&lt;0,F449&lt;0),"ERRO: valor negativo",IF(C449&lt;&gt;SUM(D449:F449),"ERRO: categorias diferem dos respondentes",IF(COUNTIFS($A$5:$A$1200,A449,$B$5:$B$1200,B449)&gt;1,"ERRO: período e curso duplicados","OK"))))</f>
        <v/>
      </c>
    </row>
    <row r="450" ht="15" customHeight="1" s="131">
      <c r="A450" s="320" t="n"/>
      <c r="B450" s="323" t="n"/>
      <c r="C450" s="320" t="n"/>
      <c r="D450" s="320" t="n"/>
      <c r="E450" s="320" t="n"/>
      <c r="F450" s="320" t="n"/>
      <c r="G450" s="284">
        <f>IFERROR((D450-F450)/C450*100,"")</f>
        <v/>
      </c>
      <c r="H450" s="324" t="n"/>
      <c r="I450" s="320" t="n"/>
      <c r="J450" s="325">
        <f>IF(COUNTA(A450:F450)=0,"",IF(OR(C450&lt;0,D450&lt;0,E450&lt;0,F450&lt;0),"ERRO: valor negativo",IF(C450&lt;&gt;SUM(D450:F450),"ERRO: categorias diferem dos respondentes",IF(COUNTIFS($A$5:$A$1200,A450,$B$5:$B$1200,B450)&gt;1,"ERRO: período e curso duplicados","OK"))))</f>
        <v/>
      </c>
    </row>
    <row r="451" ht="15" customHeight="1" s="131">
      <c r="A451" s="320" t="n"/>
      <c r="B451" s="323" t="n"/>
      <c r="C451" s="320" t="n"/>
      <c r="D451" s="320" t="n"/>
      <c r="E451" s="320" t="n"/>
      <c r="F451" s="320" t="n"/>
      <c r="G451" s="284">
        <f>IFERROR((D451-F451)/C451*100,"")</f>
        <v/>
      </c>
      <c r="H451" s="324" t="n"/>
      <c r="I451" s="320" t="n"/>
      <c r="J451" s="325">
        <f>IF(COUNTA(A451:F451)=0,"",IF(OR(C451&lt;0,D451&lt;0,E451&lt;0,F451&lt;0),"ERRO: valor negativo",IF(C451&lt;&gt;SUM(D451:F451),"ERRO: categorias diferem dos respondentes",IF(COUNTIFS($A$5:$A$1200,A451,$B$5:$B$1200,B451)&gt;1,"ERRO: período e curso duplicados","OK"))))</f>
        <v/>
      </c>
    </row>
    <row r="452" ht="15" customHeight="1" s="131">
      <c r="A452" s="320" t="n"/>
      <c r="B452" s="323" t="n"/>
      <c r="C452" s="320" t="n"/>
      <c r="D452" s="320" t="n"/>
      <c r="E452" s="320" t="n"/>
      <c r="F452" s="320" t="n"/>
      <c r="G452" s="284">
        <f>IFERROR((D452-F452)/C452*100,"")</f>
        <v/>
      </c>
      <c r="H452" s="324" t="n"/>
      <c r="I452" s="320" t="n"/>
      <c r="J452" s="325">
        <f>IF(COUNTA(A452:F452)=0,"",IF(OR(C452&lt;0,D452&lt;0,E452&lt;0,F452&lt;0),"ERRO: valor negativo",IF(C452&lt;&gt;SUM(D452:F452),"ERRO: categorias diferem dos respondentes",IF(COUNTIFS($A$5:$A$1200,A452,$B$5:$B$1200,B452)&gt;1,"ERRO: período e curso duplicados","OK"))))</f>
        <v/>
      </c>
    </row>
    <row r="453" ht="15" customHeight="1" s="131">
      <c r="A453" s="320" t="n"/>
      <c r="B453" s="323" t="n"/>
      <c r="C453" s="320" t="n"/>
      <c r="D453" s="320" t="n"/>
      <c r="E453" s="320" t="n"/>
      <c r="F453" s="320" t="n"/>
      <c r="G453" s="284">
        <f>IFERROR((D453-F453)/C453*100,"")</f>
        <v/>
      </c>
      <c r="H453" s="324" t="n"/>
      <c r="I453" s="320" t="n"/>
      <c r="J453" s="325">
        <f>IF(COUNTA(A453:F453)=0,"",IF(OR(C453&lt;0,D453&lt;0,E453&lt;0,F453&lt;0),"ERRO: valor negativo",IF(C453&lt;&gt;SUM(D453:F453),"ERRO: categorias diferem dos respondentes",IF(COUNTIFS($A$5:$A$1200,A453,$B$5:$B$1200,B453)&gt;1,"ERRO: período e curso duplicados","OK"))))</f>
        <v/>
      </c>
    </row>
    <row r="454" ht="15" customHeight="1" s="131">
      <c r="A454" s="320" t="n"/>
      <c r="B454" s="323" t="n"/>
      <c r="C454" s="320" t="n"/>
      <c r="D454" s="320" t="n"/>
      <c r="E454" s="320" t="n"/>
      <c r="F454" s="320" t="n"/>
      <c r="G454" s="284">
        <f>IFERROR((D454-F454)/C454*100,"")</f>
        <v/>
      </c>
      <c r="H454" s="324" t="n"/>
      <c r="I454" s="320" t="n"/>
      <c r="J454" s="325">
        <f>IF(COUNTA(A454:F454)=0,"",IF(OR(C454&lt;0,D454&lt;0,E454&lt;0,F454&lt;0),"ERRO: valor negativo",IF(C454&lt;&gt;SUM(D454:F454),"ERRO: categorias diferem dos respondentes",IF(COUNTIFS($A$5:$A$1200,A454,$B$5:$B$1200,B454)&gt;1,"ERRO: período e curso duplicados","OK"))))</f>
        <v/>
      </c>
    </row>
    <row r="455" ht="15" customHeight="1" s="131">
      <c r="A455" s="320" t="n"/>
      <c r="B455" s="323" t="n"/>
      <c r="C455" s="320" t="n"/>
      <c r="D455" s="320" t="n"/>
      <c r="E455" s="320" t="n"/>
      <c r="F455" s="320" t="n"/>
      <c r="G455" s="284">
        <f>IFERROR((D455-F455)/C455*100,"")</f>
        <v/>
      </c>
      <c r="H455" s="324" t="n"/>
      <c r="I455" s="320" t="n"/>
      <c r="J455" s="325">
        <f>IF(COUNTA(A455:F455)=0,"",IF(OR(C455&lt;0,D455&lt;0,E455&lt;0,F455&lt;0),"ERRO: valor negativo",IF(C455&lt;&gt;SUM(D455:F455),"ERRO: categorias diferem dos respondentes",IF(COUNTIFS($A$5:$A$1200,A455,$B$5:$B$1200,B455)&gt;1,"ERRO: período e curso duplicados","OK"))))</f>
        <v/>
      </c>
    </row>
    <row r="456" ht="15" customHeight="1" s="131">
      <c r="A456" s="320" t="n"/>
      <c r="B456" s="323" t="n"/>
      <c r="C456" s="320" t="n"/>
      <c r="D456" s="320" t="n"/>
      <c r="E456" s="320" t="n"/>
      <c r="F456" s="320" t="n"/>
      <c r="G456" s="284">
        <f>IFERROR((D456-F456)/C456*100,"")</f>
        <v/>
      </c>
      <c r="H456" s="324" t="n"/>
      <c r="I456" s="320" t="n"/>
      <c r="J456" s="325">
        <f>IF(COUNTA(A456:F456)=0,"",IF(OR(C456&lt;0,D456&lt;0,E456&lt;0,F456&lt;0),"ERRO: valor negativo",IF(C456&lt;&gt;SUM(D456:F456),"ERRO: categorias diferem dos respondentes",IF(COUNTIFS($A$5:$A$1200,A456,$B$5:$B$1200,B456)&gt;1,"ERRO: período e curso duplicados","OK"))))</f>
        <v/>
      </c>
    </row>
    <row r="457" ht="15" customHeight="1" s="131">
      <c r="A457" s="320" t="n"/>
      <c r="B457" s="323" t="n"/>
      <c r="C457" s="320" t="n"/>
      <c r="D457" s="320" t="n"/>
      <c r="E457" s="320" t="n"/>
      <c r="F457" s="320" t="n"/>
      <c r="G457" s="284">
        <f>IFERROR((D457-F457)/C457*100,"")</f>
        <v/>
      </c>
      <c r="H457" s="324" t="n"/>
      <c r="I457" s="320" t="n"/>
      <c r="J457" s="325">
        <f>IF(COUNTA(A457:F457)=0,"",IF(OR(C457&lt;0,D457&lt;0,E457&lt;0,F457&lt;0),"ERRO: valor negativo",IF(C457&lt;&gt;SUM(D457:F457),"ERRO: categorias diferem dos respondentes",IF(COUNTIFS($A$5:$A$1200,A457,$B$5:$B$1200,B457)&gt;1,"ERRO: período e curso duplicados","OK"))))</f>
        <v/>
      </c>
    </row>
    <row r="458" ht="15" customHeight="1" s="131">
      <c r="A458" s="320" t="n"/>
      <c r="B458" s="323" t="n"/>
      <c r="C458" s="320" t="n"/>
      <c r="D458" s="320" t="n"/>
      <c r="E458" s="320" t="n"/>
      <c r="F458" s="320" t="n"/>
      <c r="G458" s="284">
        <f>IFERROR((D458-F458)/C458*100,"")</f>
        <v/>
      </c>
      <c r="H458" s="324" t="n"/>
      <c r="I458" s="320" t="n"/>
      <c r="J458" s="325">
        <f>IF(COUNTA(A458:F458)=0,"",IF(OR(C458&lt;0,D458&lt;0,E458&lt;0,F458&lt;0),"ERRO: valor negativo",IF(C458&lt;&gt;SUM(D458:F458),"ERRO: categorias diferem dos respondentes",IF(COUNTIFS($A$5:$A$1200,A458,$B$5:$B$1200,B458)&gt;1,"ERRO: período e curso duplicados","OK"))))</f>
        <v/>
      </c>
    </row>
    <row r="459" ht="15" customHeight="1" s="131">
      <c r="A459" s="320" t="n"/>
      <c r="B459" s="323" t="n"/>
      <c r="C459" s="320" t="n"/>
      <c r="D459" s="320" t="n"/>
      <c r="E459" s="320" t="n"/>
      <c r="F459" s="320" t="n"/>
      <c r="G459" s="284">
        <f>IFERROR((D459-F459)/C459*100,"")</f>
        <v/>
      </c>
      <c r="H459" s="324" t="n"/>
      <c r="I459" s="320" t="n"/>
      <c r="J459" s="325">
        <f>IF(COUNTA(A459:F459)=0,"",IF(OR(C459&lt;0,D459&lt;0,E459&lt;0,F459&lt;0),"ERRO: valor negativo",IF(C459&lt;&gt;SUM(D459:F459),"ERRO: categorias diferem dos respondentes",IF(COUNTIFS($A$5:$A$1200,A459,$B$5:$B$1200,B459)&gt;1,"ERRO: período e curso duplicados","OK"))))</f>
        <v/>
      </c>
    </row>
    <row r="460" ht="15" customHeight="1" s="131">
      <c r="A460" s="320" t="n"/>
      <c r="B460" s="323" t="n"/>
      <c r="C460" s="320" t="n"/>
      <c r="D460" s="320" t="n"/>
      <c r="E460" s="320" t="n"/>
      <c r="F460" s="320" t="n"/>
      <c r="G460" s="284">
        <f>IFERROR((D460-F460)/C460*100,"")</f>
        <v/>
      </c>
      <c r="H460" s="324" t="n"/>
      <c r="I460" s="320" t="n"/>
      <c r="J460" s="325">
        <f>IF(COUNTA(A460:F460)=0,"",IF(OR(C460&lt;0,D460&lt;0,E460&lt;0,F460&lt;0),"ERRO: valor negativo",IF(C460&lt;&gt;SUM(D460:F460),"ERRO: categorias diferem dos respondentes",IF(COUNTIFS($A$5:$A$1200,A460,$B$5:$B$1200,B460)&gt;1,"ERRO: período e curso duplicados","OK"))))</f>
        <v/>
      </c>
    </row>
    <row r="461" ht="15" customHeight="1" s="131">
      <c r="A461" s="320" t="n"/>
      <c r="B461" s="323" t="n"/>
      <c r="C461" s="320" t="n"/>
      <c r="D461" s="320" t="n"/>
      <c r="E461" s="320" t="n"/>
      <c r="F461" s="320" t="n"/>
      <c r="G461" s="284">
        <f>IFERROR((D461-F461)/C461*100,"")</f>
        <v/>
      </c>
      <c r="H461" s="324" t="n"/>
      <c r="I461" s="320" t="n"/>
      <c r="J461" s="325">
        <f>IF(COUNTA(A461:F461)=0,"",IF(OR(C461&lt;0,D461&lt;0,E461&lt;0,F461&lt;0),"ERRO: valor negativo",IF(C461&lt;&gt;SUM(D461:F461),"ERRO: categorias diferem dos respondentes",IF(COUNTIFS($A$5:$A$1200,A461,$B$5:$B$1200,B461)&gt;1,"ERRO: período e curso duplicados","OK"))))</f>
        <v/>
      </c>
    </row>
    <row r="462" ht="15" customHeight="1" s="131">
      <c r="A462" s="320" t="n"/>
      <c r="B462" s="323" t="n"/>
      <c r="C462" s="320" t="n"/>
      <c r="D462" s="320" t="n"/>
      <c r="E462" s="320" t="n"/>
      <c r="F462" s="320" t="n"/>
      <c r="G462" s="284">
        <f>IFERROR((D462-F462)/C462*100,"")</f>
        <v/>
      </c>
      <c r="H462" s="324" t="n"/>
      <c r="I462" s="320" t="n"/>
      <c r="J462" s="325">
        <f>IF(COUNTA(A462:F462)=0,"",IF(OR(C462&lt;0,D462&lt;0,E462&lt;0,F462&lt;0),"ERRO: valor negativo",IF(C462&lt;&gt;SUM(D462:F462),"ERRO: categorias diferem dos respondentes",IF(COUNTIFS($A$5:$A$1200,A462,$B$5:$B$1200,B462)&gt;1,"ERRO: período e curso duplicados","OK"))))</f>
        <v/>
      </c>
    </row>
    <row r="463" ht="15" customHeight="1" s="131">
      <c r="A463" s="320" t="n"/>
      <c r="B463" s="323" t="n"/>
      <c r="C463" s="320" t="n"/>
      <c r="D463" s="320" t="n"/>
      <c r="E463" s="320" t="n"/>
      <c r="F463" s="320" t="n"/>
      <c r="G463" s="284">
        <f>IFERROR((D463-F463)/C463*100,"")</f>
        <v/>
      </c>
      <c r="H463" s="324" t="n"/>
      <c r="I463" s="320" t="n"/>
      <c r="J463" s="325">
        <f>IF(COUNTA(A463:F463)=0,"",IF(OR(C463&lt;0,D463&lt;0,E463&lt;0,F463&lt;0),"ERRO: valor negativo",IF(C463&lt;&gt;SUM(D463:F463),"ERRO: categorias diferem dos respondentes",IF(COUNTIFS($A$5:$A$1200,A463,$B$5:$B$1200,B463)&gt;1,"ERRO: período e curso duplicados","OK"))))</f>
        <v/>
      </c>
    </row>
    <row r="464" ht="15" customHeight="1" s="131">
      <c r="A464" s="320" t="n"/>
      <c r="B464" s="323" t="n"/>
      <c r="C464" s="320" t="n"/>
      <c r="D464" s="320" t="n"/>
      <c r="E464" s="320" t="n"/>
      <c r="F464" s="320" t="n"/>
      <c r="G464" s="284">
        <f>IFERROR((D464-F464)/C464*100,"")</f>
        <v/>
      </c>
      <c r="H464" s="324" t="n"/>
      <c r="I464" s="320" t="n"/>
      <c r="J464" s="325">
        <f>IF(COUNTA(A464:F464)=0,"",IF(OR(C464&lt;0,D464&lt;0,E464&lt;0,F464&lt;0),"ERRO: valor negativo",IF(C464&lt;&gt;SUM(D464:F464),"ERRO: categorias diferem dos respondentes",IF(COUNTIFS($A$5:$A$1200,A464,$B$5:$B$1200,B464)&gt;1,"ERRO: período e curso duplicados","OK"))))</f>
        <v/>
      </c>
    </row>
    <row r="465" ht="15" customHeight="1" s="131">
      <c r="A465" s="320" t="n"/>
      <c r="B465" s="323" t="n"/>
      <c r="C465" s="320" t="n"/>
      <c r="D465" s="320" t="n"/>
      <c r="E465" s="320" t="n"/>
      <c r="F465" s="320" t="n"/>
      <c r="G465" s="284">
        <f>IFERROR((D465-F465)/C465*100,"")</f>
        <v/>
      </c>
      <c r="H465" s="324" t="n"/>
      <c r="I465" s="320" t="n"/>
      <c r="J465" s="325">
        <f>IF(COUNTA(A465:F465)=0,"",IF(OR(C465&lt;0,D465&lt;0,E465&lt;0,F465&lt;0),"ERRO: valor negativo",IF(C465&lt;&gt;SUM(D465:F465),"ERRO: categorias diferem dos respondentes",IF(COUNTIFS($A$5:$A$1200,A465,$B$5:$B$1200,B465)&gt;1,"ERRO: período e curso duplicados","OK"))))</f>
        <v/>
      </c>
    </row>
    <row r="466" ht="15" customHeight="1" s="131">
      <c r="A466" s="320" t="n"/>
      <c r="B466" s="323" t="n"/>
      <c r="C466" s="320" t="n"/>
      <c r="D466" s="320" t="n"/>
      <c r="E466" s="320" t="n"/>
      <c r="F466" s="320" t="n"/>
      <c r="G466" s="284">
        <f>IFERROR((D466-F466)/C466*100,"")</f>
        <v/>
      </c>
      <c r="H466" s="324" t="n"/>
      <c r="I466" s="320" t="n"/>
      <c r="J466" s="325">
        <f>IF(COUNTA(A466:F466)=0,"",IF(OR(C466&lt;0,D466&lt;0,E466&lt;0,F466&lt;0),"ERRO: valor negativo",IF(C466&lt;&gt;SUM(D466:F466),"ERRO: categorias diferem dos respondentes",IF(COUNTIFS($A$5:$A$1200,A466,$B$5:$B$1200,B466)&gt;1,"ERRO: período e curso duplicados","OK"))))</f>
        <v/>
      </c>
    </row>
    <row r="467" ht="15" customHeight="1" s="131">
      <c r="A467" s="320" t="n"/>
      <c r="B467" s="323" t="n"/>
      <c r="C467" s="320" t="n"/>
      <c r="D467" s="320" t="n"/>
      <c r="E467" s="320" t="n"/>
      <c r="F467" s="320" t="n"/>
      <c r="G467" s="284">
        <f>IFERROR((D467-F467)/C467*100,"")</f>
        <v/>
      </c>
      <c r="H467" s="324" t="n"/>
      <c r="I467" s="320" t="n"/>
      <c r="J467" s="325">
        <f>IF(COUNTA(A467:F467)=0,"",IF(OR(C467&lt;0,D467&lt;0,E467&lt;0,F467&lt;0),"ERRO: valor negativo",IF(C467&lt;&gt;SUM(D467:F467),"ERRO: categorias diferem dos respondentes",IF(COUNTIFS($A$5:$A$1200,A467,$B$5:$B$1200,B467)&gt;1,"ERRO: período e curso duplicados","OK"))))</f>
        <v/>
      </c>
    </row>
    <row r="468" ht="15" customHeight="1" s="131">
      <c r="A468" s="320" t="n"/>
      <c r="B468" s="323" t="n"/>
      <c r="C468" s="320" t="n"/>
      <c r="D468" s="320" t="n"/>
      <c r="E468" s="320" t="n"/>
      <c r="F468" s="320" t="n"/>
      <c r="G468" s="284">
        <f>IFERROR((D468-F468)/C468*100,"")</f>
        <v/>
      </c>
      <c r="H468" s="324" t="n"/>
      <c r="I468" s="320" t="n"/>
      <c r="J468" s="325">
        <f>IF(COUNTA(A468:F468)=0,"",IF(OR(C468&lt;0,D468&lt;0,E468&lt;0,F468&lt;0),"ERRO: valor negativo",IF(C468&lt;&gt;SUM(D468:F468),"ERRO: categorias diferem dos respondentes",IF(COUNTIFS($A$5:$A$1200,A468,$B$5:$B$1200,B468)&gt;1,"ERRO: período e curso duplicados","OK"))))</f>
        <v/>
      </c>
    </row>
    <row r="469" ht="15" customHeight="1" s="131">
      <c r="A469" s="320" t="n"/>
      <c r="B469" s="323" t="n"/>
      <c r="C469" s="320" t="n"/>
      <c r="D469" s="320" t="n"/>
      <c r="E469" s="320" t="n"/>
      <c r="F469" s="320" t="n"/>
      <c r="G469" s="284">
        <f>IFERROR((D469-F469)/C469*100,"")</f>
        <v/>
      </c>
      <c r="H469" s="324" t="n"/>
      <c r="I469" s="320" t="n"/>
      <c r="J469" s="325">
        <f>IF(COUNTA(A469:F469)=0,"",IF(OR(C469&lt;0,D469&lt;0,E469&lt;0,F469&lt;0),"ERRO: valor negativo",IF(C469&lt;&gt;SUM(D469:F469),"ERRO: categorias diferem dos respondentes",IF(COUNTIFS($A$5:$A$1200,A469,$B$5:$B$1200,B469)&gt;1,"ERRO: período e curso duplicados","OK"))))</f>
        <v/>
      </c>
    </row>
    <row r="470" ht="15" customHeight="1" s="131">
      <c r="A470" s="320" t="n"/>
      <c r="B470" s="323" t="n"/>
      <c r="C470" s="320" t="n"/>
      <c r="D470" s="320" t="n"/>
      <c r="E470" s="320" t="n"/>
      <c r="F470" s="320" t="n"/>
      <c r="G470" s="284">
        <f>IFERROR((D470-F470)/C470*100,"")</f>
        <v/>
      </c>
      <c r="H470" s="324" t="n"/>
      <c r="I470" s="320" t="n"/>
      <c r="J470" s="325">
        <f>IF(COUNTA(A470:F470)=0,"",IF(OR(C470&lt;0,D470&lt;0,E470&lt;0,F470&lt;0),"ERRO: valor negativo",IF(C470&lt;&gt;SUM(D470:F470),"ERRO: categorias diferem dos respondentes",IF(COUNTIFS($A$5:$A$1200,A470,$B$5:$B$1200,B470)&gt;1,"ERRO: período e curso duplicados","OK"))))</f>
        <v/>
      </c>
    </row>
    <row r="471" ht="15" customHeight="1" s="131">
      <c r="A471" s="320" t="n"/>
      <c r="B471" s="323" t="n"/>
      <c r="C471" s="320" t="n"/>
      <c r="D471" s="320" t="n"/>
      <c r="E471" s="320" t="n"/>
      <c r="F471" s="320" t="n"/>
      <c r="G471" s="284">
        <f>IFERROR((D471-F471)/C471*100,"")</f>
        <v/>
      </c>
      <c r="H471" s="324" t="n"/>
      <c r="I471" s="320" t="n"/>
      <c r="J471" s="325">
        <f>IF(COUNTA(A471:F471)=0,"",IF(OR(C471&lt;0,D471&lt;0,E471&lt;0,F471&lt;0),"ERRO: valor negativo",IF(C471&lt;&gt;SUM(D471:F471),"ERRO: categorias diferem dos respondentes",IF(COUNTIFS($A$5:$A$1200,A471,$B$5:$B$1200,B471)&gt;1,"ERRO: período e curso duplicados","OK"))))</f>
        <v/>
      </c>
    </row>
    <row r="472" ht="15" customHeight="1" s="131">
      <c r="A472" s="320" t="n"/>
      <c r="B472" s="323" t="n"/>
      <c r="C472" s="320" t="n"/>
      <c r="D472" s="320" t="n"/>
      <c r="E472" s="320" t="n"/>
      <c r="F472" s="320" t="n"/>
      <c r="G472" s="284">
        <f>IFERROR((D472-F472)/C472*100,"")</f>
        <v/>
      </c>
      <c r="H472" s="324" t="n"/>
      <c r="I472" s="320" t="n"/>
      <c r="J472" s="325">
        <f>IF(COUNTA(A472:F472)=0,"",IF(OR(C472&lt;0,D472&lt;0,E472&lt;0,F472&lt;0),"ERRO: valor negativo",IF(C472&lt;&gt;SUM(D472:F472),"ERRO: categorias diferem dos respondentes",IF(COUNTIFS($A$5:$A$1200,A472,$B$5:$B$1200,B472)&gt;1,"ERRO: período e curso duplicados","OK"))))</f>
        <v/>
      </c>
    </row>
    <row r="473" ht="15" customHeight="1" s="131">
      <c r="A473" s="320" t="n"/>
      <c r="B473" s="323" t="n"/>
      <c r="C473" s="320" t="n"/>
      <c r="D473" s="320" t="n"/>
      <c r="E473" s="320" t="n"/>
      <c r="F473" s="320" t="n"/>
      <c r="G473" s="284">
        <f>IFERROR((D473-F473)/C473*100,"")</f>
        <v/>
      </c>
      <c r="H473" s="324" t="n"/>
      <c r="I473" s="320" t="n"/>
      <c r="J473" s="325">
        <f>IF(COUNTA(A473:F473)=0,"",IF(OR(C473&lt;0,D473&lt;0,E473&lt;0,F473&lt;0),"ERRO: valor negativo",IF(C473&lt;&gt;SUM(D473:F473),"ERRO: categorias diferem dos respondentes",IF(COUNTIFS($A$5:$A$1200,A473,$B$5:$B$1200,B473)&gt;1,"ERRO: período e curso duplicados","OK"))))</f>
        <v/>
      </c>
    </row>
    <row r="474" ht="15" customHeight="1" s="131">
      <c r="A474" s="320" t="n"/>
      <c r="B474" s="323" t="n"/>
      <c r="C474" s="320" t="n"/>
      <c r="D474" s="320" t="n"/>
      <c r="E474" s="320" t="n"/>
      <c r="F474" s="320" t="n"/>
      <c r="G474" s="284">
        <f>IFERROR((D474-F474)/C474*100,"")</f>
        <v/>
      </c>
      <c r="H474" s="324" t="n"/>
      <c r="I474" s="320" t="n"/>
      <c r="J474" s="325">
        <f>IF(COUNTA(A474:F474)=0,"",IF(OR(C474&lt;0,D474&lt;0,E474&lt;0,F474&lt;0),"ERRO: valor negativo",IF(C474&lt;&gt;SUM(D474:F474),"ERRO: categorias diferem dos respondentes",IF(COUNTIFS($A$5:$A$1200,A474,$B$5:$B$1200,B474)&gt;1,"ERRO: período e curso duplicados","OK"))))</f>
        <v/>
      </c>
    </row>
    <row r="475" ht="15" customHeight="1" s="131">
      <c r="A475" s="320" t="n"/>
      <c r="B475" s="323" t="n"/>
      <c r="C475" s="320" t="n"/>
      <c r="D475" s="320" t="n"/>
      <c r="E475" s="320" t="n"/>
      <c r="F475" s="320" t="n"/>
      <c r="G475" s="284">
        <f>IFERROR((D475-F475)/C475*100,"")</f>
        <v/>
      </c>
      <c r="H475" s="324" t="n"/>
      <c r="I475" s="320" t="n"/>
      <c r="J475" s="325">
        <f>IF(COUNTA(A475:F475)=0,"",IF(OR(C475&lt;0,D475&lt;0,E475&lt;0,F475&lt;0),"ERRO: valor negativo",IF(C475&lt;&gt;SUM(D475:F475),"ERRO: categorias diferem dos respondentes",IF(COUNTIFS($A$5:$A$1200,A475,$B$5:$B$1200,B475)&gt;1,"ERRO: período e curso duplicados","OK"))))</f>
        <v/>
      </c>
    </row>
    <row r="476" ht="15" customHeight="1" s="131">
      <c r="A476" s="320" t="n"/>
      <c r="B476" s="323" t="n"/>
      <c r="C476" s="320" t="n"/>
      <c r="D476" s="320" t="n"/>
      <c r="E476" s="320" t="n"/>
      <c r="F476" s="320" t="n"/>
      <c r="G476" s="284">
        <f>IFERROR((D476-F476)/C476*100,"")</f>
        <v/>
      </c>
      <c r="H476" s="324" t="n"/>
      <c r="I476" s="320" t="n"/>
      <c r="J476" s="325">
        <f>IF(COUNTA(A476:F476)=0,"",IF(OR(C476&lt;0,D476&lt;0,E476&lt;0,F476&lt;0),"ERRO: valor negativo",IF(C476&lt;&gt;SUM(D476:F476),"ERRO: categorias diferem dos respondentes",IF(COUNTIFS($A$5:$A$1200,A476,$B$5:$B$1200,B476)&gt;1,"ERRO: período e curso duplicados","OK"))))</f>
        <v/>
      </c>
    </row>
    <row r="477" ht="15" customHeight="1" s="131">
      <c r="A477" s="320" t="n"/>
      <c r="B477" s="323" t="n"/>
      <c r="C477" s="320" t="n"/>
      <c r="D477" s="320" t="n"/>
      <c r="E477" s="320" t="n"/>
      <c r="F477" s="320" t="n"/>
      <c r="G477" s="284">
        <f>IFERROR((D477-F477)/C477*100,"")</f>
        <v/>
      </c>
      <c r="H477" s="324" t="n"/>
      <c r="I477" s="320" t="n"/>
      <c r="J477" s="325">
        <f>IF(COUNTA(A477:F477)=0,"",IF(OR(C477&lt;0,D477&lt;0,E477&lt;0,F477&lt;0),"ERRO: valor negativo",IF(C477&lt;&gt;SUM(D477:F477),"ERRO: categorias diferem dos respondentes",IF(COUNTIFS($A$5:$A$1200,A477,$B$5:$B$1200,B477)&gt;1,"ERRO: período e curso duplicados","OK"))))</f>
        <v/>
      </c>
    </row>
    <row r="478" ht="15" customHeight="1" s="131">
      <c r="A478" s="320" t="n"/>
      <c r="B478" s="323" t="n"/>
      <c r="C478" s="320" t="n"/>
      <c r="D478" s="320" t="n"/>
      <c r="E478" s="320" t="n"/>
      <c r="F478" s="320" t="n"/>
      <c r="G478" s="284">
        <f>IFERROR((D478-F478)/C478*100,"")</f>
        <v/>
      </c>
      <c r="H478" s="324" t="n"/>
      <c r="I478" s="320" t="n"/>
      <c r="J478" s="325">
        <f>IF(COUNTA(A478:F478)=0,"",IF(OR(C478&lt;0,D478&lt;0,E478&lt;0,F478&lt;0),"ERRO: valor negativo",IF(C478&lt;&gt;SUM(D478:F478),"ERRO: categorias diferem dos respondentes",IF(COUNTIFS($A$5:$A$1200,A478,$B$5:$B$1200,B478)&gt;1,"ERRO: período e curso duplicados","OK"))))</f>
        <v/>
      </c>
    </row>
    <row r="479" ht="15" customHeight="1" s="131">
      <c r="A479" s="320" t="n"/>
      <c r="B479" s="323" t="n"/>
      <c r="C479" s="320" t="n"/>
      <c r="D479" s="320" t="n"/>
      <c r="E479" s="320" t="n"/>
      <c r="F479" s="320" t="n"/>
      <c r="G479" s="284">
        <f>IFERROR((D479-F479)/C479*100,"")</f>
        <v/>
      </c>
      <c r="H479" s="324" t="n"/>
      <c r="I479" s="320" t="n"/>
      <c r="J479" s="325">
        <f>IF(COUNTA(A479:F479)=0,"",IF(OR(C479&lt;0,D479&lt;0,E479&lt;0,F479&lt;0),"ERRO: valor negativo",IF(C479&lt;&gt;SUM(D479:F479),"ERRO: categorias diferem dos respondentes",IF(COUNTIFS($A$5:$A$1200,A479,$B$5:$B$1200,B479)&gt;1,"ERRO: período e curso duplicados","OK"))))</f>
        <v/>
      </c>
    </row>
    <row r="480" ht="15" customHeight="1" s="131">
      <c r="A480" s="320" t="n"/>
      <c r="B480" s="323" t="n"/>
      <c r="C480" s="320" t="n"/>
      <c r="D480" s="320" t="n"/>
      <c r="E480" s="320" t="n"/>
      <c r="F480" s="320" t="n"/>
      <c r="G480" s="284">
        <f>IFERROR((D480-F480)/C480*100,"")</f>
        <v/>
      </c>
      <c r="H480" s="324" t="n"/>
      <c r="I480" s="320" t="n"/>
      <c r="J480" s="325">
        <f>IF(COUNTA(A480:F480)=0,"",IF(OR(C480&lt;0,D480&lt;0,E480&lt;0,F480&lt;0),"ERRO: valor negativo",IF(C480&lt;&gt;SUM(D480:F480),"ERRO: categorias diferem dos respondentes",IF(COUNTIFS($A$5:$A$1200,A480,$B$5:$B$1200,B480)&gt;1,"ERRO: período e curso duplicados","OK"))))</f>
        <v/>
      </c>
    </row>
    <row r="481" ht="15" customHeight="1" s="131">
      <c r="A481" s="320" t="n"/>
      <c r="B481" s="323" t="n"/>
      <c r="C481" s="320" t="n"/>
      <c r="D481" s="320" t="n"/>
      <c r="E481" s="320" t="n"/>
      <c r="F481" s="320" t="n"/>
      <c r="G481" s="284">
        <f>IFERROR((D481-F481)/C481*100,"")</f>
        <v/>
      </c>
      <c r="H481" s="324" t="n"/>
      <c r="I481" s="320" t="n"/>
      <c r="J481" s="325">
        <f>IF(COUNTA(A481:F481)=0,"",IF(OR(C481&lt;0,D481&lt;0,E481&lt;0,F481&lt;0),"ERRO: valor negativo",IF(C481&lt;&gt;SUM(D481:F481),"ERRO: categorias diferem dos respondentes",IF(COUNTIFS($A$5:$A$1200,A481,$B$5:$B$1200,B481)&gt;1,"ERRO: período e curso duplicados","OK"))))</f>
        <v/>
      </c>
    </row>
    <row r="482" ht="15" customHeight="1" s="131">
      <c r="A482" s="320" t="n"/>
      <c r="B482" s="323" t="n"/>
      <c r="C482" s="320" t="n"/>
      <c r="D482" s="320" t="n"/>
      <c r="E482" s="320" t="n"/>
      <c r="F482" s="320" t="n"/>
      <c r="G482" s="284">
        <f>IFERROR((D482-F482)/C482*100,"")</f>
        <v/>
      </c>
      <c r="H482" s="324" t="n"/>
      <c r="I482" s="320" t="n"/>
      <c r="J482" s="325">
        <f>IF(COUNTA(A482:F482)=0,"",IF(OR(C482&lt;0,D482&lt;0,E482&lt;0,F482&lt;0),"ERRO: valor negativo",IF(C482&lt;&gt;SUM(D482:F482),"ERRO: categorias diferem dos respondentes",IF(COUNTIFS($A$5:$A$1200,A482,$B$5:$B$1200,B482)&gt;1,"ERRO: período e curso duplicados","OK"))))</f>
        <v/>
      </c>
    </row>
    <row r="483" ht="15" customHeight="1" s="131">
      <c r="A483" s="320" t="n"/>
      <c r="B483" s="323" t="n"/>
      <c r="C483" s="320" t="n"/>
      <c r="D483" s="320" t="n"/>
      <c r="E483" s="320" t="n"/>
      <c r="F483" s="320" t="n"/>
      <c r="G483" s="284">
        <f>IFERROR((D483-F483)/C483*100,"")</f>
        <v/>
      </c>
      <c r="H483" s="324" t="n"/>
      <c r="I483" s="320" t="n"/>
      <c r="J483" s="325">
        <f>IF(COUNTA(A483:F483)=0,"",IF(OR(C483&lt;0,D483&lt;0,E483&lt;0,F483&lt;0),"ERRO: valor negativo",IF(C483&lt;&gt;SUM(D483:F483),"ERRO: categorias diferem dos respondentes",IF(COUNTIFS($A$5:$A$1200,A483,$B$5:$B$1200,B483)&gt;1,"ERRO: período e curso duplicados","OK"))))</f>
        <v/>
      </c>
    </row>
    <row r="484" ht="15" customHeight="1" s="131">
      <c r="A484" s="320" t="n"/>
      <c r="B484" s="323" t="n"/>
      <c r="C484" s="320" t="n"/>
      <c r="D484" s="320" t="n"/>
      <c r="E484" s="320" t="n"/>
      <c r="F484" s="320" t="n"/>
      <c r="G484" s="284">
        <f>IFERROR((D484-F484)/C484*100,"")</f>
        <v/>
      </c>
      <c r="H484" s="324" t="n"/>
      <c r="I484" s="320" t="n"/>
      <c r="J484" s="325">
        <f>IF(COUNTA(A484:F484)=0,"",IF(OR(C484&lt;0,D484&lt;0,E484&lt;0,F484&lt;0),"ERRO: valor negativo",IF(C484&lt;&gt;SUM(D484:F484),"ERRO: categorias diferem dos respondentes",IF(COUNTIFS($A$5:$A$1200,A484,$B$5:$B$1200,B484)&gt;1,"ERRO: período e curso duplicados","OK"))))</f>
        <v/>
      </c>
    </row>
    <row r="485" ht="15" customHeight="1" s="131">
      <c r="A485" s="320" t="n"/>
      <c r="B485" s="323" t="n"/>
      <c r="C485" s="320" t="n"/>
      <c r="D485" s="320" t="n"/>
      <c r="E485" s="320" t="n"/>
      <c r="F485" s="320" t="n"/>
      <c r="G485" s="284">
        <f>IFERROR((D485-F485)/C485*100,"")</f>
        <v/>
      </c>
      <c r="H485" s="324" t="n"/>
      <c r="I485" s="320" t="n"/>
      <c r="J485" s="325">
        <f>IF(COUNTA(A485:F485)=0,"",IF(OR(C485&lt;0,D485&lt;0,E485&lt;0,F485&lt;0),"ERRO: valor negativo",IF(C485&lt;&gt;SUM(D485:F485),"ERRO: categorias diferem dos respondentes",IF(COUNTIFS($A$5:$A$1200,A485,$B$5:$B$1200,B485)&gt;1,"ERRO: período e curso duplicados","OK"))))</f>
        <v/>
      </c>
    </row>
    <row r="486" ht="15" customHeight="1" s="131">
      <c r="A486" s="320" t="n"/>
      <c r="B486" s="323" t="n"/>
      <c r="C486" s="320" t="n"/>
      <c r="D486" s="320" t="n"/>
      <c r="E486" s="320" t="n"/>
      <c r="F486" s="320" t="n"/>
      <c r="G486" s="284">
        <f>IFERROR((D486-F486)/C486*100,"")</f>
        <v/>
      </c>
      <c r="H486" s="324" t="n"/>
      <c r="I486" s="320" t="n"/>
      <c r="J486" s="325">
        <f>IF(COUNTA(A486:F486)=0,"",IF(OR(C486&lt;0,D486&lt;0,E486&lt;0,F486&lt;0),"ERRO: valor negativo",IF(C486&lt;&gt;SUM(D486:F486),"ERRO: categorias diferem dos respondentes",IF(COUNTIFS($A$5:$A$1200,A486,$B$5:$B$1200,B486)&gt;1,"ERRO: período e curso duplicados","OK"))))</f>
        <v/>
      </c>
    </row>
    <row r="487" ht="15" customHeight="1" s="131">
      <c r="A487" s="320" t="n"/>
      <c r="B487" s="323" t="n"/>
      <c r="C487" s="320" t="n"/>
      <c r="D487" s="320" t="n"/>
      <c r="E487" s="320" t="n"/>
      <c r="F487" s="320" t="n"/>
      <c r="G487" s="284">
        <f>IFERROR((D487-F487)/C487*100,"")</f>
        <v/>
      </c>
      <c r="H487" s="324" t="n"/>
      <c r="I487" s="320" t="n"/>
      <c r="J487" s="325">
        <f>IF(COUNTA(A487:F487)=0,"",IF(OR(C487&lt;0,D487&lt;0,E487&lt;0,F487&lt;0),"ERRO: valor negativo",IF(C487&lt;&gt;SUM(D487:F487),"ERRO: categorias diferem dos respondentes",IF(COUNTIFS($A$5:$A$1200,A487,$B$5:$B$1200,B487)&gt;1,"ERRO: período e curso duplicados","OK"))))</f>
        <v/>
      </c>
    </row>
    <row r="488" ht="15" customHeight="1" s="131">
      <c r="A488" s="320" t="n"/>
      <c r="B488" s="323" t="n"/>
      <c r="C488" s="320" t="n"/>
      <c r="D488" s="320" t="n"/>
      <c r="E488" s="320" t="n"/>
      <c r="F488" s="320" t="n"/>
      <c r="G488" s="284">
        <f>IFERROR((D488-F488)/C488*100,"")</f>
        <v/>
      </c>
      <c r="H488" s="324" t="n"/>
      <c r="I488" s="320" t="n"/>
      <c r="J488" s="325">
        <f>IF(COUNTA(A488:F488)=0,"",IF(OR(C488&lt;0,D488&lt;0,E488&lt;0,F488&lt;0),"ERRO: valor negativo",IF(C488&lt;&gt;SUM(D488:F488),"ERRO: categorias diferem dos respondentes",IF(COUNTIFS($A$5:$A$1200,A488,$B$5:$B$1200,B488)&gt;1,"ERRO: período e curso duplicados","OK"))))</f>
        <v/>
      </c>
    </row>
    <row r="489" ht="15" customHeight="1" s="131">
      <c r="A489" s="320" t="n"/>
      <c r="B489" s="323" t="n"/>
      <c r="C489" s="320" t="n"/>
      <c r="D489" s="320" t="n"/>
      <c r="E489" s="320" t="n"/>
      <c r="F489" s="320" t="n"/>
      <c r="G489" s="284">
        <f>IFERROR((D489-F489)/C489*100,"")</f>
        <v/>
      </c>
      <c r="H489" s="324" t="n"/>
      <c r="I489" s="320" t="n"/>
      <c r="J489" s="325">
        <f>IF(COUNTA(A489:F489)=0,"",IF(OR(C489&lt;0,D489&lt;0,E489&lt;0,F489&lt;0),"ERRO: valor negativo",IF(C489&lt;&gt;SUM(D489:F489),"ERRO: categorias diferem dos respondentes",IF(COUNTIFS($A$5:$A$1200,A489,$B$5:$B$1200,B489)&gt;1,"ERRO: período e curso duplicados","OK"))))</f>
        <v/>
      </c>
    </row>
    <row r="490" ht="15" customHeight="1" s="131">
      <c r="A490" s="320" t="n"/>
      <c r="B490" s="323" t="n"/>
      <c r="C490" s="320" t="n"/>
      <c r="D490" s="320" t="n"/>
      <c r="E490" s="320" t="n"/>
      <c r="F490" s="320" t="n"/>
      <c r="G490" s="284">
        <f>IFERROR((D490-F490)/C490*100,"")</f>
        <v/>
      </c>
      <c r="H490" s="324" t="n"/>
      <c r="I490" s="320" t="n"/>
      <c r="J490" s="325">
        <f>IF(COUNTA(A490:F490)=0,"",IF(OR(C490&lt;0,D490&lt;0,E490&lt;0,F490&lt;0),"ERRO: valor negativo",IF(C490&lt;&gt;SUM(D490:F490),"ERRO: categorias diferem dos respondentes",IF(COUNTIFS($A$5:$A$1200,A490,$B$5:$B$1200,B490)&gt;1,"ERRO: período e curso duplicados","OK"))))</f>
        <v/>
      </c>
    </row>
    <row r="491" ht="15" customHeight="1" s="131">
      <c r="A491" s="320" t="n"/>
      <c r="B491" s="323" t="n"/>
      <c r="C491" s="320" t="n"/>
      <c r="D491" s="320" t="n"/>
      <c r="E491" s="320" t="n"/>
      <c r="F491" s="320" t="n"/>
      <c r="G491" s="284">
        <f>IFERROR((D491-F491)/C491*100,"")</f>
        <v/>
      </c>
      <c r="H491" s="324" t="n"/>
      <c r="I491" s="320" t="n"/>
      <c r="J491" s="325">
        <f>IF(COUNTA(A491:F491)=0,"",IF(OR(C491&lt;0,D491&lt;0,E491&lt;0,F491&lt;0),"ERRO: valor negativo",IF(C491&lt;&gt;SUM(D491:F491),"ERRO: categorias diferem dos respondentes",IF(COUNTIFS($A$5:$A$1200,A491,$B$5:$B$1200,B491)&gt;1,"ERRO: período e curso duplicados","OK"))))</f>
        <v/>
      </c>
    </row>
    <row r="492" ht="15" customHeight="1" s="131">
      <c r="A492" s="320" t="n"/>
      <c r="B492" s="323" t="n"/>
      <c r="C492" s="320" t="n"/>
      <c r="D492" s="320" t="n"/>
      <c r="E492" s="320" t="n"/>
      <c r="F492" s="320" t="n"/>
      <c r="G492" s="284">
        <f>IFERROR((D492-F492)/C492*100,"")</f>
        <v/>
      </c>
      <c r="H492" s="324" t="n"/>
      <c r="I492" s="320" t="n"/>
      <c r="J492" s="325">
        <f>IF(COUNTA(A492:F492)=0,"",IF(OR(C492&lt;0,D492&lt;0,E492&lt;0,F492&lt;0),"ERRO: valor negativo",IF(C492&lt;&gt;SUM(D492:F492),"ERRO: categorias diferem dos respondentes",IF(COUNTIFS($A$5:$A$1200,A492,$B$5:$B$1200,B492)&gt;1,"ERRO: período e curso duplicados","OK"))))</f>
        <v/>
      </c>
    </row>
    <row r="493" ht="15" customHeight="1" s="131">
      <c r="A493" s="320" t="n"/>
      <c r="B493" s="323" t="n"/>
      <c r="C493" s="320" t="n"/>
      <c r="D493" s="320" t="n"/>
      <c r="E493" s="320" t="n"/>
      <c r="F493" s="320" t="n"/>
      <c r="G493" s="284">
        <f>IFERROR((D493-F493)/C493*100,"")</f>
        <v/>
      </c>
      <c r="H493" s="324" t="n"/>
      <c r="I493" s="320" t="n"/>
      <c r="J493" s="325">
        <f>IF(COUNTA(A493:F493)=0,"",IF(OR(C493&lt;0,D493&lt;0,E493&lt;0,F493&lt;0),"ERRO: valor negativo",IF(C493&lt;&gt;SUM(D493:F493),"ERRO: categorias diferem dos respondentes",IF(COUNTIFS($A$5:$A$1200,A493,$B$5:$B$1200,B493)&gt;1,"ERRO: período e curso duplicados","OK"))))</f>
        <v/>
      </c>
    </row>
    <row r="494" ht="15" customHeight="1" s="131">
      <c r="A494" s="320" t="n"/>
      <c r="B494" s="323" t="n"/>
      <c r="C494" s="320" t="n"/>
      <c r="D494" s="320" t="n"/>
      <c r="E494" s="320" t="n"/>
      <c r="F494" s="320" t="n"/>
      <c r="G494" s="284">
        <f>IFERROR((D494-F494)/C494*100,"")</f>
        <v/>
      </c>
      <c r="H494" s="324" t="n"/>
      <c r="I494" s="320" t="n"/>
      <c r="J494" s="325">
        <f>IF(COUNTA(A494:F494)=0,"",IF(OR(C494&lt;0,D494&lt;0,E494&lt;0,F494&lt;0),"ERRO: valor negativo",IF(C494&lt;&gt;SUM(D494:F494),"ERRO: categorias diferem dos respondentes",IF(COUNTIFS($A$5:$A$1200,A494,$B$5:$B$1200,B494)&gt;1,"ERRO: período e curso duplicados","OK"))))</f>
        <v/>
      </c>
    </row>
    <row r="495" ht="15" customHeight="1" s="131">
      <c r="A495" s="320" t="n"/>
      <c r="B495" s="323" t="n"/>
      <c r="C495" s="320" t="n"/>
      <c r="D495" s="320" t="n"/>
      <c r="E495" s="320" t="n"/>
      <c r="F495" s="320" t="n"/>
      <c r="G495" s="284">
        <f>IFERROR((D495-F495)/C495*100,"")</f>
        <v/>
      </c>
      <c r="H495" s="324" t="n"/>
      <c r="I495" s="320" t="n"/>
      <c r="J495" s="325">
        <f>IF(COUNTA(A495:F495)=0,"",IF(OR(C495&lt;0,D495&lt;0,E495&lt;0,F495&lt;0),"ERRO: valor negativo",IF(C495&lt;&gt;SUM(D495:F495),"ERRO: categorias diferem dos respondentes",IF(COUNTIFS($A$5:$A$1200,A495,$B$5:$B$1200,B495)&gt;1,"ERRO: período e curso duplicados","OK"))))</f>
        <v/>
      </c>
    </row>
    <row r="496" ht="15" customHeight="1" s="131">
      <c r="A496" s="320" t="n"/>
      <c r="B496" s="323" t="n"/>
      <c r="C496" s="320" t="n"/>
      <c r="D496" s="320" t="n"/>
      <c r="E496" s="320" t="n"/>
      <c r="F496" s="320" t="n"/>
      <c r="G496" s="284">
        <f>IFERROR((D496-F496)/C496*100,"")</f>
        <v/>
      </c>
      <c r="H496" s="324" t="n"/>
      <c r="I496" s="320" t="n"/>
      <c r="J496" s="325">
        <f>IF(COUNTA(A496:F496)=0,"",IF(OR(C496&lt;0,D496&lt;0,E496&lt;0,F496&lt;0),"ERRO: valor negativo",IF(C496&lt;&gt;SUM(D496:F496),"ERRO: categorias diferem dos respondentes",IF(COUNTIFS($A$5:$A$1200,A496,$B$5:$B$1200,B496)&gt;1,"ERRO: período e curso duplicados","OK"))))</f>
        <v/>
      </c>
    </row>
    <row r="497" ht="15" customHeight="1" s="131">
      <c r="A497" s="320" t="n"/>
      <c r="B497" s="323" t="n"/>
      <c r="C497" s="320" t="n"/>
      <c r="D497" s="320" t="n"/>
      <c r="E497" s="320" t="n"/>
      <c r="F497" s="320" t="n"/>
      <c r="G497" s="284">
        <f>IFERROR((D497-F497)/C497*100,"")</f>
        <v/>
      </c>
      <c r="H497" s="324" t="n"/>
      <c r="I497" s="320" t="n"/>
      <c r="J497" s="325">
        <f>IF(COUNTA(A497:F497)=0,"",IF(OR(C497&lt;0,D497&lt;0,E497&lt;0,F497&lt;0),"ERRO: valor negativo",IF(C497&lt;&gt;SUM(D497:F497),"ERRO: categorias diferem dos respondentes",IF(COUNTIFS($A$5:$A$1200,A497,$B$5:$B$1200,B497)&gt;1,"ERRO: período e curso duplicados","OK"))))</f>
        <v/>
      </c>
    </row>
    <row r="498" ht="15" customHeight="1" s="131">
      <c r="A498" s="320" t="n"/>
      <c r="B498" s="323" t="n"/>
      <c r="C498" s="320" t="n"/>
      <c r="D498" s="320" t="n"/>
      <c r="E498" s="320" t="n"/>
      <c r="F498" s="320" t="n"/>
      <c r="G498" s="284">
        <f>IFERROR((D498-F498)/C498*100,"")</f>
        <v/>
      </c>
      <c r="H498" s="324" t="n"/>
      <c r="I498" s="320" t="n"/>
      <c r="J498" s="325">
        <f>IF(COUNTA(A498:F498)=0,"",IF(OR(C498&lt;0,D498&lt;0,E498&lt;0,F498&lt;0),"ERRO: valor negativo",IF(C498&lt;&gt;SUM(D498:F498),"ERRO: categorias diferem dos respondentes",IF(COUNTIFS($A$5:$A$1200,A498,$B$5:$B$1200,B498)&gt;1,"ERRO: período e curso duplicados","OK"))))</f>
        <v/>
      </c>
    </row>
    <row r="499" ht="15" customHeight="1" s="131">
      <c r="A499" s="320" t="n"/>
      <c r="B499" s="323" t="n"/>
      <c r="C499" s="320" t="n"/>
      <c r="D499" s="320" t="n"/>
      <c r="E499" s="320" t="n"/>
      <c r="F499" s="320" t="n"/>
      <c r="G499" s="284">
        <f>IFERROR((D499-F499)/C499*100,"")</f>
        <v/>
      </c>
      <c r="H499" s="324" t="n"/>
      <c r="I499" s="320" t="n"/>
      <c r="J499" s="325">
        <f>IF(COUNTA(A499:F499)=0,"",IF(OR(C499&lt;0,D499&lt;0,E499&lt;0,F499&lt;0),"ERRO: valor negativo",IF(C499&lt;&gt;SUM(D499:F499),"ERRO: categorias diferem dos respondentes",IF(COUNTIFS($A$5:$A$1200,A499,$B$5:$B$1200,B499)&gt;1,"ERRO: período e curso duplicados","OK"))))</f>
        <v/>
      </c>
    </row>
    <row r="500" ht="15" customHeight="1" s="131">
      <c r="A500" s="320" t="n"/>
      <c r="B500" s="323" t="n"/>
      <c r="C500" s="320" t="n"/>
      <c r="D500" s="320" t="n"/>
      <c r="E500" s="320" t="n"/>
      <c r="F500" s="320" t="n"/>
      <c r="G500" s="284">
        <f>IFERROR((D500-F500)/C500*100,"")</f>
        <v/>
      </c>
      <c r="H500" s="324" t="n"/>
      <c r="I500" s="320" t="n"/>
      <c r="J500" s="325">
        <f>IF(COUNTA(A500:F500)=0,"",IF(OR(C500&lt;0,D500&lt;0,E500&lt;0,F500&lt;0),"ERRO: valor negativo",IF(C500&lt;&gt;SUM(D500:F500),"ERRO: categorias diferem dos respondentes",IF(COUNTIFS($A$5:$A$1200,A500,$B$5:$B$1200,B500)&gt;1,"ERRO: período e curso duplicados","OK"))))</f>
        <v/>
      </c>
    </row>
    <row r="501" ht="15" customHeight="1" s="131">
      <c r="A501" s="320" t="n"/>
      <c r="B501" s="323" t="n"/>
      <c r="C501" s="320" t="n"/>
      <c r="D501" s="320" t="n"/>
      <c r="E501" s="320" t="n"/>
      <c r="F501" s="320" t="n"/>
      <c r="G501" s="284">
        <f>IFERROR((D501-F501)/C501*100,"")</f>
        <v/>
      </c>
      <c r="H501" s="324" t="n"/>
      <c r="I501" s="320" t="n"/>
      <c r="J501" s="325">
        <f>IF(COUNTA(A501:F501)=0,"",IF(OR(C501&lt;0,D501&lt;0,E501&lt;0,F501&lt;0),"ERRO: valor negativo",IF(C501&lt;&gt;SUM(D501:F501),"ERRO: categorias diferem dos respondentes",IF(COUNTIFS($A$5:$A$1200,A501,$B$5:$B$1200,B501)&gt;1,"ERRO: período e curso duplicados","OK"))))</f>
        <v/>
      </c>
    </row>
    <row r="502" ht="15" customHeight="1" s="131">
      <c r="A502" s="320" t="n"/>
      <c r="B502" s="323" t="n"/>
      <c r="C502" s="320" t="n"/>
      <c r="D502" s="320" t="n"/>
      <c r="E502" s="320" t="n"/>
      <c r="F502" s="320" t="n"/>
      <c r="G502" s="284">
        <f>IFERROR((D502-F502)/C502*100,"")</f>
        <v/>
      </c>
      <c r="H502" s="324" t="n"/>
      <c r="I502" s="320" t="n"/>
      <c r="J502" s="325">
        <f>IF(COUNTA(A502:F502)=0,"",IF(OR(C502&lt;0,D502&lt;0,E502&lt;0,F502&lt;0),"ERRO: valor negativo",IF(C502&lt;&gt;SUM(D502:F502),"ERRO: categorias diferem dos respondentes",IF(COUNTIFS($A$5:$A$1200,A502,$B$5:$B$1200,B502)&gt;1,"ERRO: período e curso duplicados","OK"))))</f>
        <v/>
      </c>
    </row>
    <row r="503" ht="15" customHeight="1" s="131">
      <c r="A503" s="320" t="n"/>
      <c r="B503" s="323" t="n"/>
      <c r="C503" s="320" t="n"/>
      <c r="D503" s="320" t="n"/>
      <c r="E503" s="320" t="n"/>
      <c r="F503" s="320" t="n"/>
      <c r="G503" s="284">
        <f>IFERROR((D503-F503)/C503*100,"")</f>
        <v/>
      </c>
      <c r="H503" s="324" t="n"/>
      <c r="I503" s="320" t="n"/>
      <c r="J503" s="325">
        <f>IF(COUNTA(A503:F503)=0,"",IF(OR(C503&lt;0,D503&lt;0,E503&lt;0,F503&lt;0),"ERRO: valor negativo",IF(C503&lt;&gt;SUM(D503:F503),"ERRO: categorias diferem dos respondentes",IF(COUNTIFS($A$5:$A$1200,A503,$B$5:$B$1200,B503)&gt;1,"ERRO: período e curso duplicados","OK"))))</f>
        <v/>
      </c>
    </row>
    <row r="504" ht="15" customHeight="1" s="131">
      <c r="A504" s="320" t="n"/>
      <c r="B504" s="323" t="n"/>
      <c r="C504" s="320" t="n"/>
      <c r="D504" s="320" t="n"/>
      <c r="E504" s="320" t="n"/>
      <c r="F504" s="320" t="n"/>
      <c r="G504" s="284">
        <f>IFERROR((D504-F504)/C504*100,"")</f>
        <v/>
      </c>
      <c r="H504" s="324" t="n"/>
      <c r="I504" s="320" t="n"/>
      <c r="J504" s="325">
        <f>IF(COUNTA(A504:F504)=0,"",IF(OR(C504&lt;0,D504&lt;0,E504&lt;0,F504&lt;0),"ERRO: valor negativo",IF(C504&lt;&gt;SUM(D504:F504),"ERRO: categorias diferem dos respondentes",IF(COUNTIFS($A$5:$A$1200,A504,$B$5:$B$1200,B504)&gt;1,"ERRO: período e curso duplicados","OK"))))</f>
        <v/>
      </c>
    </row>
    <row r="505" ht="15" customHeight="1" s="131">
      <c r="A505" s="320" t="n"/>
      <c r="B505" s="323" t="n"/>
      <c r="C505" s="320" t="n"/>
      <c r="D505" s="320" t="n"/>
      <c r="E505" s="320" t="n"/>
      <c r="F505" s="320" t="n"/>
      <c r="G505" s="284">
        <f>IFERROR((D505-F505)/C505*100,"")</f>
        <v/>
      </c>
      <c r="H505" s="324" t="n"/>
      <c r="I505" s="320" t="n"/>
      <c r="J505" s="325">
        <f>IF(COUNTA(A505:F505)=0,"",IF(OR(C505&lt;0,D505&lt;0,E505&lt;0,F505&lt;0),"ERRO: valor negativo",IF(C505&lt;&gt;SUM(D505:F505),"ERRO: categorias diferem dos respondentes",IF(COUNTIFS($A$5:$A$1200,A505,$B$5:$B$1200,B505)&gt;1,"ERRO: período e curso duplicados","OK"))))</f>
        <v/>
      </c>
    </row>
    <row r="506" ht="15" customHeight="1" s="131">
      <c r="A506" s="320" t="n"/>
      <c r="B506" s="323" t="n"/>
      <c r="C506" s="320" t="n"/>
      <c r="D506" s="320" t="n"/>
      <c r="E506" s="320" t="n"/>
      <c r="F506" s="320" t="n"/>
      <c r="G506" s="284">
        <f>IFERROR((D506-F506)/C506*100,"")</f>
        <v/>
      </c>
      <c r="H506" s="324" t="n"/>
      <c r="I506" s="320" t="n"/>
      <c r="J506" s="325">
        <f>IF(COUNTA(A506:F506)=0,"",IF(OR(C506&lt;0,D506&lt;0,E506&lt;0,F506&lt;0),"ERRO: valor negativo",IF(C506&lt;&gt;SUM(D506:F506),"ERRO: categorias diferem dos respondentes",IF(COUNTIFS($A$5:$A$1200,A506,$B$5:$B$1200,B506)&gt;1,"ERRO: período e curso duplicados","OK"))))</f>
        <v/>
      </c>
    </row>
    <row r="507" ht="15" customHeight="1" s="131">
      <c r="A507" s="320" t="n"/>
      <c r="B507" s="323" t="n"/>
      <c r="C507" s="320" t="n"/>
      <c r="D507" s="320" t="n"/>
      <c r="E507" s="320" t="n"/>
      <c r="F507" s="320" t="n"/>
      <c r="G507" s="284">
        <f>IFERROR((D507-F507)/C507*100,"")</f>
        <v/>
      </c>
      <c r="H507" s="324" t="n"/>
      <c r="I507" s="320" t="n"/>
      <c r="J507" s="325">
        <f>IF(COUNTA(A507:F507)=0,"",IF(OR(C507&lt;0,D507&lt;0,E507&lt;0,F507&lt;0),"ERRO: valor negativo",IF(C507&lt;&gt;SUM(D507:F507),"ERRO: categorias diferem dos respondentes",IF(COUNTIFS($A$5:$A$1200,A507,$B$5:$B$1200,B507)&gt;1,"ERRO: período e curso duplicados","OK"))))</f>
        <v/>
      </c>
    </row>
    <row r="508" ht="15" customHeight="1" s="131">
      <c r="A508" s="320" t="n"/>
      <c r="B508" s="323" t="n"/>
      <c r="C508" s="320" t="n"/>
      <c r="D508" s="320" t="n"/>
      <c r="E508" s="320" t="n"/>
      <c r="F508" s="320" t="n"/>
      <c r="G508" s="284">
        <f>IFERROR((D508-F508)/C508*100,"")</f>
        <v/>
      </c>
      <c r="H508" s="324" t="n"/>
      <c r="I508" s="320" t="n"/>
      <c r="J508" s="325">
        <f>IF(COUNTA(A508:F508)=0,"",IF(OR(C508&lt;0,D508&lt;0,E508&lt;0,F508&lt;0),"ERRO: valor negativo",IF(C508&lt;&gt;SUM(D508:F508),"ERRO: categorias diferem dos respondentes",IF(COUNTIFS($A$5:$A$1200,A508,$B$5:$B$1200,B508)&gt;1,"ERRO: período e curso duplicados","OK"))))</f>
        <v/>
      </c>
    </row>
    <row r="509" ht="15" customHeight="1" s="131">
      <c r="A509" s="320" t="n"/>
      <c r="B509" s="323" t="n"/>
      <c r="C509" s="320" t="n"/>
      <c r="D509" s="320" t="n"/>
      <c r="E509" s="320" t="n"/>
      <c r="F509" s="320" t="n"/>
      <c r="G509" s="284">
        <f>IFERROR((D509-F509)/C509*100,"")</f>
        <v/>
      </c>
      <c r="H509" s="324" t="n"/>
      <c r="I509" s="320" t="n"/>
      <c r="J509" s="325">
        <f>IF(COUNTA(A509:F509)=0,"",IF(OR(C509&lt;0,D509&lt;0,E509&lt;0,F509&lt;0),"ERRO: valor negativo",IF(C509&lt;&gt;SUM(D509:F509),"ERRO: categorias diferem dos respondentes",IF(COUNTIFS($A$5:$A$1200,A509,$B$5:$B$1200,B509)&gt;1,"ERRO: período e curso duplicados","OK"))))</f>
        <v/>
      </c>
    </row>
    <row r="510" ht="15" customHeight="1" s="131">
      <c r="A510" s="320" t="n"/>
      <c r="B510" s="323" t="n"/>
      <c r="C510" s="320" t="n"/>
      <c r="D510" s="320" t="n"/>
      <c r="E510" s="320" t="n"/>
      <c r="F510" s="320" t="n"/>
      <c r="G510" s="284">
        <f>IFERROR((D510-F510)/C510*100,"")</f>
        <v/>
      </c>
      <c r="H510" s="324" t="n"/>
      <c r="I510" s="320" t="n"/>
      <c r="J510" s="325">
        <f>IF(COUNTA(A510:F510)=0,"",IF(OR(C510&lt;0,D510&lt;0,E510&lt;0,F510&lt;0),"ERRO: valor negativo",IF(C510&lt;&gt;SUM(D510:F510),"ERRO: categorias diferem dos respondentes",IF(COUNTIFS($A$5:$A$1200,A510,$B$5:$B$1200,B510)&gt;1,"ERRO: período e curso duplicados","OK"))))</f>
        <v/>
      </c>
    </row>
    <row r="511" ht="15" customHeight="1" s="131">
      <c r="A511" s="320" t="n"/>
      <c r="B511" s="323" t="n"/>
      <c r="C511" s="320" t="n"/>
      <c r="D511" s="320" t="n"/>
      <c r="E511" s="320" t="n"/>
      <c r="F511" s="320" t="n"/>
      <c r="G511" s="284">
        <f>IFERROR((D511-F511)/C511*100,"")</f>
        <v/>
      </c>
      <c r="H511" s="324" t="n"/>
      <c r="I511" s="320" t="n"/>
      <c r="J511" s="325">
        <f>IF(COUNTA(A511:F511)=0,"",IF(OR(C511&lt;0,D511&lt;0,E511&lt;0,F511&lt;0),"ERRO: valor negativo",IF(C511&lt;&gt;SUM(D511:F511),"ERRO: categorias diferem dos respondentes",IF(COUNTIFS($A$5:$A$1200,A511,$B$5:$B$1200,B511)&gt;1,"ERRO: período e curso duplicados","OK"))))</f>
        <v/>
      </c>
    </row>
    <row r="512" ht="15" customHeight="1" s="131">
      <c r="A512" s="320" t="n"/>
      <c r="B512" s="323" t="n"/>
      <c r="C512" s="320" t="n"/>
      <c r="D512" s="320" t="n"/>
      <c r="E512" s="320" t="n"/>
      <c r="F512" s="320" t="n"/>
      <c r="G512" s="284">
        <f>IFERROR((D512-F512)/C512*100,"")</f>
        <v/>
      </c>
      <c r="H512" s="324" t="n"/>
      <c r="I512" s="320" t="n"/>
      <c r="J512" s="325">
        <f>IF(COUNTA(A512:F512)=0,"",IF(OR(C512&lt;0,D512&lt;0,E512&lt;0,F512&lt;0),"ERRO: valor negativo",IF(C512&lt;&gt;SUM(D512:F512),"ERRO: categorias diferem dos respondentes",IF(COUNTIFS($A$5:$A$1200,A512,$B$5:$B$1200,B512)&gt;1,"ERRO: período e curso duplicados","OK"))))</f>
        <v/>
      </c>
    </row>
    <row r="513" ht="15" customHeight="1" s="131">
      <c r="A513" s="320" t="n"/>
      <c r="B513" s="323" t="n"/>
      <c r="C513" s="320" t="n"/>
      <c r="D513" s="320" t="n"/>
      <c r="E513" s="320" t="n"/>
      <c r="F513" s="320" t="n"/>
      <c r="G513" s="284">
        <f>IFERROR((D513-F513)/C513*100,"")</f>
        <v/>
      </c>
      <c r="H513" s="324" t="n"/>
      <c r="I513" s="320" t="n"/>
      <c r="J513" s="325">
        <f>IF(COUNTA(A513:F513)=0,"",IF(OR(C513&lt;0,D513&lt;0,E513&lt;0,F513&lt;0),"ERRO: valor negativo",IF(C513&lt;&gt;SUM(D513:F513),"ERRO: categorias diferem dos respondentes",IF(COUNTIFS($A$5:$A$1200,A513,$B$5:$B$1200,B513)&gt;1,"ERRO: período e curso duplicados","OK"))))</f>
        <v/>
      </c>
    </row>
    <row r="514" ht="15" customHeight="1" s="131">
      <c r="A514" s="320" t="n"/>
      <c r="B514" s="323" t="n"/>
      <c r="C514" s="320" t="n"/>
      <c r="D514" s="320" t="n"/>
      <c r="E514" s="320" t="n"/>
      <c r="F514" s="320" t="n"/>
      <c r="G514" s="284">
        <f>IFERROR((D514-F514)/C514*100,"")</f>
        <v/>
      </c>
      <c r="H514" s="324" t="n"/>
      <c r="I514" s="320" t="n"/>
      <c r="J514" s="325">
        <f>IF(COUNTA(A514:F514)=0,"",IF(OR(C514&lt;0,D514&lt;0,E514&lt;0,F514&lt;0),"ERRO: valor negativo",IF(C514&lt;&gt;SUM(D514:F514),"ERRO: categorias diferem dos respondentes",IF(COUNTIFS($A$5:$A$1200,A514,$B$5:$B$1200,B514)&gt;1,"ERRO: período e curso duplicados","OK"))))</f>
        <v/>
      </c>
    </row>
    <row r="515" ht="15" customHeight="1" s="131">
      <c r="A515" s="320" t="n"/>
      <c r="B515" s="323" t="n"/>
      <c r="C515" s="320" t="n"/>
      <c r="D515" s="320" t="n"/>
      <c r="E515" s="320" t="n"/>
      <c r="F515" s="320" t="n"/>
      <c r="G515" s="284">
        <f>IFERROR((D515-F515)/C515*100,"")</f>
        <v/>
      </c>
      <c r="H515" s="324" t="n"/>
      <c r="I515" s="320" t="n"/>
      <c r="J515" s="325">
        <f>IF(COUNTA(A515:F515)=0,"",IF(OR(C515&lt;0,D515&lt;0,E515&lt;0,F515&lt;0),"ERRO: valor negativo",IF(C515&lt;&gt;SUM(D515:F515),"ERRO: categorias diferem dos respondentes",IF(COUNTIFS($A$5:$A$1200,A515,$B$5:$B$1200,B515)&gt;1,"ERRO: período e curso duplicados","OK"))))</f>
        <v/>
      </c>
    </row>
    <row r="516" ht="15" customHeight="1" s="131">
      <c r="A516" s="320" t="n"/>
      <c r="B516" s="323" t="n"/>
      <c r="C516" s="320" t="n"/>
      <c r="D516" s="320" t="n"/>
      <c r="E516" s="320" t="n"/>
      <c r="F516" s="320" t="n"/>
      <c r="G516" s="284">
        <f>IFERROR((D516-F516)/C516*100,"")</f>
        <v/>
      </c>
      <c r="H516" s="324" t="n"/>
      <c r="I516" s="320" t="n"/>
      <c r="J516" s="325">
        <f>IF(COUNTA(A516:F516)=0,"",IF(OR(C516&lt;0,D516&lt;0,E516&lt;0,F516&lt;0),"ERRO: valor negativo",IF(C516&lt;&gt;SUM(D516:F516),"ERRO: categorias diferem dos respondentes",IF(COUNTIFS($A$5:$A$1200,A516,$B$5:$B$1200,B516)&gt;1,"ERRO: período e curso duplicados","OK"))))</f>
        <v/>
      </c>
    </row>
    <row r="517" ht="15" customHeight="1" s="131">
      <c r="A517" s="320" t="n"/>
      <c r="B517" s="323" t="n"/>
      <c r="C517" s="320" t="n"/>
      <c r="D517" s="320" t="n"/>
      <c r="E517" s="320" t="n"/>
      <c r="F517" s="320" t="n"/>
      <c r="G517" s="284">
        <f>IFERROR((D517-F517)/C517*100,"")</f>
        <v/>
      </c>
      <c r="H517" s="324" t="n"/>
      <c r="I517" s="320" t="n"/>
      <c r="J517" s="325">
        <f>IF(COUNTA(A517:F517)=0,"",IF(OR(C517&lt;0,D517&lt;0,E517&lt;0,F517&lt;0),"ERRO: valor negativo",IF(C517&lt;&gt;SUM(D517:F517),"ERRO: categorias diferem dos respondentes",IF(COUNTIFS($A$5:$A$1200,A517,$B$5:$B$1200,B517)&gt;1,"ERRO: período e curso duplicados","OK"))))</f>
        <v/>
      </c>
    </row>
    <row r="518" ht="15" customHeight="1" s="131">
      <c r="A518" s="320" t="n"/>
      <c r="B518" s="323" t="n"/>
      <c r="C518" s="320" t="n"/>
      <c r="D518" s="320" t="n"/>
      <c r="E518" s="320" t="n"/>
      <c r="F518" s="320" t="n"/>
      <c r="G518" s="284">
        <f>IFERROR((D518-F518)/C518*100,"")</f>
        <v/>
      </c>
      <c r="H518" s="324" t="n"/>
      <c r="I518" s="320" t="n"/>
      <c r="J518" s="325">
        <f>IF(COUNTA(A518:F518)=0,"",IF(OR(C518&lt;0,D518&lt;0,E518&lt;0,F518&lt;0),"ERRO: valor negativo",IF(C518&lt;&gt;SUM(D518:F518),"ERRO: categorias diferem dos respondentes",IF(COUNTIFS($A$5:$A$1200,A518,$B$5:$B$1200,B518)&gt;1,"ERRO: período e curso duplicados","OK"))))</f>
        <v/>
      </c>
    </row>
    <row r="519" ht="15" customHeight="1" s="131">
      <c r="A519" s="320" t="n"/>
      <c r="B519" s="323" t="n"/>
      <c r="C519" s="320" t="n"/>
      <c r="D519" s="320" t="n"/>
      <c r="E519" s="320" t="n"/>
      <c r="F519" s="320" t="n"/>
      <c r="G519" s="284">
        <f>IFERROR((D519-F519)/C519*100,"")</f>
        <v/>
      </c>
      <c r="H519" s="324" t="n"/>
      <c r="I519" s="320" t="n"/>
      <c r="J519" s="325">
        <f>IF(COUNTA(A519:F519)=0,"",IF(OR(C519&lt;0,D519&lt;0,E519&lt;0,F519&lt;0),"ERRO: valor negativo",IF(C519&lt;&gt;SUM(D519:F519),"ERRO: categorias diferem dos respondentes",IF(COUNTIFS($A$5:$A$1200,A519,$B$5:$B$1200,B519)&gt;1,"ERRO: período e curso duplicados","OK"))))</f>
        <v/>
      </c>
    </row>
    <row r="520" ht="15" customHeight="1" s="131">
      <c r="A520" s="320" t="n"/>
      <c r="B520" s="323" t="n"/>
      <c r="C520" s="320" t="n"/>
      <c r="D520" s="320" t="n"/>
      <c r="E520" s="320" t="n"/>
      <c r="F520" s="320" t="n"/>
      <c r="G520" s="284">
        <f>IFERROR((D520-F520)/C520*100,"")</f>
        <v/>
      </c>
      <c r="H520" s="324" t="n"/>
      <c r="I520" s="320" t="n"/>
      <c r="J520" s="325">
        <f>IF(COUNTA(A520:F520)=0,"",IF(OR(C520&lt;0,D520&lt;0,E520&lt;0,F520&lt;0),"ERRO: valor negativo",IF(C520&lt;&gt;SUM(D520:F520),"ERRO: categorias diferem dos respondentes",IF(COUNTIFS($A$5:$A$1200,A520,$B$5:$B$1200,B520)&gt;1,"ERRO: período e curso duplicados","OK"))))</f>
        <v/>
      </c>
    </row>
    <row r="521" ht="15" customHeight="1" s="131">
      <c r="A521" s="320" t="n"/>
      <c r="B521" s="323" t="n"/>
      <c r="C521" s="320" t="n"/>
      <c r="D521" s="320" t="n"/>
      <c r="E521" s="320" t="n"/>
      <c r="F521" s="320" t="n"/>
      <c r="G521" s="284">
        <f>IFERROR((D521-F521)/C521*100,"")</f>
        <v/>
      </c>
      <c r="H521" s="324" t="n"/>
      <c r="I521" s="320" t="n"/>
      <c r="J521" s="325">
        <f>IF(COUNTA(A521:F521)=0,"",IF(OR(C521&lt;0,D521&lt;0,E521&lt;0,F521&lt;0),"ERRO: valor negativo",IF(C521&lt;&gt;SUM(D521:F521),"ERRO: categorias diferem dos respondentes",IF(COUNTIFS($A$5:$A$1200,A521,$B$5:$B$1200,B521)&gt;1,"ERRO: período e curso duplicados","OK"))))</f>
        <v/>
      </c>
    </row>
    <row r="522" ht="15" customHeight="1" s="131">
      <c r="A522" s="320" t="n"/>
      <c r="B522" s="323" t="n"/>
      <c r="C522" s="320" t="n"/>
      <c r="D522" s="320" t="n"/>
      <c r="E522" s="320" t="n"/>
      <c r="F522" s="320" t="n"/>
      <c r="G522" s="284">
        <f>IFERROR((D522-F522)/C522*100,"")</f>
        <v/>
      </c>
      <c r="H522" s="324" t="n"/>
      <c r="I522" s="320" t="n"/>
      <c r="J522" s="325">
        <f>IF(COUNTA(A522:F522)=0,"",IF(OR(C522&lt;0,D522&lt;0,E522&lt;0,F522&lt;0),"ERRO: valor negativo",IF(C522&lt;&gt;SUM(D522:F522),"ERRO: categorias diferem dos respondentes",IF(COUNTIFS($A$5:$A$1200,A522,$B$5:$B$1200,B522)&gt;1,"ERRO: período e curso duplicados","OK"))))</f>
        <v/>
      </c>
    </row>
    <row r="523" ht="15" customHeight="1" s="131">
      <c r="A523" s="320" t="n"/>
      <c r="B523" s="323" t="n"/>
      <c r="C523" s="320" t="n"/>
      <c r="D523" s="320" t="n"/>
      <c r="E523" s="320" t="n"/>
      <c r="F523" s="320" t="n"/>
      <c r="G523" s="284">
        <f>IFERROR((D523-F523)/C523*100,"")</f>
        <v/>
      </c>
      <c r="H523" s="324" t="n"/>
      <c r="I523" s="320" t="n"/>
      <c r="J523" s="325">
        <f>IF(COUNTA(A523:F523)=0,"",IF(OR(C523&lt;0,D523&lt;0,E523&lt;0,F523&lt;0),"ERRO: valor negativo",IF(C523&lt;&gt;SUM(D523:F523),"ERRO: categorias diferem dos respondentes",IF(COUNTIFS($A$5:$A$1200,A523,$B$5:$B$1200,B523)&gt;1,"ERRO: período e curso duplicados","OK"))))</f>
        <v/>
      </c>
    </row>
    <row r="524" ht="15" customHeight="1" s="131">
      <c r="A524" s="320" t="n"/>
      <c r="B524" s="323" t="n"/>
      <c r="C524" s="320" t="n"/>
      <c r="D524" s="320" t="n"/>
      <c r="E524" s="320" t="n"/>
      <c r="F524" s="320" t="n"/>
      <c r="G524" s="284">
        <f>IFERROR((D524-F524)/C524*100,"")</f>
        <v/>
      </c>
      <c r="H524" s="324" t="n"/>
      <c r="I524" s="320" t="n"/>
      <c r="J524" s="325">
        <f>IF(COUNTA(A524:F524)=0,"",IF(OR(C524&lt;0,D524&lt;0,E524&lt;0,F524&lt;0),"ERRO: valor negativo",IF(C524&lt;&gt;SUM(D524:F524),"ERRO: categorias diferem dos respondentes",IF(COUNTIFS($A$5:$A$1200,A524,$B$5:$B$1200,B524)&gt;1,"ERRO: período e curso duplicados","OK"))))</f>
        <v/>
      </c>
    </row>
    <row r="525" ht="15" customHeight="1" s="131">
      <c r="A525" s="320" t="n"/>
      <c r="B525" s="323" t="n"/>
      <c r="C525" s="320" t="n"/>
      <c r="D525" s="320" t="n"/>
      <c r="E525" s="320" t="n"/>
      <c r="F525" s="320" t="n"/>
      <c r="G525" s="284">
        <f>IFERROR((D525-F525)/C525*100,"")</f>
        <v/>
      </c>
      <c r="H525" s="324" t="n"/>
      <c r="I525" s="320" t="n"/>
      <c r="J525" s="325">
        <f>IF(COUNTA(A525:F525)=0,"",IF(OR(C525&lt;0,D525&lt;0,E525&lt;0,F525&lt;0),"ERRO: valor negativo",IF(C525&lt;&gt;SUM(D525:F525),"ERRO: categorias diferem dos respondentes",IF(COUNTIFS($A$5:$A$1200,A525,$B$5:$B$1200,B525)&gt;1,"ERRO: período e curso duplicados","OK"))))</f>
        <v/>
      </c>
    </row>
    <row r="526" ht="15" customHeight="1" s="131">
      <c r="A526" s="320" t="n"/>
      <c r="B526" s="323" t="n"/>
      <c r="C526" s="320" t="n"/>
      <c r="D526" s="320" t="n"/>
      <c r="E526" s="320" t="n"/>
      <c r="F526" s="320" t="n"/>
      <c r="G526" s="284">
        <f>IFERROR((D526-F526)/C526*100,"")</f>
        <v/>
      </c>
      <c r="H526" s="324" t="n"/>
      <c r="I526" s="320" t="n"/>
      <c r="J526" s="325">
        <f>IF(COUNTA(A526:F526)=0,"",IF(OR(C526&lt;0,D526&lt;0,E526&lt;0,F526&lt;0),"ERRO: valor negativo",IF(C526&lt;&gt;SUM(D526:F526),"ERRO: categorias diferem dos respondentes",IF(COUNTIFS($A$5:$A$1200,A526,$B$5:$B$1200,B526)&gt;1,"ERRO: período e curso duplicados","OK"))))</f>
        <v/>
      </c>
    </row>
    <row r="527" ht="15" customHeight="1" s="131">
      <c r="A527" s="320" t="n"/>
      <c r="B527" s="323" t="n"/>
      <c r="C527" s="320" t="n"/>
      <c r="D527" s="320" t="n"/>
      <c r="E527" s="320" t="n"/>
      <c r="F527" s="320" t="n"/>
      <c r="G527" s="284">
        <f>IFERROR((D527-F527)/C527*100,"")</f>
        <v/>
      </c>
      <c r="H527" s="324" t="n"/>
      <c r="I527" s="320" t="n"/>
      <c r="J527" s="325">
        <f>IF(COUNTA(A527:F527)=0,"",IF(OR(C527&lt;0,D527&lt;0,E527&lt;0,F527&lt;0),"ERRO: valor negativo",IF(C527&lt;&gt;SUM(D527:F527),"ERRO: categorias diferem dos respondentes",IF(COUNTIFS($A$5:$A$1200,A527,$B$5:$B$1200,B527)&gt;1,"ERRO: período e curso duplicados","OK"))))</f>
        <v/>
      </c>
    </row>
    <row r="528" ht="15" customHeight="1" s="131">
      <c r="A528" s="320" t="n"/>
      <c r="B528" s="323" t="n"/>
      <c r="C528" s="320" t="n"/>
      <c r="D528" s="320" t="n"/>
      <c r="E528" s="320" t="n"/>
      <c r="F528" s="320" t="n"/>
      <c r="G528" s="284">
        <f>IFERROR((D528-F528)/C528*100,"")</f>
        <v/>
      </c>
      <c r="H528" s="324" t="n"/>
      <c r="I528" s="320" t="n"/>
      <c r="J528" s="325">
        <f>IF(COUNTA(A528:F528)=0,"",IF(OR(C528&lt;0,D528&lt;0,E528&lt;0,F528&lt;0),"ERRO: valor negativo",IF(C528&lt;&gt;SUM(D528:F528),"ERRO: categorias diferem dos respondentes",IF(COUNTIFS($A$5:$A$1200,A528,$B$5:$B$1200,B528)&gt;1,"ERRO: período e curso duplicados","OK"))))</f>
        <v/>
      </c>
    </row>
    <row r="529" ht="15" customHeight="1" s="131">
      <c r="A529" s="320" t="n"/>
      <c r="B529" s="323" t="n"/>
      <c r="C529" s="320" t="n"/>
      <c r="D529" s="320" t="n"/>
      <c r="E529" s="320" t="n"/>
      <c r="F529" s="320" t="n"/>
      <c r="G529" s="284">
        <f>IFERROR((D529-F529)/C529*100,"")</f>
        <v/>
      </c>
      <c r="H529" s="324" t="n"/>
      <c r="I529" s="320" t="n"/>
      <c r="J529" s="325">
        <f>IF(COUNTA(A529:F529)=0,"",IF(OR(C529&lt;0,D529&lt;0,E529&lt;0,F529&lt;0),"ERRO: valor negativo",IF(C529&lt;&gt;SUM(D529:F529),"ERRO: categorias diferem dos respondentes",IF(COUNTIFS($A$5:$A$1200,A529,$B$5:$B$1200,B529)&gt;1,"ERRO: período e curso duplicados","OK"))))</f>
        <v/>
      </c>
    </row>
    <row r="530" ht="15" customHeight="1" s="131">
      <c r="A530" s="320" t="n"/>
      <c r="B530" s="323" t="n"/>
      <c r="C530" s="320" t="n"/>
      <c r="D530" s="320" t="n"/>
      <c r="E530" s="320" t="n"/>
      <c r="F530" s="320" t="n"/>
      <c r="G530" s="284">
        <f>IFERROR((D530-F530)/C530*100,"")</f>
        <v/>
      </c>
      <c r="H530" s="324" t="n"/>
      <c r="I530" s="320" t="n"/>
      <c r="J530" s="325">
        <f>IF(COUNTA(A530:F530)=0,"",IF(OR(C530&lt;0,D530&lt;0,E530&lt;0,F530&lt;0),"ERRO: valor negativo",IF(C530&lt;&gt;SUM(D530:F530),"ERRO: categorias diferem dos respondentes",IF(COUNTIFS($A$5:$A$1200,A530,$B$5:$B$1200,B530)&gt;1,"ERRO: período e curso duplicados","OK"))))</f>
        <v/>
      </c>
    </row>
    <row r="531" ht="15" customHeight="1" s="131">
      <c r="A531" s="320" t="n"/>
      <c r="B531" s="323" t="n"/>
      <c r="C531" s="320" t="n"/>
      <c r="D531" s="320" t="n"/>
      <c r="E531" s="320" t="n"/>
      <c r="F531" s="320" t="n"/>
      <c r="G531" s="284">
        <f>IFERROR((D531-F531)/C531*100,"")</f>
        <v/>
      </c>
      <c r="H531" s="324" t="n"/>
      <c r="I531" s="320" t="n"/>
      <c r="J531" s="325">
        <f>IF(COUNTA(A531:F531)=0,"",IF(OR(C531&lt;0,D531&lt;0,E531&lt;0,F531&lt;0),"ERRO: valor negativo",IF(C531&lt;&gt;SUM(D531:F531),"ERRO: categorias diferem dos respondentes",IF(COUNTIFS($A$5:$A$1200,A531,$B$5:$B$1200,B531)&gt;1,"ERRO: período e curso duplicados","OK"))))</f>
        <v/>
      </c>
    </row>
    <row r="532" ht="15" customHeight="1" s="131">
      <c r="A532" s="320" t="n"/>
      <c r="B532" s="323" t="n"/>
      <c r="C532" s="320" t="n"/>
      <c r="D532" s="320" t="n"/>
      <c r="E532" s="320" t="n"/>
      <c r="F532" s="320" t="n"/>
      <c r="G532" s="284">
        <f>IFERROR((D532-F532)/C532*100,"")</f>
        <v/>
      </c>
      <c r="H532" s="324" t="n"/>
      <c r="I532" s="320" t="n"/>
      <c r="J532" s="325">
        <f>IF(COUNTA(A532:F532)=0,"",IF(OR(C532&lt;0,D532&lt;0,E532&lt;0,F532&lt;0),"ERRO: valor negativo",IF(C532&lt;&gt;SUM(D532:F532),"ERRO: categorias diferem dos respondentes",IF(COUNTIFS($A$5:$A$1200,A532,$B$5:$B$1200,B532)&gt;1,"ERRO: período e curso duplicados","OK"))))</f>
        <v/>
      </c>
    </row>
    <row r="533" ht="15" customHeight="1" s="131">
      <c r="A533" s="320" t="n"/>
      <c r="B533" s="323" t="n"/>
      <c r="C533" s="320" t="n"/>
      <c r="D533" s="320" t="n"/>
      <c r="E533" s="320" t="n"/>
      <c r="F533" s="320" t="n"/>
      <c r="G533" s="284">
        <f>IFERROR((D533-F533)/C533*100,"")</f>
        <v/>
      </c>
      <c r="H533" s="324" t="n"/>
      <c r="I533" s="320" t="n"/>
      <c r="J533" s="325">
        <f>IF(COUNTA(A533:F533)=0,"",IF(OR(C533&lt;0,D533&lt;0,E533&lt;0,F533&lt;0),"ERRO: valor negativo",IF(C533&lt;&gt;SUM(D533:F533),"ERRO: categorias diferem dos respondentes",IF(COUNTIFS($A$5:$A$1200,A533,$B$5:$B$1200,B533)&gt;1,"ERRO: período e curso duplicados","OK"))))</f>
        <v/>
      </c>
    </row>
    <row r="534" ht="15" customHeight="1" s="131">
      <c r="A534" s="320" t="n"/>
      <c r="B534" s="323" t="n"/>
      <c r="C534" s="320" t="n"/>
      <c r="D534" s="320" t="n"/>
      <c r="E534" s="320" t="n"/>
      <c r="F534" s="320" t="n"/>
      <c r="G534" s="284">
        <f>IFERROR((D534-F534)/C534*100,"")</f>
        <v/>
      </c>
      <c r="H534" s="324" t="n"/>
      <c r="I534" s="320" t="n"/>
      <c r="J534" s="325">
        <f>IF(COUNTA(A534:F534)=0,"",IF(OR(C534&lt;0,D534&lt;0,E534&lt;0,F534&lt;0),"ERRO: valor negativo",IF(C534&lt;&gt;SUM(D534:F534),"ERRO: categorias diferem dos respondentes",IF(COUNTIFS($A$5:$A$1200,A534,$B$5:$B$1200,B534)&gt;1,"ERRO: período e curso duplicados","OK"))))</f>
        <v/>
      </c>
    </row>
    <row r="535" ht="15" customHeight="1" s="131">
      <c r="A535" s="320" t="n"/>
      <c r="B535" s="323" t="n"/>
      <c r="C535" s="320" t="n"/>
      <c r="D535" s="320" t="n"/>
      <c r="E535" s="320" t="n"/>
      <c r="F535" s="320" t="n"/>
      <c r="G535" s="284">
        <f>IFERROR((D535-F535)/C535*100,"")</f>
        <v/>
      </c>
      <c r="H535" s="324" t="n"/>
      <c r="I535" s="320" t="n"/>
      <c r="J535" s="325">
        <f>IF(COUNTA(A535:F535)=0,"",IF(OR(C535&lt;0,D535&lt;0,E535&lt;0,F535&lt;0),"ERRO: valor negativo",IF(C535&lt;&gt;SUM(D535:F535),"ERRO: categorias diferem dos respondentes",IF(COUNTIFS($A$5:$A$1200,A535,$B$5:$B$1200,B535)&gt;1,"ERRO: período e curso duplicados","OK"))))</f>
        <v/>
      </c>
    </row>
    <row r="536" ht="15" customHeight="1" s="131">
      <c r="A536" s="320" t="n"/>
      <c r="B536" s="323" t="n"/>
      <c r="C536" s="320" t="n"/>
      <c r="D536" s="320" t="n"/>
      <c r="E536" s="320" t="n"/>
      <c r="F536" s="320" t="n"/>
      <c r="G536" s="284">
        <f>IFERROR((D536-F536)/C536*100,"")</f>
        <v/>
      </c>
      <c r="H536" s="324" t="n"/>
      <c r="I536" s="320" t="n"/>
      <c r="J536" s="325">
        <f>IF(COUNTA(A536:F536)=0,"",IF(OR(C536&lt;0,D536&lt;0,E536&lt;0,F536&lt;0),"ERRO: valor negativo",IF(C536&lt;&gt;SUM(D536:F536),"ERRO: categorias diferem dos respondentes",IF(COUNTIFS($A$5:$A$1200,A536,$B$5:$B$1200,B536)&gt;1,"ERRO: período e curso duplicados","OK"))))</f>
        <v/>
      </c>
    </row>
    <row r="537" ht="15" customHeight="1" s="131">
      <c r="A537" s="320" t="n"/>
      <c r="B537" s="323" t="n"/>
      <c r="C537" s="320" t="n"/>
      <c r="D537" s="320" t="n"/>
      <c r="E537" s="320" t="n"/>
      <c r="F537" s="320" t="n"/>
      <c r="G537" s="284">
        <f>IFERROR((D537-F537)/C537*100,"")</f>
        <v/>
      </c>
      <c r="H537" s="324" t="n"/>
      <c r="I537" s="320" t="n"/>
      <c r="J537" s="325">
        <f>IF(COUNTA(A537:F537)=0,"",IF(OR(C537&lt;0,D537&lt;0,E537&lt;0,F537&lt;0),"ERRO: valor negativo",IF(C537&lt;&gt;SUM(D537:F537),"ERRO: categorias diferem dos respondentes",IF(COUNTIFS($A$5:$A$1200,A537,$B$5:$B$1200,B537)&gt;1,"ERRO: período e curso duplicados","OK"))))</f>
        <v/>
      </c>
    </row>
    <row r="538" ht="15" customHeight="1" s="131">
      <c r="A538" s="320" t="n"/>
      <c r="B538" s="323" t="n"/>
      <c r="C538" s="320" t="n"/>
      <c r="D538" s="320" t="n"/>
      <c r="E538" s="320" t="n"/>
      <c r="F538" s="320" t="n"/>
      <c r="G538" s="284">
        <f>IFERROR((D538-F538)/C538*100,"")</f>
        <v/>
      </c>
      <c r="H538" s="324" t="n"/>
      <c r="I538" s="320" t="n"/>
      <c r="J538" s="325">
        <f>IF(COUNTA(A538:F538)=0,"",IF(OR(C538&lt;0,D538&lt;0,E538&lt;0,F538&lt;0),"ERRO: valor negativo",IF(C538&lt;&gt;SUM(D538:F538),"ERRO: categorias diferem dos respondentes",IF(COUNTIFS($A$5:$A$1200,A538,$B$5:$B$1200,B538)&gt;1,"ERRO: período e curso duplicados","OK"))))</f>
        <v/>
      </c>
    </row>
    <row r="539" ht="15" customHeight="1" s="131">
      <c r="A539" s="320" t="n"/>
      <c r="B539" s="323" t="n"/>
      <c r="C539" s="320" t="n"/>
      <c r="D539" s="320" t="n"/>
      <c r="E539" s="320" t="n"/>
      <c r="F539" s="320" t="n"/>
      <c r="G539" s="284">
        <f>IFERROR((D539-F539)/C539*100,"")</f>
        <v/>
      </c>
      <c r="H539" s="324" t="n"/>
      <c r="I539" s="320" t="n"/>
      <c r="J539" s="325">
        <f>IF(COUNTA(A539:F539)=0,"",IF(OR(C539&lt;0,D539&lt;0,E539&lt;0,F539&lt;0),"ERRO: valor negativo",IF(C539&lt;&gt;SUM(D539:F539),"ERRO: categorias diferem dos respondentes",IF(COUNTIFS($A$5:$A$1200,A539,$B$5:$B$1200,B539)&gt;1,"ERRO: período e curso duplicados","OK"))))</f>
        <v/>
      </c>
    </row>
    <row r="540" ht="15" customHeight="1" s="131">
      <c r="A540" s="320" t="n"/>
      <c r="B540" s="323" t="n"/>
      <c r="C540" s="320" t="n"/>
      <c r="D540" s="320" t="n"/>
      <c r="E540" s="320" t="n"/>
      <c r="F540" s="320" t="n"/>
      <c r="G540" s="284">
        <f>IFERROR((D540-F540)/C540*100,"")</f>
        <v/>
      </c>
      <c r="H540" s="324" t="n"/>
      <c r="I540" s="320" t="n"/>
      <c r="J540" s="325">
        <f>IF(COUNTA(A540:F540)=0,"",IF(OR(C540&lt;0,D540&lt;0,E540&lt;0,F540&lt;0),"ERRO: valor negativo",IF(C540&lt;&gt;SUM(D540:F540),"ERRO: categorias diferem dos respondentes",IF(COUNTIFS($A$5:$A$1200,A540,$B$5:$B$1200,B540)&gt;1,"ERRO: período e curso duplicados","OK"))))</f>
        <v/>
      </c>
    </row>
    <row r="541" ht="15" customHeight="1" s="131">
      <c r="A541" s="320" t="n"/>
      <c r="B541" s="323" t="n"/>
      <c r="C541" s="320" t="n"/>
      <c r="D541" s="320" t="n"/>
      <c r="E541" s="320" t="n"/>
      <c r="F541" s="320" t="n"/>
      <c r="G541" s="284">
        <f>IFERROR((D541-F541)/C541*100,"")</f>
        <v/>
      </c>
      <c r="H541" s="324" t="n"/>
      <c r="I541" s="320" t="n"/>
      <c r="J541" s="325">
        <f>IF(COUNTA(A541:F541)=0,"",IF(OR(C541&lt;0,D541&lt;0,E541&lt;0,F541&lt;0),"ERRO: valor negativo",IF(C541&lt;&gt;SUM(D541:F541),"ERRO: categorias diferem dos respondentes",IF(COUNTIFS($A$5:$A$1200,A541,$B$5:$B$1200,B541)&gt;1,"ERRO: período e curso duplicados","OK"))))</f>
        <v/>
      </c>
    </row>
    <row r="542" ht="15" customHeight="1" s="131">
      <c r="A542" s="320" t="n"/>
      <c r="B542" s="323" t="n"/>
      <c r="C542" s="320" t="n"/>
      <c r="D542" s="320" t="n"/>
      <c r="E542" s="320" t="n"/>
      <c r="F542" s="320" t="n"/>
      <c r="G542" s="284">
        <f>IFERROR((D542-F542)/C542*100,"")</f>
        <v/>
      </c>
      <c r="H542" s="324" t="n"/>
      <c r="I542" s="320" t="n"/>
      <c r="J542" s="325">
        <f>IF(COUNTA(A542:F542)=0,"",IF(OR(C542&lt;0,D542&lt;0,E542&lt;0,F542&lt;0),"ERRO: valor negativo",IF(C542&lt;&gt;SUM(D542:F542),"ERRO: categorias diferem dos respondentes",IF(COUNTIFS($A$5:$A$1200,A542,$B$5:$B$1200,B542)&gt;1,"ERRO: período e curso duplicados","OK"))))</f>
        <v/>
      </c>
    </row>
    <row r="543" ht="15" customHeight="1" s="131">
      <c r="A543" s="320" t="n"/>
      <c r="B543" s="323" t="n"/>
      <c r="C543" s="320" t="n"/>
      <c r="D543" s="320" t="n"/>
      <c r="E543" s="320" t="n"/>
      <c r="F543" s="320" t="n"/>
      <c r="G543" s="284">
        <f>IFERROR((D543-F543)/C543*100,"")</f>
        <v/>
      </c>
      <c r="H543" s="324" t="n"/>
      <c r="I543" s="320" t="n"/>
      <c r="J543" s="325">
        <f>IF(COUNTA(A543:F543)=0,"",IF(OR(C543&lt;0,D543&lt;0,E543&lt;0,F543&lt;0),"ERRO: valor negativo",IF(C543&lt;&gt;SUM(D543:F543),"ERRO: categorias diferem dos respondentes",IF(COUNTIFS($A$5:$A$1200,A543,$B$5:$B$1200,B543)&gt;1,"ERRO: período e curso duplicados","OK"))))</f>
        <v/>
      </c>
    </row>
    <row r="544" ht="15" customHeight="1" s="131">
      <c r="A544" s="320" t="n"/>
      <c r="B544" s="323" t="n"/>
      <c r="C544" s="320" t="n"/>
      <c r="D544" s="320" t="n"/>
      <c r="E544" s="320" t="n"/>
      <c r="F544" s="320" t="n"/>
      <c r="G544" s="284">
        <f>IFERROR((D544-F544)/C544*100,"")</f>
        <v/>
      </c>
      <c r="H544" s="324" t="n"/>
      <c r="I544" s="320" t="n"/>
      <c r="J544" s="325">
        <f>IF(COUNTA(A544:F544)=0,"",IF(OR(C544&lt;0,D544&lt;0,E544&lt;0,F544&lt;0),"ERRO: valor negativo",IF(C544&lt;&gt;SUM(D544:F544),"ERRO: categorias diferem dos respondentes",IF(COUNTIFS($A$5:$A$1200,A544,$B$5:$B$1200,B544)&gt;1,"ERRO: período e curso duplicados","OK"))))</f>
        <v/>
      </c>
    </row>
    <row r="545" ht="15" customHeight="1" s="131">
      <c r="A545" s="320" t="n"/>
      <c r="B545" s="323" t="n"/>
      <c r="C545" s="320" t="n"/>
      <c r="D545" s="320" t="n"/>
      <c r="E545" s="320" t="n"/>
      <c r="F545" s="320" t="n"/>
      <c r="G545" s="284">
        <f>IFERROR((D545-F545)/C545*100,"")</f>
        <v/>
      </c>
      <c r="H545" s="324" t="n"/>
      <c r="I545" s="320" t="n"/>
      <c r="J545" s="325">
        <f>IF(COUNTA(A545:F545)=0,"",IF(OR(C545&lt;0,D545&lt;0,E545&lt;0,F545&lt;0),"ERRO: valor negativo",IF(C545&lt;&gt;SUM(D545:F545),"ERRO: categorias diferem dos respondentes",IF(COUNTIFS($A$5:$A$1200,A545,$B$5:$B$1200,B545)&gt;1,"ERRO: período e curso duplicados","OK"))))</f>
        <v/>
      </c>
    </row>
    <row r="546" ht="15" customHeight="1" s="131">
      <c r="A546" s="320" t="n"/>
      <c r="B546" s="323" t="n"/>
      <c r="C546" s="320" t="n"/>
      <c r="D546" s="320" t="n"/>
      <c r="E546" s="320" t="n"/>
      <c r="F546" s="320" t="n"/>
      <c r="G546" s="284">
        <f>IFERROR((D546-F546)/C546*100,"")</f>
        <v/>
      </c>
      <c r="H546" s="324" t="n"/>
      <c r="I546" s="320" t="n"/>
      <c r="J546" s="325">
        <f>IF(COUNTA(A546:F546)=0,"",IF(OR(C546&lt;0,D546&lt;0,E546&lt;0,F546&lt;0),"ERRO: valor negativo",IF(C546&lt;&gt;SUM(D546:F546),"ERRO: categorias diferem dos respondentes",IF(COUNTIFS($A$5:$A$1200,A546,$B$5:$B$1200,B546)&gt;1,"ERRO: período e curso duplicados","OK"))))</f>
        <v/>
      </c>
    </row>
    <row r="547" ht="15" customHeight="1" s="131">
      <c r="A547" s="320" t="n"/>
      <c r="B547" s="323" t="n"/>
      <c r="C547" s="320" t="n"/>
      <c r="D547" s="320" t="n"/>
      <c r="E547" s="320" t="n"/>
      <c r="F547" s="320" t="n"/>
      <c r="G547" s="284">
        <f>IFERROR((D547-F547)/C547*100,"")</f>
        <v/>
      </c>
      <c r="H547" s="324" t="n"/>
      <c r="I547" s="320" t="n"/>
      <c r="J547" s="325">
        <f>IF(COUNTA(A547:F547)=0,"",IF(OR(C547&lt;0,D547&lt;0,E547&lt;0,F547&lt;0),"ERRO: valor negativo",IF(C547&lt;&gt;SUM(D547:F547),"ERRO: categorias diferem dos respondentes",IF(COUNTIFS($A$5:$A$1200,A547,$B$5:$B$1200,B547)&gt;1,"ERRO: período e curso duplicados","OK"))))</f>
        <v/>
      </c>
    </row>
    <row r="548" ht="15" customHeight="1" s="131">
      <c r="A548" s="320" t="n"/>
      <c r="B548" s="323" t="n"/>
      <c r="C548" s="320" t="n"/>
      <c r="D548" s="320" t="n"/>
      <c r="E548" s="320" t="n"/>
      <c r="F548" s="320" t="n"/>
      <c r="G548" s="284">
        <f>IFERROR((D548-F548)/C548*100,"")</f>
        <v/>
      </c>
      <c r="H548" s="324" t="n"/>
      <c r="I548" s="320" t="n"/>
      <c r="J548" s="325">
        <f>IF(COUNTA(A548:F548)=0,"",IF(OR(C548&lt;0,D548&lt;0,E548&lt;0,F548&lt;0),"ERRO: valor negativo",IF(C548&lt;&gt;SUM(D548:F548),"ERRO: categorias diferem dos respondentes",IF(COUNTIFS($A$5:$A$1200,A548,$B$5:$B$1200,B548)&gt;1,"ERRO: período e curso duplicados","OK"))))</f>
        <v/>
      </c>
    </row>
    <row r="549" ht="15" customHeight="1" s="131">
      <c r="A549" s="320" t="n"/>
      <c r="B549" s="323" t="n"/>
      <c r="C549" s="320" t="n"/>
      <c r="D549" s="320" t="n"/>
      <c r="E549" s="320" t="n"/>
      <c r="F549" s="320" t="n"/>
      <c r="G549" s="284">
        <f>IFERROR((D549-F549)/C549*100,"")</f>
        <v/>
      </c>
      <c r="H549" s="324" t="n"/>
      <c r="I549" s="320" t="n"/>
      <c r="J549" s="325">
        <f>IF(COUNTA(A549:F549)=0,"",IF(OR(C549&lt;0,D549&lt;0,E549&lt;0,F549&lt;0),"ERRO: valor negativo",IF(C549&lt;&gt;SUM(D549:F549),"ERRO: categorias diferem dos respondentes",IF(COUNTIFS($A$5:$A$1200,A549,$B$5:$B$1200,B549)&gt;1,"ERRO: período e curso duplicados","OK"))))</f>
        <v/>
      </c>
    </row>
    <row r="550" ht="15" customHeight="1" s="131">
      <c r="A550" s="320" t="n"/>
      <c r="B550" s="323" t="n"/>
      <c r="C550" s="320" t="n"/>
      <c r="D550" s="320" t="n"/>
      <c r="E550" s="320" t="n"/>
      <c r="F550" s="320" t="n"/>
      <c r="G550" s="284">
        <f>IFERROR((D550-F550)/C550*100,"")</f>
        <v/>
      </c>
      <c r="H550" s="324" t="n"/>
      <c r="I550" s="320" t="n"/>
      <c r="J550" s="325">
        <f>IF(COUNTA(A550:F550)=0,"",IF(OR(C550&lt;0,D550&lt;0,E550&lt;0,F550&lt;0),"ERRO: valor negativo",IF(C550&lt;&gt;SUM(D550:F550),"ERRO: categorias diferem dos respondentes",IF(COUNTIFS($A$5:$A$1200,A550,$B$5:$B$1200,B550)&gt;1,"ERRO: período e curso duplicados","OK"))))</f>
        <v/>
      </c>
    </row>
    <row r="551" ht="15" customHeight="1" s="131">
      <c r="A551" s="320" t="n"/>
      <c r="B551" s="323" t="n"/>
      <c r="C551" s="320" t="n"/>
      <c r="D551" s="320" t="n"/>
      <c r="E551" s="320" t="n"/>
      <c r="F551" s="320" t="n"/>
      <c r="G551" s="284">
        <f>IFERROR((D551-F551)/C551*100,"")</f>
        <v/>
      </c>
      <c r="H551" s="324" t="n"/>
      <c r="I551" s="320" t="n"/>
      <c r="J551" s="325">
        <f>IF(COUNTA(A551:F551)=0,"",IF(OR(C551&lt;0,D551&lt;0,E551&lt;0,F551&lt;0),"ERRO: valor negativo",IF(C551&lt;&gt;SUM(D551:F551),"ERRO: categorias diferem dos respondentes",IF(COUNTIFS($A$5:$A$1200,A551,$B$5:$B$1200,B551)&gt;1,"ERRO: período e curso duplicados","OK"))))</f>
        <v/>
      </c>
    </row>
    <row r="552" ht="15" customHeight="1" s="131">
      <c r="A552" s="320" t="n"/>
      <c r="B552" s="323" t="n"/>
      <c r="C552" s="320" t="n"/>
      <c r="D552" s="320" t="n"/>
      <c r="E552" s="320" t="n"/>
      <c r="F552" s="320" t="n"/>
      <c r="G552" s="284">
        <f>IFERROR((D552-F552)/C552*100,"")</f>
        <v/>
      </c>
      <c r="H552" s="324" t="n"/>
      <c r="I552" s="320" t="n"/>
      <c r="J552" s="325">
        <f>IF(COUNTA(A552:F552)=0,"",IF(OR(C552&lt;0,D552&lt;0,E552&lt;0,F552&lt;0),"ERRO: valor negativo",IF(C552&lt;&gt;SUM(D552:F552),"ERRO: categorias diferem dos respondentes",IF(COUNTIFS($A$5:$A$1200,A552,$B$5:$B$1200,B552)&gt;1,"ERRO: período e curso duplicados","OK"))))</f>
        <v/>
      </c>
    </row>
    <row r="553" ht="15" customHeight="1" s="131">
      <c r="A553" s="320" t="n"/>
      <c r="B553" s="323" t="n"/>
      <c r="C553" s="320" t="n"/>
      <c r="D553" s="320" t="n"/>
      <c r="E553" s="320" t="n"/>
      <c r="F553" s="320" t="n"/>
      <c r="G553" s="284">
        <f>IFERROR((D553-F553)/C553*100,"")</f>
        <v/>
      </c>
      <c r="H553" s="324" t="n"/>
      <c r="I553" s="320" t="n"/>
      <c r="J553" s="325">
        <f>IF(COUNTA(A553:F553)=0,"",IF(OR(C553&lt;0,D553&lt;0,E553&lt;0,F553&lt;0),"ERRO: valor negativo",IF(C553&lt;&gt;SUM(D553:F553),"ERRO: categorias diferem dos respondentes",IF(COUNTIFS($A$5:$A$1200,A553,$B$5:$B$1200,B553)&gt;1,"ERRO: período e curso duplicados","OK"))))</f>
        <v/>
      </c>
    </row>
    <row r="554" ht="15" customHeight="1" s="131">
      <c r="A554" s="320" t="n"/>
      <c r="B554" s="323" t="n"/>
      <c r="C554" s="320" t="n"/>
      <c r="D554" s="320" t="n"/>
      <c r="E554" s="320" t="n"/>
      <c r="F554" s="320" t="n"/>
      <c r="G554" s="284">
        <f>IFERROR((D554-F554)/C554*100,"")</f>
        <v/>
      </c>
      <c r="H554" s="324" t="n"/>
      <c r="I554" s="320" t="n"/>
      <c r="J554" s="325">
        <f>IF(COUNTA(A554:F554)=0,"",IF(OR(C554&lt;0,D554&lt;0,E554&lt;0,F554&lt;0),"ERRO: valor negativo",IF(C554&lt;&gt;SUM(D554:F554),"ERRO: categorias diferem dos respondentes",IF(COUNTIFS($A$5:$A$1200,A554,$B$5:$B$1200,B554)&gt;1,"ERRO: período e curso duplicados","OK"))))</f>
        <v/>
      </c>
    </row>
    <row r="555" ht="15" customHeight="1" s="131">
      <c r="A555" s="320" t="n"/>
      <c r="B555" s="323" t="n"/>
      <c r="C555" s="320" t="n"/>
      <c r="D555" s="320" t="n"/>
      <c r="E555" s="320" t="n"/>
      <c r="F555" s="320" t="n"/>
      <c r="G555" s="284">
        <f>IFERROR((D555-F555)/C555*100,"")</f>
        <v/>
      </c>
      <c r="H555" s="324" t="n"/>
      <c r="I555" s="320" t="n"/>
      <c r="J555" s="325">
        <f>IF(COUNTA(A555:F555)=0,"",IF(OR(C555&lt;0,D555&lt;0,E555&lt;0,F555&lt;0),"ERRO: valor negativo",IF(C555&lt;&gt;SUM(D555:F555),"ERRO: categorias diferem dos respondentes",IF(COUNTIFS($A$5:$A$1200,A555,$B$5:$B$1200,B555)&gt;1,"ERRO: período e curso duplicados","OK"))))</f>
        <v/>
      </c>
    </row>
    <row r="556" ht="15" customHeight="1" s="131">
      <c r="A556" s="320" t="n"/>
      <c r="B556" s="323" t="n"/>
      <c r="C556" s="320" t="n"/>
      <c r="D556" s="320" t="n"/>
      <c r="E556" s="320" t="n"/>
      <c r="F556" s="320" t="n"/>
      <c r="G556" s="284">
        <f>IFERROR((D556-F556)/C556*100,"")</f>
        <v/>
      </c>
      <c r="H556" s="324" t="n"/>
      <c r="I556" s="320" t="n"/>
      <c r="J556" s="325">
        <f>IF(COUNTA(A556:F556)=0,"",IF(OR(C556&lt;0,D556&lt;0,E556&lt;0,F556&lt;0),"ERRO: valor negativo",IF(C556&lt;&gt;SUM(D556:F556),"ERRO: categorias diferem dos respondentes",IF(COUNTIFS($A$5:$A$1200,A556,$B$5:$B$1200,B556)&gt;1,"ERRO: período e curso duplicados","OK"))))</f>
        <v/>
      </c>
    </row>
    <row r="557" ht="15" customHeight="1" s="131">
      <c r="A557" s="320" t="n"/>
      <c r="B557" s="323" t="n"/>
      <c r="C557" s="320" t="n"/>
      <c r="D557" s="320" t="n"/>
      <c r="E557" s="320" t="n"/>
      <c r="F557" s="320" t="n"/>
      <c r="G557" s="284">
        <f>IFERROR((D557-F557)/C557*100,"")</f>
        <v/>
      </c>
      <c r="H557" s="324" t="n"/>
      <c r="I557" s="320" t="n"/>
      <c r="J557" s="325">
        <f>IF(COUNTA(A557:F557)=0,"",IF(OR(C557&lt;0,D557&lt;0,E557&lt;0,F557&lt;0),"ERRO: valor negativo",IF(C557&lt;&gt;SUM(D557:F557),"ERRO: categorias diferem dos respondentes",IF(COUNTIFS($A$5:$A$1200,A557,$B$5:$B$1200,B557)&gt;1,"ERRO: período e curso duplicados","OK"))))</f>
        <v/>
      </c>
    </row>
    <row r="558" ht="15" customHeight="1" s="131">
      <c r="A558" s="320" t="n"/>
      <c r="B558" s="323" t="n"/>
      <c r="C558" s="320" t="n"/>
      <c r="D558" s="320" t="n"/>
      <c r="E558" s="320" t="n"/>
      <c r="F558" s="320" t="n"/>
      <c r="G558" s="284">
        <f>IFERROR((D558-F558)/C558*100,"")</f>
        <v/>
      </c>
      <c r="H558" s="324" t="n"/>
      <c r="I558" s="320" t="n"/>
      <c r="J558" s="325">
        <f>IF(COUNTA(A558:F558)=0,"",IF(OR(C558&lt;0,D558&lt;0,E558&lt;0,F558&lt;0),"ERRO: valor negativo",IF(C558&lt;&gt;SUM(D558:F558),"ERRO: categorias diferem dos respondentes",IF(COUNTIFS($A$5:$A$1200,A558,$B$5:$B$1200,B558)&gt;1,"ERRO: período e curso duplicados","OK"))))</f>
        <v/>
      </c>
    </row>
    <row r="559" ht="15" customHeight="1" s="131">
      <c r="A559" s="320" t="n"/>
      <c r="B559" s="323" t="n"/>
      <c r="C559" s="320" t="n"/>
      <c r="D559" s="320" t="n"/>
      <c r="E559" s="320" t="n"/>
      <c r="F559" s="320" t="n"/>
      <c r="G559" s="284">
        <f>IFERROR((D559-F559)/C559*100,"")</f>
        <v/>
      </c>
      <c r="H559" s="324" t="n"/>
      <c r="I559" s="320" t="n"/>
      <c r="J559" s="325">
        <f>IF(COUNTA(A559:F559)=0,"",IF(OR(C559&lt;0,D559&lt;0,E559&lt;0,F559&lt;0),"ERRO: valor negativo",IF(C559&lt;&gt;SUM(D559:F559),"ERRO: categorias diferem dos respondentes",IF(COUNTIFS($A$5:$A$1200,A559,$B$5:$B$1200,B559)&gt;1,"ERRO: período e curso duplicados","OK"))))</f>
        <v/>
      </c>
    </row>
    <row r="560" ht="15" customHeight="1" s="131">
      <c r="A560" s="320" t="n"/>
      <c r="B560" s="323" t="n"/>
      <c r="C560" s="320" t="n"/>
      <c r="D560" s="320" t="n"/>
      <c r="E560" s="320" t="n"/>
      <c r="F560" s="320" t="n"/>
      <c r="G560" s="284">
        <f>IFERROR((D560-F560)/C560*100,"")</f>
        <v/>
      </c>
      <c r="H560" s="324" t="n"/>
      <c r="I560" s="320" t="n"/>
      <c r="J560" s="325">
        <f>IF(COUNTA(A560:F560)=0,"",IF(OR(C560&lt;0,D560&lt;0,E560&lt;0,F560&lt;0),"ERRO: valor negativo",IF(C560&lt;&gt;SUM(D560:F560),"ERRO: categorias diferem dos respondentes",IF(COUNTIFS($A$5:$A$1200,A560,$B$5:$B$1200,B560)&gt;1,"ERRO: período e curso duplicados","OK"))))</f>
        <v/>
      </c>
    </row>
    <row r="561" ht="15" customHeight="1" s="131">
      <c r="A561" s="320" t="n"/>
      <c r="B561" s="323" t="n"/>
      <c r="C561" s="320" t="n"/>
      <c r="D561" s="320" t="n"/>
      <c r="E561" s="320" t="n"/>
      <c r="F561" s="320" t="n"/>
      <c r="G561" s="284">
        <f>IFERROR((D561-F561)/C561*100,"")</f>
        <v/>
      </c>
      <c r="H561" s="324" t="n"/>
      <c r="I561" s="320" t="n"/>
      <c r="J561" s="325">
        <f>IF(COUNTA(A561:F561)=0,"",IF(OR(C561&lt;0,D561&lt;0,E561&lt;0,F561&lt;0),"ERRO: valor negativo",IF(C561&lt;&gt;SUM(D561:F561),"ERRO: categorias diferem dos respondentes",IF(COUNTIFS($A$5:$A$1200,A561,$B$5:$B$1200,B561)&gt;1,"ERRO: período e curso duplicados","OK"))))</f>
        <v/>
      </c>
    </row>
    <row r="562" ht="15" customHeight="1" s="131">
      <c r="A562" s="320" t="n"/>
      <c r="B562" s="323" t="n"/>
      <c r="C562" s="320" t="n"/>
      <c r="D562" s="320" t="n"/>
      <c r="E562" s="320" t="n"/>
      <c r="F562" s="320" t="n"/>
      <c r="G562" s="284">
        <f>IFERROR((D562-F562)/C562*100,"")</f>
        <v/>
      </c>
      <c r="H562" s="324" t="n"/>
      <c r="I562" s="320" t="n"/>
      <c r="J562" s="325">
        <f>IF(COUNTA(A562:F562)=0,"",IF(OR(C562&lt;0,D562&lt;0,E562&lt;0,F562&lt;0),"ERRO: valor negativo",IF(C562&lt;&gt;SUM(D562:F562),"ERRO: categorias diferem dos respondentes",IF(COUNTIFS($A$5:$A$1200,A562,$B$5:$B$1200,B562)&gt;1,"ERRO: período e curso duplicados","OK"))))</f>
        <v/>
      </c>
    </row>
    <row r="563" ht="15" customHeight="1" s="131">
      <c r="A563" s="320" t="n"/>
      <c r="B563" s="323" t="n"/>
      <c r="C563" s="320" t="n"/>
      <c r="D563" s="320" t="n"/>
      <c r="E563" s="320" t="n"/>
      <c r="F563" s="320" t="n"/>
      <c r="G563" s="284">
        <f>IFERROR((D563-F563)/C563*100,"")</f>
        <v/>
      </c>
      <c r="H563" s="324" t="n"/>
      <c r="I563" s="320" t="n"/>
      <c r="J563" s="325">
        <f>IF(COUNTA(A563:F563)=0,"",IF(OR(C563&lt;0,D563&lt;0,E563&lt;0,F563&lt;0),"ERRO: valor negativo",IF(C563&lt;&gt;SUM(D563:F563),"ERRO: categorias diferem dos respondentes",IF(COUNTIFS($A$5:$A$1200,A563,$B$5:$B$1200,B563)&gt;1,"ERRO: período e curso duplicados","OK"))))</f>
        <v/>
      </c>
    </row>
    <row r="564" ht="15" customHeight="1" s="131">
      <c r="A564" s="320" t="n"/>
      <c r="B564" s="323" t="n"/>
      <c r="C564" s="320" t="n"/>
      <c r="D564" s="320" t="n"/>
      <c r="E564" s="320" t="n"/>
      <c r="F564" s="320" t="n"/>
      <c r="G564" s="284">
        <f>IFERROR((D564-F564)/C564*100,"")</f>
        <v/>
      </c>
      <c r="H564" s="324" t="n"/>
      <c r="I564" s="320" t="n"/>
      <c r="J564" s="325">
        <f>IF(COUNTA(A564:F564)=0,"",IF(OR(C564&lt;0,D564&lt;0,E564&lt;0,F564&lt;0),"ERRO: valor negativo",IF(C564&lt;&gt;SUM(D564:F564),"ERRO: categorias diferem dos respondentes",IF(COUNTIFS($A$5:$A$1200,A564,$B$5:$B$1200,B564)&gt;1,"ERRO: período e curso duplicados","OK"))))</f>
        <v/>
      </c>
    </row>
    <row r="565" ht="15" customHeight="1" s="131">
      <c r="A565" s="320" t="n"/>
      <c r="B565" s="323" t="n"/>
      <c r="C565" s="320" t="n"/>
      <c r="D565" s="320" t="n"/>
      <c r="E565" s="320" t="n"/>
      <c r="F565" s="320" t="n"/>
      <c r="G565" s="284">
        <f>IFERROR((D565-F565)/C565*100,"")</f>
        <v/>
      </c>
      <c r="H565" s="324" t="n"/>
      <c r="I565" s="320" t="n"/>
      <c r="J565" s="325">
        <f>IF(COUNTA(A565:F565)=0,"",IF(OR(C565&lt;0,D565&lt;0,E565&lt;0,F565&lt;0),"ERRO: valor negativo",IF(C565&lt;&gt;SUM(D565:F565),"ERRO: categorias diferem dos respondentes",IF(COUNTIFS($A$5:$A$1200,A565,$B$5:$B$1200,B565)&gt;1,"ERRO: período e curso duplicados","OK"))))</f>
        <v/>
      </c>
    </row>
    <row r="566" ht="15" customHeight="1" s="131">
      <c r="A566" s="320" t="n"/>
      <c r="B566" s="323" t="n"/>
      <c r="C566" s="320" t="n"/>
      <c r="D566" s="320" t="n"/>
      <c r="E566" s="320" t="n"/>
      <c r="F566" s="320" t="n"/>
      <c r="G566" s="284">
        <f>IFERROR((D566-F566)/C566*100,"")</f>
        <v/>
      </c>
      <c r="H566" s="324" t="n"/>
      <c r="I566" s="320" t="n"/>
      <c r="J566" s="325">
        <f>IF(COUNTA(A566:F566)=0,"",IF(OR(C566&lt;0,D566&lt;0,E566&lt;0,F566&lt;0),"ERRO: valor negativo",IF(C566&lt;&gt;SUM(D566:F566),"ERRO: categorias diferem dos respondentes",IF(COUNTIFS($A$5:$A$1200,A566,$B$5:$B$1200,B566)&gt;1,"ERRO: período e curso duplicados","OK"))))</f>
        <v/>
      </c>
    </row>
    <row r="567" ht="15" customHeight="1" s="131">
      <c r="A567" s="320" t="n"/>
      <c r="B567" s="323" t="n"/>
      <c r="C567" s="320" t="n"/>
      <c r="D567" s="320" t="n"/>
      <c r="E567" s="320" t="n"/>
      <c r="F567" s="320" t="n"/>
      <c r="G567" s="284">
        <f>IFERROR((D567-F567)/C567*100,"")</f>
        <v/>
      </c>
      <c r="H567" s="324" t="n"/>
      <c r="I567" s="320" t="n"/>
      <c r="J567" s="325">
        <f>IF(COUNTA(A567:F567)=0,"",IF(OR(C567&lt;0,D567&lt;0,E567&lt;0,F567&lt;0),"ERRO: valor negativo",IF(C567&lt;&gt;SUM(D567:F567),"ERRO: categorias diferem dos respondentes",IF(COUNTIFS($A$5:$A$1200,A567,$B$5:$B$1200,B567)&gt;1,"ERRO: período e curso duplicados","OK"))))</f>
        <v/>
      </c>
    </row>
    <row r="568" ht="15" customHeight="1" s="131">
      <c r="A568" s="320" t="n"/>
      <c r="B568" s="323" t="n"/>
      <c r="C568" s="320" t="n"/>
      <c r="D568" s="320" t="n"/>
      <c r="E568" s="320" t="n"/>
      <c r="F568" s="320" t="n"/>
      <c r="G568" s="284">
        <f>IFERROR((D568-F568)/C568*100,"")</f>
        <v/>
      </c>
      <c r="H568" s="324" t="n"/>
      <c r="I568" s="320" t="n"/>
      <c r="J568" s="325">
        <f>IF(COUNTA(A568:F568)=0,"",IF(OR(C568&lt;0,D568&lt;0,E568&lt;0,F568&lt;0),"ERRO: valor negativo",IF(C568&lt;&gt;SUM(D568:F568),"ERRO: categorias diferem dos respondentes",IF(COUNTIFS($A$5:$A$1200,A568,$B$5:$B$1200,B568)&gt;1,"ERRO: período e curso duplicados","OK"))))</f>
        <v/>
      </c>
    </row>
    <row r="569" ht="15" customHeight="1" s="131">
      <c r="A569" s="320" t="n"/>
      <c r="B569" s="323" t="n"/>
      <c r="C569" s="320" t="n"/>
      <c r="D569" s="320" t="n"/>
      <c r="E569" s="320" t="n"/>
      <c r="F569" s="320" t="n"/>
      <c r="G569" s="284">
        <f>IFERROR((D569-F569)/C569*100,"")</f>
        <v/>
      </c>
      <c r="H569" s="324" t="n"/>
      <c r="I569" s="320" t="n"/>
      <c r="J569" s="325">
        <f>IF(COUNTA(A569:F569)=0,"",IF(OR(C569&lt;0,D569&lt;0,E569&lt;0,F569&lt;0),"ERRO: valor negativo",IF(C569&lt;&gt;SUM(D569:F569),"ERRO: categorias diferem dos respondentes",IF(COUNTIFS($A$5:$A$1200,A569,$B$5:$B$1200,B569)&gt;1,"ERRO: período e curso duplicados","OK"))))</f>
        <v/>
      </c>
    </row>
    <row r="570" ht="15" customHeight="1" s="131">
      <c r="A570" s="320" t="n"/>
      <c r="B570" s="323" t="n"/>
      <c r="C570" s="320" t="n"/>
      <c r="D570" s="320" t="n"/>
      <c r="E570" s="320" t="n"/>
      <c r="F570" s="320" t="n"/>
      <c r="G570" s="284">
        <f>IFERROR((D570-F570)/C570*100,"")</f>
        <v/>
      </c>
      <c r="H570" s="324" t="n"/>
      <c r="I570" s="320" t="n"/>
      <c r="J570" s="325">
        <f>IF(COUNTA(A570:F570)=0,"",IF(OR(C570&lt;0,D570&lt;0,E570&lt;0,F570&lt;0),"ERRO: valor negativo",IF(C570&lt;&gt;SUM(D570:F570),"ERRO: categorias diferem dos respondentes",IF(COUNTIFS($A$5:$A$1200,A570,$B$5:$B$1200,B570)&gt;1,"ERRO: período e curso duplicados","OK"))))</f>
        <v/>
      </c>
    </row>
    <row r="571" ht="15" customHeight="1" s="131">
      <c r="A571" s="320" t="n"/>
      <c r="B571" s="323" t="n"/>
      <c r="C571" s="320" t="n"/>
      <c r="D571" s="320" t="n"/>
      <c r="E571" s="320" t="n"/>
      <c r="F571" s="320" t="n"/>
      <c r="G571" s="284">
        <f>IFERROR((D571-F571)/C571*100,"")</f>
        <v/>
      </c>
      <c r="H571" s="324" t="n"/>
      <c r="I571" s="320" t="n"/>
      <c r="J571" s="325">
        <f>IF(COUNTA(A571:F571)=0,"",IF(OR(C571&lt;0,D571&lt;0,E571&lt;0,F571&lt;0),"ERRO: valor negativo",IF(C571&lt;&gt;SUM(D571:F571),"ERRO: categorias diferem dos respondentes",IF(COUNTIFS($A$5:$A$1200,A571,$B$5:$B$1200,B571)&gt;1,"ERRO: período e curso duplicados","OK"))))</f>
        <v/>
      </c>
    </row>
    <row r="572" ht="15" customHeight="1" s="131">
      <c r="A572" s="320" t="n"/>
      <c r="B572" s="323" t="n"/>
      <c r="C572" s="320" t="n"/>
      <c r="D572" s="320" t="n"/>
      <c r="E572" s="320" t="n"/>
      <c r="F572" s="320" t="n"/>
      <c r="G572" s="284">
        <f>IFERROR((D572-F572)/C572*100,"")</f>
        <v/>
      </c>
      <c r="H572" s="324" t="n"/>
      <c r="I572" s="320" t="n"/>
      <c r="J572" s="325">
        <f>IF(COUNTA(A572:F572)=0,"",IF(OR(C572&lt;0,D572&lt;0,E572&lt;0,F572&lt;0),"ERRO: valor negativo",IF(C572&lt;&gt;SUM(D572:F572),"ERRO: categorias diferem dos respondentes",IF(COUNTIFS($A$5:$A$1200,A572,$B$5:$B$1200,B572)&gt;1,"ERRO: período e curso duplicados","OK"))))</f>
        <v/>
      </c>
    </row>
    <row r="573" ht="15" customHeight="1" s="131">
      <c r="A573" s="320" t="n"/>
      <c r="B573" s="323" t="n"/>
      <c r="C573" s="320" t="n"/>
      <c r="D573" s="320" t="n"/>
      <c r="E573" s="320" t="n"/>
      <c r="F573" s="320" t="n"/>
      <c r="G573" s="284">
        <f>IFERROR((D573-F573)/C573*100,"")</f>
        <v/>
      </c>
      <c r="H573" s="324" t="n"/>
      <c r="I573" s="320" t="n"/>
      <c r="J573" s="325">
        <f>IF(COUNTA(A573:F573)=0,"",IF(OR(C573&lt;0,D573&lt;0,E573&lt;0,F573&lt;0),"ERRO: valor negativo",IF(C573&lt;&gt;SUM(D573:F573),"ERRO: categorias diferem dos respondentes",IF(COUNTIFS($A$5:$A$1200,A573,$B$5:$B$1200,B573)&gt;1,"ERRO: período e curso duplicados","OK"))))</f>
        <v/>
      </c>
    </row>
    <row r="574" ht="15" customHeight="1" s="131">
      <c r="A574" s="320" t="n"/>
      <c r="B574" s="323" t="n"/>
      <c r="C574" s="320" t="n"/>
      <c r="D574" s="320" t="n"/>
      <c r="E574" s="320" t="n"/>
      <c r="F574" s="320" t="n"/>
      <c r="G574" s="284">
        <f>IFERROR((D574-F574)/C574*100,"")</f>
        <v/>
      </c>
      <c r="H574" s="324" t="n"/>
      <c r="I574" s="320" t="n"/>
      <c r="J574" s="325">
        <f>IF(COUNTA(A574:F574)=0,"",IF(OR(C574&lt;0,D574&lt;0,E574&lt;0,F574&lt;0),"ERRO: valor negativo",IF(C574&lt;&gt;SUM(D574:F574),"ERRO: categorias diferem dos respondentes",IF(COUNTIFS($A$5:$A$1200,A574,$B$5:$B$1200,B574)&gt;1,"ERRO: período e curso duplicados","OK"))))</f>
        <v/>
      </c>
    </row>
    <row r="575" ht="15" customHeight="1" s="131">
      <c r="A575" s="320" t="n"/>
      <c r="B575" s="323" t="n"/>
      <c r="C575" s="320" t="n"/>
      <c r="D575" s="320" t="n"/>
      <c r="E575" s="320" t="n"/>
      <c r="F575" s="320" t="n"/>
      <c r="G575" s="284">
        <f>IFERROR((D575-F575)/C575*100,"")</f>
        <v/>
      </c>
      <c r="H575" s="324" t="n"/>
      <c r="I575" s="320" t="n"/>
      <c r="J575" s="325">
        <f>IF(COUNTA(A575:F575)=0,"",IF(OR(C575&lt;0,D575&lt;0,E575&lt;0,F575&lt;0),"ERRO: valor negativo",IF(C575&lt;&gt;SUM(D575:F575),"ERRO: categorias diferem dos respondentes",IF(COUNTIFS($A$5:$A$1200,A575,$B$5:$B$1200,B575)&gt;1,"ERRO: período e curso duplicados","OK"))))</f>
        <v/>
      </c>
    </row>
    <row r="576" ht="15" customHeight="1" s="131">
      <c r="A576" s="320" t="n"/>
      <c r="B576" s="323" t="n"/>
      <c r="C576" s="320" t="n"/>
      <c r="D576" s="320" t="n"/>
      <c r="E576" s="320" t="n"/>
      <c r="F576" s="320" t="n"/>
      <c r="G576" s="284">
        <f>IFERROR((D576-F576)/C576*100,"")</f>
        <v/>
      </c>
      <c r="H576" s="324" t="n"/>
      <c r="I576" s="320" t="n"/>
      <c r="J576" s="325">
        <f>IF(COUNTA(A576:F576)=0,"",IF(OR(C576&lt;0,D576&lt;0,E576&lt;0,F576&lt;0),"ERRO: valor negativo",IF(C576&lt;&gt;SUM(D576:F576),"ERRO: categorias diferem dos respondentes",IF(COUNTIFS($A$5:$A$1200,A576,$B$5:$B$1200,B576)&gt;1,"ERRO: período e curso duplicados","OK"))))</f>
        <v/>
      </c>
    </row>
    <row r="577" ht="15" customHeight="1" s="131">
      <c r="A577" s="320" t="n"/>
      <c r="B577" s="323" t="n"/>
      <c r="C577" s="320" t="n"/>
      <c r="D577" s="320" t="n"/>
      <c r="E577" s="320" t="n"/>
      <c r="F577" s="320" t="n"/>
      <c r="G577" s="284">
        <f>IFERROR((D577-F577)/C577*100,"")</f>
        <v/>
      </c>
      <c r="H577" s="324" t="n"/>
      <c r="I577" s="320" t="n"/>
      <c r="J577" s="325">
        <f>IF(COUNTA(A577:F577)=0,"",IF(OR(C577&lt;0,D577&lt;0,E577&lt;0,F577&lt;0),"ERRO: valor negativo",IF(C577&lt;&gt;SUM(D577:F577),"ERRO: categorias diferem dos respondentes",IF(COUNTIFS($A$5:$A$1200,A577,$B$5:$B$1200,B577)&gt;1,"ERRO: período e curso duplicados","OK"))))</f>
        <v/>
      </c>
    </row>
    <row r="578" ht="15" customHeight="1" s="131">
      <c r="A578" s="320" t="n"/>
      <c r="B578" s="323" t="n"/>
      <c r="C578" s="320" t="n"/>
      <c r="D578" s="320" t="n"/>
      <c r="E578" s="320" t="n"/>
      <c r="F578" s="320" t="n"/>
      <c r="G578" s="284">
        <f>IFERROR((D578-F578)/C578*100,"")</f>
        <v/>
      </c>
      <c r="H578" s="324" t="n"/>
      <c r="I578" s="320" t="n"/>
      <c r="J578" s="325">
        <f>IF(COUNTA(A578:F578)=0,"",IF(OR(C578&lt;0,D578&lt;0,E578&lt;0,F578&lt;0),"ERRO: valor negativo",IF(C578&lt;&gt;SUM(D578:F578),"ERRO: categorias diferem dos respondentes",IF(COUNTIFS($A$5:$A$1200,A578,$B$5:$B$1200,B578)&gt;1,"ERRO: período e curso duplicados","OK"))))</f>
        <v/>
      </c>
    </row>
    <row r="579" ht="15" customHeight="1" s="131">
      <c r="A579" s="320" t="n"/>
      <c r="B579" s="323" t="n"/>
      <c r="C579" s="320" t="n"/>
      <c r="D579" s="320" t="n"/>
      <c r="E579" s="320" t="n"/>
      <c r="F579" s="320" t="n"/>
      <c r="G579" s="284">
        <f>IFERROR((D579-F579)/C579*100,"")</f>
        <v/>
      </c>
      <c r="H579" s="324" t="n"/>
      <c r="I579" s="320" t="n"/>
      <c r="J579" s="325">
        <f>IF(COUNTA(A579:F579)=0,"",IF(OR(C579&lt;0,D579&lt;0,E579&lt;0,F579&lt;0),"ERRO: valor negativo",IF(C579&lt;&gt;SUM(D579:F579),"ERRO: categorias diferem dos respondentes",IF(COUNTIFS($A$5:$A$1200,A579,$B$5:$B$1200,B579)&gt;1,"ERRO: período e curso duplicados","OK"))))</f>
        <v/>
      </c>
    </row>
    <row r="580" ht="15" customHeight="1" s="131">
      <c r="A580" s="320" t="n"/>
      <c r="B580" s="323" t="n"/>
      <c r="C580" s="320" t="n"/>
      <c r="D580" s="320" t="n"/>
      <c r="E580" s="320" t="n"/>
      <c r="F580" s="320" t="n"/>
      <c r="G580" s="284">
        <f>IFERROR((D580-F580)/C580*100,"")</f>
        <v/>
      </c>
      <c r="H580" s="324" t="n"/>
      <c r="I580" s="320" t="n"/>
      <c r="J580" s="325">
        <f>IF(COUNTA(A580:F580)=0,"",IF(OR(C580&lt;0,D580&lt;0,E580&lt;0,F580&lt;0),"ERRO: valor negativo",IF(C580&lt;&gt;SUM(D580:F580),"ERRO: categorias diferem dos respondentes",IF(COUNTIFS($A$5:$A$1200,A580,$B$5:$B$1200,B580)&gt;1,"ERRO: período e curso duplicados","OK"))))</f>
        <v/>
      </c>
    </row>
    <row r="581" ht="15" customHeight="1" s="131">
      <c r="A581" s="320" t="n"/>
      <c r="B581" s="323" t="n"/>
      <c r="C581" s="320" t="n"/>
      <c r="D581" s="320" t="n"/>
      <c r="E581" s="320" t="n"/>
      <c r="F581" s="320" t="n"/>
      <c r="G581" s="284">
        <f>IFERROR((D581-F581)/C581*100,"")</f>
        <v/>
      </c>
      <c r="H581" s="324" t="n"/>
      <c r="I581" s="320" t="n"/>
      <c r="J581" s="325">
        <f>IF(COUNTA(A581:F581)=0,"",IF(OR(C581&lt;0,D581&lt;0,E581&lt;0,F581&lt;0),"ERRO: valor negativo",IF(C581&lt;&gt;SUM(D581:F581),"ERRO: categorias diferem dos respondentes",IF(COUNTIFS($A$5:$A$1200,A581,$B$5:$B$1200,B581)&gt;1,"ERRO: período e curso duplicados","OK"))))</f>
        <v/>
      </c>
    </row>
    <row r="582" ht="15" customHeight="1" s="131">
      <c r="A582" s="320" t="n"/>
      <c r="B582" s="323" t="n"/>
      <c r="C582" s="320" t="n"/>
      <c r="D582" s="320" t="n"/>
      <c r="E582" s="320" t="n"/>
      <c r="F582" s="320" t="n"/>
      <c r="G582" s="284">
        <f>IFERROR((D582-F582)/C582*100,"")</f>
        <v/>
      </c>
      <c r="H582" s="324" t="n"/>
      <c r="I582" s="320" t="n"/>
      <c r="J582" s="325">
        <f>IF(COUNTA(A582:F582)=0,"",IF(OR(C582&lt;0,D582&lt;0,E582&lt;0,F582&lt;0),"ERRO: valor negativo",IF(C582&lt;&gt;SUM(D582:F582),"ERRO: categorias diferem dos respondentes",IF(COUNTIFS($A$5:$A$1200,A582,$B$5:$B$1200,B582)&gt;1,"ERRO: período e curso duplicados","OK"))))</f>
        <v/>
      </c>
    </row>
    <row r="583" ht="15" customHeight="1" s="131">
      <c r="A583" s="320" t="n"/>
      <c r="B583" s="323" t="n"/>
      <c r="C583" s="320" t="n"/>
      <c r="D583" s="320" t="n"/>
      <c r="E583" s="320" t="n"/>
      <c r="F583" s="320" t="n"/>
      <c r="G583" s="284">
        <f>IFERROR((D583-F583)/C583*100,"")</f>
        <v/>
      </c>
      <c r="H583" s="324" t="n"/>
      <c r="I583" s="320" t="n"/>
      <c r="J583" s="325">
        <f>IF(COUNTA(A583:F583)=0,"",IF(OR(C583&lt;0,D583&lt;0,E583&lt;0,F583&lt;0),"ERRO: valor negativo",IF(C583&lt;&gt;SUM(D583:F583),"ERRO: categorias diferem dos respondentes",IF(COUNTIFS($A$5:$A$1200,A583,$B$5:$B$1200,B583)&gt;1,"ERRO: período e curso duplicados","OK"))))</f>
        <v/>
      </c>
    </row>
    <row r="584" ht="15" customHeight="1" s="131">
      <c r="A584" s="320" t="n"/>
      <c r="B584" s="323" t="n"/>
      <c r="C584" s="320" t="n"/>
      <c r="D584" s="320" t="n"/>
      <c r="E584" s="320" t="n"/>
      <c r="F584" s="320" t="n"/>
      <c r="G584" s="284">
        <f>IFERROR((D584-F584)/C584*100,"")</f>
        <v/>
      </c>
      <c r="H584" s="324" t="n"/>
      <c r="I584" s="320" t="n"/>
      <c r="J584" s="325">
        <f>IF(COUNTA(A584:F584)=0,"",IF(OR(C584&lt;0,D584&lt;0,E584&lt;0,F584&lt;0),"ERRO: valor negativo",IF(C584&lt;&gt;SUM(D584:F584),"ERRO: categorias diferem dos respondentes",IF(COUNTIFS($A$5:$A$1200,A584,$B$5:$B$1200,B584)&gt;1,"ERRO: período e curso duplicados","OK"))))</f>
        <v/>
      </c>
    </row>
    <row r="585" ht="15" customHeight="1" s="131">
      <c r="A585" s="320" t="n"/>
      <c r="B585" s="323" t="n"/>
      <c r="C585" s="320" t="n"/>
      <c r="D585" s="320" t="n"/>
      <c r="E585" s="320" t="n"/>
      <c r="F585" s="320" t="n"/>
      <c r="G585" s="284">
        <f>IFERROR((D585-F585)/C585*100,"")</f>
        <v/>
      </c>
      <c r="H585" s="324" t="n"/>
      <c r="I585" s="320" t="n"/>
      <c r="J585" s="325">
        <f>IF(COUNTA(A585:F585)=0,"",IF(OR(C585&lt;0,D585&lt;0,E585&lt;0,F585&lt;0),"ERRO: valor negativo",IF(C585&lt;&gt;SUM(D585:F585),"ERRO: categorias diferem dos respondentes",IF(COUNTIFS($A$5:$A$1200,A585,$B$5:$B$1200,B585)&gt;1,"ERRO: período e curso duplicados","OK"))))</f>
        <v/>
      </c>
    </row>
    <row r="586" ht="15" customHeight="1" s="131">
      <c r="A586" s="320" t="n"/>
      <c r="B586" s="323" t="n"/>
      <c r="C586" s="320" t="n"/>
      <c r="D586" s="320" t="n"/>
      <c r="E586" s="320" t="n"/>
      <c r="F586" s="320" t="n"/>
      <c r="G586" s="284">
        <f>IFERROR((D586-F586)/C586*100,"")</f>
        <v/>
      </c>
      <c r="H586" s="324" t="n"/>
      <c r="I586" s="320" t="n"/>
      <c r="J586" s="325">
        <f>IF(COUNTA(A586:F586)=0,"",IF(OR(C586&lt;0,D586&lt;0,E586&lt;0,F586&lt;0),"ERRO: valor negativo",IF(C586&lt;&gt;SUM(D586:F586),"ERRO: categorias diferem dos respondentes",IF(COUNTIFS($A$5:$A$1200,A586,$B$5:$B$1200,B586)&gt;1,"ERRO: período e curso duplicados","OK"))))</f>
        <v/>
      </c>
    </row>
    <row r="587" ht="15" customHeight="1" s="131">
      <c r="A587" s="320" t="n"/>
      <c r="B587" s="323" t="n"/>
      <c r="C587" s="320" t="n"/>
      <c r="D587" s="320" t="n"/>
      <c r="E587" s="320" t="n"/>
      <c r="F587" s="320" t="n"/>
      <c r="G587" s="284">
        <f>IFERROR((D587-F587)/C587*100,"")</f>
        <v/>
      </c>
      <c r="H587" s="324" t="n"/>
      <c r="I587" s="320" t="n"/>
      <c r="J587" s="325">
        <f>IF(COUNTA(A587:F587)=0,"",IF(OR(C587&lt;0,D587&lt;0,E587&lt;0,F587&lt;0),"ERRO: valor negativo",IF(C587&lt;&gt;SUM(D587:F587),"ERRO: categorias diferem dos respondentes",IF(COUNTIFS($A$5:$A$1200,A587,$B$5:$B$1200,B587)&gt;1,"ERRO: período e curso duplicados","OK"))))</f>
        <v/>
      </c>
    </row>
    <row r="588" ht="15" customHeight="1" s="131">
      <c r="A588" s="320" t="n"/>
      <c r="B588" s="323" t="n"/>
      <c r="C588" s="320" t="n"/>
      <c r="D588" s="320" t="n"/>
      <c r="E588" s="320" t="n"/>
      <c r="F588" s="320" t="n"/>
      <c r="G588" s="284">
        <f>IFERROR((D588-F588)/C588*100,"")</f>
        <v/>
      </c>
      <c r="H588" s="324" t="n"/>
      <c r="I588" s="320" t="n"/>
      <c r="J588" s="325">
        <f>IF(COUNTA(A588:F588)=0,"",IF(OR(C588&lt;0,D588&lt;0,E588&lt;0,F588&lt;0),"ERRO: valor negativo",IF(C588&lt;&gt;SUM(D588:F588),"ERRO: categorias diferem dos respondentes",IF(COUNTIFS($A$5:$A$1200,A588,$B$5:$B$1200,B588)&gt;1,"ERRO: período e curso duplicados","OK"))))</f>
        <v/>
      </c>
    </row>
    <row r="589" ht="15" customHeight="1" s="131">
      <c r="A589" s="320" t="n"/>
      <c r="B589" s="323" t="n"/>
      <c r="C589" s="320" t="n"/>
      <c r="D589" s="320" t="n"/>
      <c r="E589" s="320" t="n"/>
      <c r="F589" s="320" t="n"/>
      <c r="G589" s="284">
        <f>IFERROR((D589-F589)/C589*100,"")</f>
        <v/>
      </c>
      <c r="H589" s="324" t="n"/>
      <c r="I589" s="320" t="n"/>
      <c r="J589" s="325">
        <f>IF(COUNTA(A589:F589)=0,"",IF(OR(C589&lt;0,D589&lt;0,E589&lt;0,F589&lt;0),"ERRO: valor negativo",IF(C589&lt;&gt;SUM(D589:F589),"ERRO: categorias diferem dos respondentes",IF(COUNTIFS($A$5:$A$1200,A589,$B$5:$B$1200,B589)&gt;1,"ERRO: período e curso duplicados","OK"))))</f>
        <v/>
      </c>
    </row>
    <row r="590" ht="15" customHeight="1" s="131">
      <c r="A590" s="320" t="n"/>
      <c r="B590" s="323" t="n"/>
      <c r="C590" s="320" t="n"/>
      <c r="D590" s="320" t="n"/>
      <c r="E590" s="320" t="n"/>
      <c r="F590" s="320" t="n"/>
      <c r="G590" s="284">
        <f>IFERROR((D590-F590)/C590*100,"")</f>
        <v/>
      </c>
      <c r="H590" s="324" t="n"/>
      <c r="I590" s="320" t="n"/>
      <c r="J590" s="325">
        <f>IF(COUNTA(A590:F590)=0,"",IF(OR(C590&lt;0,D590&lt;0,E590&lt;0,F590&lt;0),"ERRO: valor negativo",IF(C590&lt;&gt;SUM(D590:F590),"ERRO: categorias diferem dos respondentes",IF(COUNTIFS($A$5:$A$1200,A590,$B$5:$B$1200,B590)&gt;1,"ERRO: período e curso duplicados","OK"))))</f>
        <v/>
      </c>
    </row>
    <row r="591" ht="15" customHeight="1" s="131">
      <c r="A591" s="320" t="n"/>
      <c r="B591" s="323" t="n"/>
      <c r="C591" s="320" t="n"/>
      <c r="D591" s="320" t="n"/>
      <c r="E591" s="320" t="n"/>
      <c r="F591" s="320" t="n"/>
      <c r="G591" s="284">
        <f>IFERROR((D591-F591)/C591*100,"")</f>
        <v/>
      </c>
      <c r="H591" s="324" t="n"/>
      <c r="I591" s="320" t="n"/>
      <c r="J591" s="325">
        <f>IF(COUNTA(A591:F591)=0,"",IF(OR(C591&lt;0,D591&lt;0,E591&lt;0,F591&lt;0),"ERRO: valor negativo",IF(C591&lt;&gt;SUM(D591:F591),"ERRO: categorias diferem dos respondentes",IF(COUNTIFS($A$5:$A$1200,A591,$B$5:$B$1200,B591)&gt;1,"ERRO: período e curso duplicados","OK"))))</f>
        <v/>
      </c>
    </row>
    <row r="592" ht="15" customHeight="1" s="131">
      <c r="A592" s="320" t="n"/>
      <c r="B592" s="323" t="n"/>
      <c r="C592" s="320" t="n"/>
      <c r="D592" s="320" t="n"/>
      <c r="E592" s="320" t="n"/>
      <c r="F592" s="320" t="n"/>
      <c r="G592" s="284">
        <f>IFERROR((D592-F592)/C592*100,"")</f>
        <v/>
      </c>
      <c r="H592" s="324" t="n"/>
      <c r="I592" s="320" t="n"/>
      <c r="J592" s="325">
        <f>IF(COUNTA(A592:F592)=0,"",IF(OR(C592&lt;0,D592&lt;0,E592&lt;0,F592&lt;0),"ERRO: valor negativo",IF(C592&lt;&gt;SUM(D592:F592),"ERRO: categorias diferem dos respondentes",IF(COUNTIFS($A$5:$A$1200,A592,$B$5:$B$1200,B592)&gt;1,"ERRO: período e curso duplicados","OK"))))</f>
        <v/>
      </c>
    </row>
    <row r="593" ht="15" customHeight="1" s="131">
      <c r="A593" s="320" t="n"/>
      <c r="B593" s="323" t="n"/>
      <c r="C593" s="320" t="n"/>
      <c r="D593" s="320" t="n"/>
      <c r="E593" s="320" t="n"/>
      <c r="F593" s="320" t="n"/>
      <c r="G593" s="284">
        <f>IFERROR((D593-F593)/C593*100,"")</f>
        <v/>
      </c>
      <c r="H593" s="324" t="n"/>
      <c r="I593" s="320" t="n"/>
      <c r="J593" s="325">
        <f>IF(COUNTA(A593:F593)=0,"",IF(OR(C593&lt;0,D593&lt;0,E593&lt;0,F593&lt;0),"ERRO: valor negativo",IF(C593&lt;&gt;SUM(D593:F593),"ERRO: categorias diferem dos respondentes",IF(COUNTIFS($A$5:$A$1200,A593,$B$5:$B$1200,B593)&gt;1,"ERRO: período e curso duplicados","OK"))))</f>
        <v/>
      </c>
    </row>
    <row r="594" ht="15" customHeight="1" s="131">
      <c r="A594" s="320" t="n"/>
      <c r="B594" s="323" t="n"/>
      <c r="C594" s="320" t="n"/>
      <c r="D594" s="320" t="n"/>
      <c r="E594" s="320" t="n"/>
      <c r="F594" s="320" t="n"/>
      <c r="G594" s="284">
        <f>IFERROR((D594-F594)/C594*100,"")</f>
        <v/>
      </c>
      <c r="H594" s="324" t="n"/>
      <c r="I594" s="320" t="n"/>
      <c r="J594" s="325">
        <f>IF(COUNTA(A594:F594)=0,"",IF(OR(C594&lt;0,D594&lt;0,E594&lt;0,F594&lt;0),"ERRO: valor negativo",IF(C594&lt;&gt;SUM(D594:F594),"ERRO: categorias diferem dos respondentes",IF(COUNTIFS($A$5:$A$1200,A594,$B$5:$B$1200,B594)&gt;1,"ERRO: período e curso duplicados","OK"))))</f>
        <v/>
      </c>
    </row>
    <row r="595" ht="15" customHeight="1" s="131">
      <c r="A595" s="320" t="n"/>
      <c r="B595" s="323" t="n"/>
      <c r="C595" s="320" t="n"/>
      <c r="D595" s="320" t="n"/>
      <c r="E595" s="320" t="n"/>
      <c r="F595" s="320" t="n"/>
      <c r="G595" s="284">
        <f>IFERROR((D595-F595)/C595*100,"")</f>
        <v/>
      </c>
      <c r="H595" s="324" t="n"/>
      <c r="I595" s="320" t="n"/>
      <c r="J595" s="325">
        <f>IF(COUNTA(A595:F595)=0,"",IF(OR(C595&lt;0,D595&lt;0,E595&lt;0,F595&lt;0),"ERRO: valor negativo",IF(C595&lt;&gt;SUM(D595:F595),"ERRO: categorias diferem dos respondentes",IF(COUNTIFS($A$5:$A$1200,A595,$B$5:$B$1200,B595)&gt;1,"ERRO: período e curso duplicados","OK"))))</f>
        <v/>
      </c>
    </row>
    <row r="596" ht="15" customHeight="1" s="131">
      <c r="A596" s="320" t="n"/>
      <c r="B596" s="323" t="n"/>
      <c r="C596" s="320" t="n"/>
      <c r="D596" s="320" t="n"/>
      <c r="E596" s="320" t="n"/>
      <c r="F596" s="320" t="n"/>
      <c r="G596" s="284">
        <f>IFERROR((D596-F596)/C596*100,"")</f>
        <v/>
      </c>
      <c r="H596" s="324" t="n"/>
      <c r="I596" s="320" t="n"/>
      <c r="J596" s="325">
        <f>IF(COUNTA(A596:F596)=0,"",IF(OR(C596&lt;0,D596&lt;0,E596&lt;0,F596&lt;0),"ERRO: valor negativo",IF(C596&lt;&gt;SUM(D596:F596),"ERRO: categorias diferem dos respondentes",IF(COUNTIFS($A$5:$A$1200,A596,$B$5:$B$1200,B596)&gt;1,"ERRO: período e curso duplicados","OK"))))</f>
        <v/>
      </c>
    </row>
    <row r="597" ht="15" customHeight="1" s="131">
      <c r="A597" s="320" t="n"/>
      <c r="B597" s="323" t="n"/>
      <c r="C597" s="320" t="n"/>
      <c r="D597" s="320" t="n"/>
      <c r="E597" s="320" t="n"/>
      <c r="F597" s="320" t="n"/>
      <c r="G597" s="284">
        <f>IFERROR((D597-F597)/C597*100,"")</f>
        <v/>
      </c>
      <c r="H597" s="324" t="n"/>
      <c r="I597" s="320" t="n"/>
      <c r="J597" s="325">
        <f>IF(COUNTA(A597:F597)=0,"",IF(OR(C597&lt;0,D597&lt;0,E597&lt;0,F597&lt;0),"ERRO: valor negativo",IF(C597&lt;&gt;SUM(D597:F597),"ERRO: categorias diferem dos respondentes",IF(COUNTIFS($A$5:$A$1200,A597,$B$5:$B$1200,B597)&gt;1,"ERRO: período e curso duplicados","OK"))))</f>
        <v/>
      </c>
    </row>
    <row r="598" ht="15" customHeight="1" s="131">
      <c r="A598" s="320" t="n"/>
      <c r="B598" s="323" t="n"/>
      <c r="C598" s="320" t="n"/>
      <c r="D598" s="320" t="n"/>
      <c r="E598" s="320" t="n"/>
      <c r="F598" s="320" t="n"/>
      <c r="G598" s="284">
        <f>IFERROR((D598-F598)/C598*100,"")</f>
        <v/>
      </c>
      <c r="H598" s="324" t="n"/>
      <c r="I598" s="320" t="n"/>
      <c r="J598" s="325">
        <f>IF(COUNTA(A598:F598)=0,"",IF(OR(C598&lt;0,D598&lt;0,E598&lt;0,F598&lt;0),"ERRO: valor negativo",IF(C598&lt;&gt;SUM(D598:F598),"ERRO: categorias diferem dos respondentes",IF(COUNTIFS($A$5:$A$1200,A598,$B$5:$B$1200,B598)&gt;1,"ERRO: período e curso duplicados","OK"))))</f>
        <v/>
      </c>
    </row>
    <row r="599" ht="15" customHeight="1" s="131">
      <c r="A599" s="320" t="n"/>
      <c r="B599" s="323" t="n"/>
      <c r="C599" s="320" t="n"/>
      <c r="D599" s="320" t="n"/>
      <c r="E599" s="320" t="n"/>
      <c r="F599" s="320" t="n"/>
      <c r="G599" s="284">
        <f>IFERROR((D599-F599)/C599*100,"")</f>
        <v/>
      </c>
      <c r="H599" s="324" t="n"/>
      <c r="I599" s="320" t="n"/>
      <c r="J599" s="325">
        <f>IF(COUNTA(A599:F599)=0,"",IF(OR(C599&lt;0,D599&lt;0,E599&lt;0,F599&lt;0),"ERRO: valor negativo",IF(C599&lt;&gt;SUM(D599:F599),"ERRO: categorias diferem dos respondentes",IF(COUNTIFS($A$5:$A$1200,A599,$B$5:$B$1200,B599)&gt;1,"ERRO: período e curso duplicados","OK"))))</f>
        <v/>
      </c>
    </row>
    <row r="600" ht="15" customHeight="1" s="131">
      <c r="A600" s="320" t="n"/>
      <c r="B600" s="323" t="n"/>
      <c r="C600" s="320" t="n"/>
      <c r="D600" s="320" t="n"/>
      <c r="E600" s="320" t="n"/>
      <c r="F600" s="320" t="n"/>
      <c r="G600" s="284">
        <f>IFERROR((D600-F600)/C600*100,"")</f>
        <v/>
      </c>
      <c r="H600" s="324" t="n"/>
      <c r="I600" s="320" t="n"/>
      <c r="J600" s="325">
        <f>IF(COUNTA(A600:F600)=0,"",IF(OR(C600&lt;0,D600&lt;0,E600&lt;0,F600&lt;0),"ERRO: valor negativo",IF(C600&lt;&gt;SUM(D600:F600),"ERRO: categorias diferem dos respondentes",IF(COUNTIFS($A$5:$A$1200,A600,$B$5:$B$1200,B600)&gt;1,"ERRO: período e curso duplicados","OK"))))</f>
        <v/>
      </c>
    </row>
    <row r="601" ht="15" customHeight="1" s="131">
      <c r="A601" s="320" t="n"/>
      <c r="B601" s="323" t="n"/>
      <c r="C601" s="320" t="n"/>
      <c r="D601" s="320" t="n"/>
      <c r="E601" s="320" t="n"/>
      <c r="F601" s="320" t="n"/>
      <c r="G601" s="284">
        <f>IFERROR((D601-F601)/C601*100,"")</f>
        <v/>
      </c>
      <c r="H601" s="324" t="n"/>
      <c r="I601" s="320" t="n"/>
      <c r="J601" s="325">
        <f>IF(COUNTA(A601:F601)=0,"",IF(OR(C601&lt;0,D601&lt;0,E601&lt;0,F601&lt;0),"ERRO: valor negativo",IF(C601&lt;&gt;SUM(D601:F601),"ERRO: categorias diferem dos respondentes",IF(COUNTIFS($A$5:$A$1200,A601,$B$5:$B$1200,B601)&gt;1,"ERRO: período e curso duplicados","OK"))))</f>
        <v/>
      </c>
    </row>
    <row r="602" ht="15" customHeight="1" s="131">
      <c r="A602" s="320" t="n"/>
      <c r="B602" s="323" t="n"/>
      <c r="C602" s="320" t="n"/>
      <c r="D602" s="320" t="n"/>
      <c r="E602" s="320" t="n"/>
      <c r="F602" s="320" t="n"/>
      <c r="G602" s="284">
        <f>IFERROR((D602-F602)/C602*100,"")</f>
        <v/>
      </c>
      <c r="H602" s="324" t="n"/>
      <c r="I602" s="320" t="n"/>
      <c r="J602" s="325">
        <f>IF(COUNTA(A602:F602)=0,"",IF(OR(C602&lt;0,D602&lt;0,E602&lt;0,F602&lt;0),"ERRO: valor negativo",IF(C602&lt;&gt;SUM(D602:F602),"ERRO: categorias diferem dos respondentes",IF(COUNTIFS($A$5:$A$1200,A602,$B$5:$B$1200,B602)&gt;1,"ERRO: período e curso duplicados","OK"))))</f>
        <v/>
      </c>
    </row>
    <row r="603" ht="15" customHeight="1" s="131">
      <c r="A603" s="320" t="n"/>
      <c r="B603" s="323" t="n"/>
      <c r="C603" s="320" t="n"/>
      <c r="D603" s="320" t="n"/>
      <c r="E603" s="320" t="n"/>
      <c r="F603" s="320" t="n"/>
      <c r="G603" s="284">
        <f>IFERROR((D603-F603)/C603*100,"")</f>
        <v/>
      </c>
      <c r="H603" s="324" t="n"/>
      <c r="I603" s="320" t="n"/>
      <c r="J603" s="325">
        <f>IF(COUNTA(A603:F603)=0,"",IF(OR(C603&lt;0,D603&lt;0,E603&lt;0,F603&lt;0),"ERRO: valor negativo",IF(C603&lt;&gt;SUM(D603:F603),"ERRO: categorias diferem dos respondentes",IF(COUNTIFS($A$5:$A$1200,A603,$B$5:$B$1200,B603)&gt;1,"ERRO: período e curso duplicados","OK"))))</f>
        <v/>
      </c>
    </row>
    <row r="604" ht="15" customHeight="1" s="131">
      <c r="A604" s="320" t="n"/>
      <c r="B604" s="323" t="n"/>
      <c r="C604" s="320" t="n"/>
      <c r="D604" s="320" t="n"/>
      <c r="E604" s="320" t="n"/>
      <c r="F604" s="320" t="n"/>
      <c r="G604" s="284">
        <f>IFERROR((D604-F604)/C604*100,"")</f>
        <v/>
      </c>
      <c r="H604" s="324" t="n"/>
      <c r="I604" s="320" t="n"/>
      <c r="J604" s="325">
        <f>IF(COUNTA(A604:F604)=0,"",IF(OR(C604&lt;0,D604&lt;0,E604&lt;0,F604&lt;0),"ERRO: valor negativo",IF(C604&lt;&gt;SUM(D604:F604),"ERRO: categorias diferem dos respondentes",IF(COUNTIFS($A$5:$A$1200,A604,$B$5:$B$1200,B604)&gt;1,"ERRO: período e curso duplicados","OK"))))</f>
        <v/>
      </c>
    </row>
    <row r="605" ht="15" customHeight="1" s="131">
      <c r="A605" s="320" t="n"/>
      <c r="B605" s="323" t="n"/>
      <c r="C605" s="320" t="n"/>
      <c r="D605" s="320" t="n"/>
      <c r="E605" s="320" t="n"/>
      <c r="F605" s="320" t="n"/>
      <c r="G605" s="284">
        <f>IFERROR((D605-F605)/C605*100,"")</f>
        <v/>
      </c>
      <c r="H605" s="324" t="n"/>
      <c r="I605" s="320" t="n"/>
      <c r="J605" s="325">
        <f>IF(COUNTA(A605:F605)=0,"",IF(OR(C605&lt;0,D605&lt;0,E605&lt;0,F605&lt;0),"ERRO: valor negativo",IF(C605&lt;&gt;SUM(D605:F605),"ERRO: categorias diferem dos respondentes",IF(COUNTIFS($A$5:$A$1200,A605,$B$5:$B$1200,B605)&gt;1,"ERRO: período e curso duplicados","OK"))))</f>
        <v/>
      </c>
    </row>
    <row r="606" ht="15" customHeight="1" s="131">
      <c r="A606" s="320" t="n"/>
      <c r="B606" s="323" t="n"/>
      <c r="C606" s="320" t="n"/>
      <c r="D606" s="320" t="n"/>
      <c r="E606" s="320" t="n"/>
      <c r="F606" s="320" t="n"/>
      <c r="G606" s="284">
        <f>IFERROR((D606-F606)/C606*100,"")</f>
        <v/>
      </c>
      <c r="H606" s="324" t="n"/>
      <c r="I606" s="320" t="n"/>
      <c r="J606" s="325">
        <f>IF(COUNTA(A606:F606)=0,"",IF(OR(C606&lt;0,D606&lt;0,E606&lt;0,F606&lt;0),"ERRO: valor negativo",IF(C606&lt;&gt;SUM(D606:F606),"ERRO: categorias diferem dos respondentes",IF(COUNTIFS($A$5:$A$1200,A606,$B$5:$B$1200,B606)&gt;1,"ERRO: período e curso duplicados","OK"))))</f>
        <v/>
      </c>
    </row>
    <row r="607" ht="15" customHeight="1" s="131">
      <c r="A607" s="320" t="n"/>
      <c r="B607" s="323" t="n"/>
      <c r="C607" s="320" t="n"/>
      <c r="D607" s="320" t="n"/>
      <c r="E607" s="320" t="n"/>
      <c r="F607" s="320" t="n"/>
      <c r="G607" s="284">
        <f>IFERROR((D607-F607)/C607*100,"")</f>
        <v/>
      </c>
      <c r="H607" s="324" t="n"/>
      <c r="I607" s="320" t="n"/>
      <c r="J607" s="325">
        <f>IF(COUNTA(A607:F607)=0,"",IF(OR(C607&lt;0,D607&lt;0,E607&lt;0,F607&lt;0),"ERRO: valor negativo",IF(C607&lt;&gt;SUM(D607:F607),"ERRO: categorias diferem dos respondentes",IF(COUNTIFS($A$5:$A$1200,A607,$B$5:$B$1200,B607)&gt;1,"ERRO: período e curso duplicados","OK"))))</f>
        <v/>
      </c>
    </row>
    <row r="608" ht="15" customHeight="1" s="131">
      <c r="A608" s="320" t="n"/>
      <c r="B608" s="323" t="n"/>
      <c r="C608" s="320" t="n"/>
      <c r="D608" s="320" t="n"/>
      <c r="E608" s="320" t="n"/>
      <c r="F608" s="320" t="n"/>
      <c r="G608" s="284">
        <f>IFERROR((D608-F608)/C608*100,"")</f>
        <v/>
      </c>
      <c r="H608" s="324" t="n"/>
      <c r="I608" s="320" t="n"/>
      <c r="J608" s="325">
        <f>IF(COUNTA(A608:F608)=0,"",IF(OR(C608&lt;0,D608&lt;0,E608&lt;0,F608&lt;0),"ERRO: valor negativo",IF(C608&lt;&gt;SUM(D608:F608),"ERRO: categorias diferem dos respondentes",IF(COUNTIFS($A$5:$A$1200,A608,$B$5:$B$1200,B608)&gt;1,"ERRO: período e curso duplicados","OK"))))</f>
        <v/>
      </c>
    </row>
    <row r="609" ht="15" customHeight="1" s="131">
      <c r="A609" s="320" t="n"/>
      <c r="B609" s="323" t="n"/>
      <c r="C609" s="320" t="n"/>
      <c r="D609" s="320" t="n"/>
      <c r="E609" s="320" t="n"/>
      <c r="F609" s="320" t="n"/>
      <c r="G609" s="284">
        <f>IFERROR((D609-F609)/C609*100,"")</f>
        <v/>
      </c>
      <c r="H609" s="324" t="n"/>
      <c r="I609" s="320" t="n"/>
      <c r="J609" s="325">
        <f>IF(COUNTA(A609:F609)=0,"",IF(OR(C609&lt;0,D609&lt;0,E609&lt;0,F609&lt;0),"ERRO: valor negativo",IF(C609&lt;&gt;SUM(D609:F609),"ERRO: categorias diferem dos respondentes",IF(COUNTIFS($A$5:$A$1200,A609,$B$5:$B$1200,B609)&gt;1,"ERRO: período e curso duplicados","OK"))))</f>
        <v/>
      </c>
    </row>
    <row r="610" ht="15" customHeight="1" s="131">
      <c r="A610" s="320" t="n"/>
      <c r="B610" s="323" t="n"/>
      <c r="C610" s="320" t="n"/>
      <c r="D610" s="320" t="n"/>
      <c r="E610" s="320" t="n"/>
      <c r="F610" s="320" t="n"/>
      <c r="G610" s="284">
        <f>IFERROR((D610-F610)/C610*100,"")</f>
        <v/>
      </c>
      <c r="H610" s="324" t="n"/>
      <c r="I610" s="320" t="n"/>
      <c r="J610" s="325">
        <f>IF(COUNTA(A610:F610)=0,"",IF(OR(C610&lt;0,D610&lt;0,E610&lt;0,F610&lt;0),"ERRO: valor negativo",IF(C610&lt;&gt;SUM(D610:F610),"ERRO: categorias diferem dos respondentes",IF(COUNTIFS($A$5:$A$1200,A610,$B$5:$B$1200,B610)&gt;1,"ERRO: período e curso duplicados","OK"))))</f>
        <v/>
      </c>
    </row>
    <row r="611" ht="15" customHeight="1" s="131">
      <c r="A611" s="320" t="n"/>
      <c r="B611" s="323" t="n"/>
      <c r="C611" s="320" t="n"/>
      <c r="D611" s="320" t="n"/>
      <c r="E611" s="320" t="n"/>
      <c r="F611" s="320" t="n"/>
      <c r="G611" s="284">
        <f>IFERROR((D611-F611)/C611*100,"")</f>
        <v/>
      </c>
      <c r="H611" s="324" t="n"/>
      <c r="I611" s="320" t="n"/>
      <c r="J611" s="325">
        <f>IF(COUNTA(A611:F611)=0,"",IF(OR(C611&lt;0,D611&lt;0,E611&lt;0,F611&lt;0),"ERRO: valor negativo",IF(C611&lt;&gt;SUM(D611:F611),"ERRO: categorias diferem dos respondentes",IF(COUNTIFS($A$5:$A$1200,A611,$B$5:$B$1200,B611)&gt;1,"ERRO: período e curso duplicados","OK"))))</f>
        <v/>
      </c>
    </row>
    <row r="612" ht="15" customHeight="1" s="131">
      <c r="A612" s="320" t="n"/>
      <c r="B612" s="323" t="n"/>
      <c r="C612" s="320" t="n"/>
      <c r="D612" s="320" t="n"/>
      <c r="E612" s="320" t="n"/>
      <c r="F612" s="320" t="n"/>
      <c r="G612" s="284">
        <f>IFERROR((D612-F612)/C612*100,"")</f>
        <v/>
      </c>
      <c r="H612" s="324" t="n"/>
      <c r="I612" s="320" t="n"/>
      <c r="J612" s="325">
        <f>IF(COUNTA(A612:F612)=0,"",IF(OR(C612&lt;0,D612&lt;0,E612&lt;0,F612&lt;0),"ERRO: valor negativo",IF(C612&lt;&gt;SUM(D612:F612),"ERRO: categorias diferem dos respondentes",IF(COUNTIFS($A$5:$A$1200,A612,$B$5:$B$1200,B612)&gt;1,"ERRO: período e curso duplicados","OK"))))</f>
        <v/>
      </c>
    </row>
    <row r="613" ht="15" customHeight="1" s="131">
      <c r="A613" s="320" t="n"/>
      <c r="B613" s="323" t="n"/>
      <c r="C613" s="320" t="n"/>
      <c r="D613" s="320" t="n"/>
      <c r="E613" s="320" t="n"/>
      <c r="F613" s="320" t="n"/>
      <c r="G613" s="284">
        <f>IFERROR((D613-F613)/C613*100,"")</f>
        <v/>
      </c>
      <c r="H613" s="324" t="n"/>
      <c r="I613" s="320" t="n"/>
      <c r="J613" s="325">
        <f>IF(COUNTA(A613:F613)=0,"",IF(OR(C613&lt;0,D613&lt;0,E613&lt;0,F613&lt;0),"ERRO: valor negativo",IF(C613&lt;&gt;SUM(D613:F613),"ERRO: categorias diferem dos respondentes",IF(COUNTIFS($A$5:$A$1200,A613,$B$5:$B$1200,B613)&gt;1,"ERRO: período e curso duplicados","OK"))))</f>
        <v/>
      </c>
    </row>
    <row r="614" ht="15" customHeight="1" s="131">
      <c r="A614" s="320" t="n"/>
      <c r="B614" s="323" t="n"/>
      <c r="C614" s="320" t="n"/>
      <c r="D614" s="320" t="n"/>
      <c r="E614" s="320" t="n"/>
      <c r="F614" s="320" t="n"/>
      <c r="G614" s="284">
        <f>IFERROR((D614-F614)/C614*100,"")</f>
        <v/>
      </c>
      <c r="H614" s="324" t="n"/>
      <c r="I614" s="320" t="n"/>
      <c r="J614" s="325">
        <f>IF(COUNTA(A614:F614)=0,"",IF(OR(C614&lt;0,D614&lt;0,E614&lt;0,F614&lt;0),"ERRO: valor negativo",IF(C614&lt;&gt;SUM(D614:F614),"ERRO: categorias diferem dos respondentes",IF(COUNTIFS($A$5:$A$1200,A614,$B$5:$B$1200,B614)&gt;1,"ERRO: período e curso duplicados","OK"))))</f>
        <v/>
      </c>
    </row>
    <row r="615" ht="15" customHeight="1" s="131">
      <c r="A615" s="320" t="n"/>
      <c r="B615" s="323" t="n"/>
      <c r="C615" s="320" t="n"/>
      <c r="D615" s="320" t="n"/>
      <c r="E615" s="320" t="n"/>
      <c r="F615" s="320" t="n"/>
      <c r="G615" s="284">
        <f>IFERROR((D615-F615)/C615*100,"")</f>
        <v/>
      </c>
      <c r="H615" s="324" t="n"/>
      <c r="I615" s="320" t="n"/>
      <c r="J615" s="325">
        <f>IF(COUNTA(A615:F615)=0,"",IF(OR(C615&lt;0,D615&lt;0,E615&lt;0,F615&lt;0),"ERRO: valor negativo",IF(C615&lt;&gt;SUM(D615:F615),"ERRO: categorias diferem dos respondentes",IF(COUNTIFS($A$5:$A$1200,A615,$B$5:$B$1200,B615)&gt;1,"ERRO: período e curso duplicados","OK"))))</f>
        <v/>
      </c>
    </row>
    <row r="616" ht="15" customHeight="1" s="131">
      <c r="A616" s="320" t="n"/>
      <c r="B616" s="323" t="n"/>
      <c r="C616" s="320" t="n"/>
      <c r="D616" s="320" t="n"/>
      <c r="E616" s="320" t="n"/>
      <c r="F616" s="320" t="n"/>
      <c r="G616" s="284">
        <f>IFERROR((D616-F616)/C616*100,"")</f>
        <v/>
      </c>
      <c r="H616" s="324" t="n"/>
      <c r="I616" s="320" t="n"/>
      <c r="J616" s="325">
        <f>IF(COUNTA(A616:F616)=0,"",IF(OR(C616&lt;0,D616&lt;0,E616&lt;0,F616&lt;0),"ERRO: valor negativo",IF(C616&lt;&gt;SUM(D616:F616),"ERRO: categorias diferem dos respondentes",IF(COUNTIFS($A$5:$A$1200,A616,$B$5:$B$1200,B616)&gt;1,"ERRO: período e curso duplicados","OK"))))</f>
        <v/>
      </c>
    </row>
    <row r="617" ht="15" customHeight="1" s="131">
      <c r="A617" s="320" t="n"/>
      <c r="B617" s="323" t="n"/>
      <c r="C617" s="320" t="n"/>
      <c r="D617" s="320" t="n"/>
      <c r="E617" s="320" t="n"/>
      <c r="F617" s="320" t="n"/>
      <c r="G617" s="284">
        <f>IFERROR((D617-F617)/C617*100,"")</f>
        <v/>
      </c>
      <c r="H617" s="324" t="n"/>
      <c r="I617" s="320" t="n"/>
      <c r="J617" s="325">
        <f>IF(COUNTA(A617:F617)=0,"",IF(OR(C617&lt;0,D617&lt;0,E617&lt;0,F617&lt;0),"ERRO: valor negativo",IF(C617&lt;&gt;SUM(D617:F617),"ERRO: categorias diferem dos respondentes",IF(COUNTIFS($A$5:$A$1200,A617,$B$5:$B$1200,B617)&gt;1,"ERRO: período e curso duplicados","OK"))))</f>
        <v/>
      </c>
    </row>
    <row r="618" ht="15" customHeight="1" s="131">
      <c r="A618" s="320" t="n"/>
      <c r="B618" s="323" t="n"/>
      <c r="C618" s="320" t="n"/>
      <c r="D618" s="320" t="n"/>
      <c r="E618" s="320" t="n"/>
      <c r="F618" s="320" t="n"/>
      <c r="G618" s="284">
        <f>IFERROR((D618-F618)/C618*100,"")</f>
        <v/>
      </c>
      <c r="H618" s="324" t="n"/>
      <c r="I618" s="320" t="n"/>
      <c r="J618" s="325">
        <f>IF(COUNTA(A618:F618)=0,"",IF(OR(C618&lt;0,D618&lt;0,E618&lt;0,F618&lt;0),"ERRO: valor negativo",IF(C618&lt;&gt;SUM(D618:F618),"ERRO: categorias diferem dos respondentes",IF(COUNTIFS($A$5:$A$1200,A618,$B$5:$B$1200,B618)&gt;1,"ERRO: período e curso duplicados","OK"))))</f>
        <v/>
      </c>
    </row>
    <row r="619" ht="15" customHeight="1" s="131">
      <c r="A619" s="320" t="n"/>
      <c r="B619" s="323" t="n"/>
      <c r="C619" s="320" t="n"/>
      <c r="D619" s="320" t="n"/>
      <c r="E619" s="320" t="n"/>
      <c r="F619" s="320" t="n"/>
      <c r="G619" s="284">
        <f>IFERROR((D619-F619)/C619*100,"")</f>
        <v/>
      </c>
      <c r="H619" s="324" t="n"/>
      <c r="I619" s="320" t="n"/>
      <c r="J619" s="325">
        <f>IF(COUNTA(A619:F619)=0,"",IF(OR(C619&lt;0,D619&lt;0,E619&lt;0,F619&lt;0),"ERRO: valor negativo",IF(C619&lt;&gt;SUM(D619:F619),"ERRO: categorias diferem dos respondentes",IF(COUNTIFS($A$5:$A$1200,A619,$B$5:$B$1200,B619)&gt;1,"ERRO: período e curso duplicados","OK"))))</f>
        <v/>
      </c>
    </row>
    <row r="620" ht="15" customHeight="1" s="131">
      <c r="A620" s="320" t="n"/>
      <c r="B620" s="323" t="n"/>
      <c r="C620" s="320" t="n"/>
      <c r="D620" s="320" t="n"/>
      <c r="E620" s="320" t="n"/>
      <c r="F620" s="320" t="n"/>
      <c r="G620" s="284">
        <f>IFERROR((D620-F620)/C620*100,"")</f>
        <v/>
      </c>
      <c r="H620" s="324" t="n"/>
      <c r="I620" s="320" t="n"/>
      <c r="J620" s="325">
        <f>IF(COUNTA(A620:F620)=0,"",IF(OR(C620&lt;0,D620&lt;0,E620&lt;0,F620&lt;0),"ERRO: valor negativo",IF(C620&lt;&gt;SUM(D620:F620),"ERRO: categorias diferem dos respondentes",IF(COUNTIFS($A$5:$A$1200,A620,$B$5:$B$1200,B620)&gt;1,"ERRO: período e curso duplicados","OK"))))</f>
        <v/>
      </c>
    </row>
    <row r="621" ht="15" customHeight="1" s="131">
      <c r="A621" s="320" t="n"/>
      <c r="B621" s="323" t="n"/>
      <c r="C621" s="320" t="n"/>
      <c r="D621" s="320" t="n"/>
      <c r="E621" s="320" t="n"/>
      <c r="F621" s="320" t="n"/>
      <c r="G621" s="284">
        <f>IFERROR((D621-F621)/C621*100,"")</f>
        <v/>
      </c>
      <c r="H621" s="324" t="n"/>
      <c r="I621" s="320" t="n"/>
      <c r="J621" s="325">
        <f>IF(COUNTA(A621:F621)=0,"",IF(OR(C621&lt;0,D621&lt;0,E621&lt;0,F621&lt;0),"ERRO: valor negativo",IF(C621&lt;&gt;SUM(D621:F621),"ERRO: categorias diferem dos respondentes",IF(COUNTIFS($A$5:$A$1200,A621,$B$5:$B$1200,B621)&gt;1,"ERRO: período e curso duplicados","OK"))))</f>
        <v/>
      </c>
    </row>
    <row r="622" ht="15" customHeight="1" s="131">
      <c r="A622" s="320" t="n"/>
      <c r="B622" s="323" t="n"/>
      <c r="C622" s="320" t="n"/>
      <c r="D622" s="320" t="n"/>
      <c r="E622" s="320" t="n"/>
      <c r="F622" s="320" t="n"/>
      <c r="G622" s="284">
        <f>IFERROR((D622-F622)/C622*100,"")</f>
        <v/>
      </c>
      <c r="H622" s="324" t="n"/>
      <c r="I622" s="320" t="n"/>
      <c r="J622" s="325">
        <f>IF(COUNTA(A622:F622)=0,"",IF(OR(C622&lt;0,D622&lt;0,E622&lt;0,F622&lt;0),"ERRO: valor negativo",IF(C622&lt;&gt;SUM(D622:F622),"ERRO: categorias diferem dos respondentes",IF(COUNTIFS($A$5:$A$1200,A622,$B$5:$B$1200,B622)&gt;1,"ERRO: período e curso duplicados","OK"))))</f>
        <v/>
      </c>
    </row>
    <row r="623" ht="15" customHeight="1" s="131">
      <c r="A623" s="320" t="n"/>
      <c r="B623" s="323" t="n"/>
      <c r="C623" s="320" t="n"/>
      <c r="D623" s="320" t="n"/>
      <c r="E623" s="320" t="n"/>
      <c r="F623" s="320" t="n"/>
      <c r="G623" s="284">
        <f>IFERROR((D623-F623)/C623*100,"")</f>
        <v/>
      </c>
      <c r="H623" s="324" t="n"/>
      <c r="I623" s="320" t="n"/>
      <c r="J623" s="325">
        <f>IF(COUNTA(A623:F623)=0,"",IF(OR(C623&lt;0,D623&lt;0,E623&lt;0,F623&lt;0),"ERRO: valor negativo",IF(C623&lt;&gt;SUM(D623:F623),"ERRO: categorias diferem dos respondentes",IF(COUNTIFS($A$5:$A$1200,A623,$B$5:$B$1200,B623)&gt;1,"ERRO: período e curso duplicados","OK"))))</f>
        <v/>
      </c>
    </row>
    <row r="624" ht="15" customHeight="1" s="131">
      <c r="A624" s="320" t="n"/>
      <c r="B624" s="323" t="n"/>
      <c r="C624" s="320" t="n"/>
      <c r="D624" s="320" t="n"/>
      <c r="E624" s="320" t="n"/>
      <c r="F624" s="320" t="n"/>
      <c r="G624" s="284">
        <f>IFERROR((D624-F624)/C624*100,"")</f>
        <v/>
      </c>
      <c r="H624" s="324" t="n"/>
      <c r="I624" s="320" t="n"/>
      <c r="J624" s="325">
        <f>IF(COUNTA(A624:F624)=0,"",IF(OR(C624&lt;0,D624&lt;0,E624&lt;0,F624&lt;0),"ERRO: valor negativo",IF(C624&lt;&gt;SUM(D624:F624),"ERRO: categorias diferem dos respondentes",IF(COUNTIFS($A$5:$A$1200,A624,$B$5:$B$1200,B624)&gt;1,"ERRO: período e curso duplicados","OK"))))</f>
        <v/>
      </c>
    </row>
    <row r="625" ht="15" customHeight="1" s="131">
      <c r="A625" s="320" t="n"/>
      <c r="B625" s="323" t="n"/>
      <c r="C625" s="320" t="n"/>
      <c r="D625" s="320" t="n"/>
      <c r="E625" s="320" t="n"/>
      <c r="F625" s="320" t="n"/>
      <c r="G625" s="284">
        <f>IFERROR((D625-F625)/C625*100,"")</f>
        <v/>
      </c>
      <c r="H625" s="324" t="n"/>
      <c r="I625" s="320" t="n"/>
      <c r="J625" s="325">
        <f>IF(COUNTA(A625:F625)=0,"",IF(OR(C625&lt;0,D625&lt;0,E625&lt;0,F625&lt;0),"ERRO: valor negativo",IF(C625&lt;&gt;SUM(D625:F625),"ERRO: categorias diferem dos respondentes",IF(COUNTIFS($A$5:$A$1200,A625,$B$5:$B$1200,B625)&gt;1,"ERRO: período e curso duplicados","OK"))))</f>
        <v/>
      </c>
    </row>
    <row r="626" ht="15" customHeight="1" s="131">
      <c r="A626" s="320" t="n"/>
      <c r="B626" s="323" t="n"/>
      <c r="C626" s="320" t="n"/>
      <c r="D626" s="320" t="n"/>
      <c r="E626" s="320" t="n"/>
      <c r="F626" s="320" t="n"/>
      <c r="G626" s="284">
        <f>IFERROR((D626-F626)/C626*100,"")</f>
        <v/>
      </c>
      <c r="H626" s="324" t="n"/>
      <c r="I626" s="320" t="n"/>
      <c r="J626" s="325">
        <f>IF(COUNTA(A626:F626)=0,"",IF(OR(C626&lt;0,D626&lt;0,E626&lt;0,F626&lt;0),"ERRO: valor negativo",IF(C626&lt;&gt;SUM(D626:F626),"ERRO: categorias diferem dos respondentes",IF(COUNTIFS($A$5:$A$1200,A626,$B$5:$B$1200,B626)&gt;1,"ERRO: período e curso duplicados","OK"))))</f>
        <v/>
      </c>
    </row>
    <row r="627" ht="15" customHeight="1" s="131">
      <c r="A627" s="320" t="n"/>
      <c r="B627" s="323" t="n"/>
      <c r="C627" s="320" t="n"/>
      <c r="D627" s="320" t="n"/>
      <c r="E627" s="320" t="n"/>
      <c r="F627" s="320" t="n"/>
      <c r="G627" s="284">
        <f>IFERROR((D627-F627)/C627*100,"")</f>
        <v/>
      </c>
      <c r="H627" s="324" t="n"/>
      <c r="I627" s="320" t="n"/>
      <c r="J627" s="325">
        <f>IF(COUNTA(A627:F627)=0,"",IF(OR(C627&lt;0,D627&lt;0,E627&lt;0,F627&lt;0),"ERRO: valor negativo",IF(C627&lt;&gt;SUM(D627:F627),"ERRO: categorias diferem dos respondentes",IF(COUNTIFS($A$5:$A$1200,A627,$B$5:$B$1200,B627)&gt;1,"ERRO: período e curso duplicados","OK"))))</f>
        <v/>
      </c>
    </row>
    <row r="628" ht="15" customHeight="1" s="131">
      <c r="A628" s="320" t="n"/>
      <c r="B628" s="323" t="n"/>
      <c r="C628" s="320" t="n"/>
      <c r="D628" s="320" t="n"/>
      <c r="E628" s="320" t="n"/>
      <c r="F628" s="320" t="n"/>
      <c r="G628" s="284">
        <f>IFERROR((D628-F628)/C628*100,"")</f>
        <v/>
      </c>
      <c r="H628" s="324" t="n"/>
      <c r="I628" s="320" t="n"/>
      <c r="J628" s="325">
        <f>IF(COUNTA(A628:F628)=0,"",IF(OR(C628&lt;0,D628&lt;0,E628&lt;0,F628&lt;0),"ERRO: valor negativo",IF(C628&lt;&gt;SUM(D628:F628),"ERRO: categorias diferem dos respondentes",IF(COUNTIFS($A$5:$A$1200,A628,$B$5:$B$1200,B628)&gt;1,"ERRO: período e curso duplicados","OK"))))</f>
        <v/>
      </c>
    </row>
    <row r="629" ht="15" customHeight="1" s="131">
      <c r="A629" s="320" t="n"/>
      <c r="B629" s="323" t="n"/>
      <c r="C629" s="320" t="n"/>
      <c r="D629" s="320" t="n"/>
      <c r="E629" s="320" t="n"/>
      <c r="F629" s="320" t="n"/>
      <c r="G629" s="284">
        <f>IFERROR((D629-F629)/C629*100,"")</f>
        <v/>
      </c>
      <c r="H629" s="324" t="n"/>
      <c r="I629" s="320" t="n"/>
      <c r="J629" s="325">
        <f>IF(COUNTA(A629:F629)=0,"",IF(OR(C629&lt;0,D629&lt;0,E629&lt;0,F629&lt;0),"ERRO: valor negativo",IF(C629&lt;&gt;SUM(D629:F629),"ERRO: categorias diferem dos respondentes",IF(COUNTIFS($A$5:$A$1200,A629,$B$5:$B$1200,B629)&gt;1,"ERRO: período e curso duplicados","OK"))))</f>
        <v/>
      </c>
    </row>
    <row r="630" ht="15" customHeight="1" s="131">
      <c r="A630" s="320" t="n"/>
      <c r="B630" s="323" t="n"/>
      <c r="C630" s="320" t="n"/>
      <c r="D630" s="320" t="n"/>
      <c r="E630" s="320" t="n"/>
      <c r="F630" s="320" t="n"/>
      <c r="G630" s="284">
        <f>IFERROR((D630-F630)/C630*100,"")</f>
        <v/>
      </c>
      <c r="H630" s="324" t="n"/>
      <c r="I630" s="320" t="n"/>
      <c r="J630" s="325">
        <f>IF(COUNTA(A630:F630)=0,"",IF(OR(C630&lt;0,D630&lt;0,E630&lt;0,F630&lt;0),"ERRO: valor negativo",IF(C630&lt;&gt;SUM(D630:F630),"ERRO: categorias diferem dos respondentes",IF(COUNTIFS($A$5:$A$1200,A630,$B$5:$B$1200,B630)&gt;1,"ERRO: período e curso duplicados","OK"))))</f>
        <v/>
      </c>
    </row>
    <row r="631" ht="15" customHeight="1" s="131">
      <c r="A631" s="320" t="n"/>
      <c r="B631" s="323" t="n"/>
      <c r="C631" s="320" t="n"/>
      <c r="D631" s="320" t="n"/>
      <c r="E631" s="320" t="n"/>
      <c r="F631" s="320" t="n"/>
      <c r="G631" s="284">
        <f>IFERROR((D631-F631)/C631*100,"")</f>
        <v/>
      </c>
      <c r="H631" s="324" t="n"/>
      <c r="I631" s="320" t="n"/>
      <c r="J631" s="325">
        <f>IF(COUNTA(A631:F631)=0,"",IF(OR(C631&lt;0,D631&lt;0,E631&lt;0,F631&lt;0),"ERRO: valor negativo",IF(C631&lt;&gt;SUM(D631:F631),"ERRO: categorias diferem dos respondentes",IF(COUNTIFS($A$5:$A$1200,A631,$B$5:$B$1200,B631)&gt;1,"ERRO: período e curso duplicados","OK"))))</f>
        <v/>
      </c>
    </row>
    <row r="632" ht="15" customHeight="1" s="131">
      <c r="A632" s="320" t="n"/>
      <c r="B632" s="323" t="n"/>
      <c r="C632" s="320" t="n"/>
      <c r="D632" s="320" t="n"/>
      <c r="E632" s="320" t="n"/>
      <c r="F632" s="320" t="n"/>
      <c r="G632" s="284">
        <f>IFERROR((D632-F632)/C632*100,"")</f>
        <v/>
      </c>
      <c r="H632" s="324" t="n"/>
      <c r="I632" s="320" t="n"/>
      <c r="J632" s="325">
        <f>IF(COUNTA(A632:F632)=0,"",IF(OR(C632&lt;0,D632&lt;0,E632&lt;0,F632&lt;0),"ERRO: valor negativo",IF(C632&lt;&gt;SUM(D632:F632),"ERRO: categorias diferem dos respondentes",IF(COUNTIFS($A$5:$A$1200,A632,$B$5:$B$1200,B632)&gt;1,"ERRO: período e curso duplicados","OK"))))</f>
        <v/>
      </c>
    </row>
    <row r="633" ht="15" customHeight="1" s="131">
      <c r="A633" s="320" t="n"/>
      <c r="B633" s="323" t="n"/>
      <c r="C633" s="320" t="n"/>
      <c r="D633" s="320" t="n"/>
      <c r="E633" s="320" t="n"/>
      <c r="F633" s="320" t="n"/>
      <c r="G633" s="284">
        <f>IFERROR((D633-F633)/C633*100,"")</f>
        <v/>
      </c>
      <c r="H633" s="324" t="n"/>
      <c r="I633" s="320" t="n"/>
      <c r="J633" s="325">
        <f>IF(COUNTA(A633:F633)=0,"",IF(OR(C633&lt;0,D633&lt;0,E633&lt;0,F633&lt;0),"ERRO: valor negativo",IF(C633&lt;&gt;SUM(D633:F633),"ERRO: categorias diferem dos respondentes",IF(COUNTIFS($A$5:$A$1200,A633,$B$5:$B$1200,B633)&gt;1,"ERRO: período e curso duplicados","OK"))))</f>
        <v/>
      </c>
    </row>
    <row r="634" ht="15" customHeight="1" s="131">
      <c r="A634" s="320" t="n"/>
      <c r="B634" s="323" t="n"/>
      <c r="C634" s="320" t="n"/>
      <c r="D634" s="320" t="n"/>
      <c r="E634" s="320" t="n"/>
      <c r="F634" s="320" t="n"/>
      <c r="G634" s="284">
        <f>IFERROR((D634-F634)/C634*100,"")</f>
        <v/>
      </c>
      <c r="H634" s="324" t="n"/>
      <c r="I634" s="320" t="n"/>
      <c r="J634" s="325">
        <f>IF(COUNTA(A634:F634)=0,"",IF(OR(C634&lt;0,D634&lt;0,E634&lt;0,F634&lt;0),"ERRO: valor negativo",IF(C634&lt;&gt;SUM(D634:F634),"ERRO: categorias diferem dos respondentes",IF(COUNTIFS($A$5:$A$1200,A634,$B$5:$B$1200,B634)&gt;1,"ERRO: período e curso duplicados","OK"))))</f>
        <v/>
      </c>
    </row>
    <row r="635" ht="15" customHeight="1" s="131">
      <c r="A635" s="320" t="n"/>
      <c r="B635" s="323" t="n"/>
      <c r="C635" s="320" t="n"/>
      <c r="D635" s="320" t="n"/>
      <c r="E635" s="320" t="n"/>
      <c r="F635" s="320" t="n"/>
      <c r="G635" s="284">
        <f>IFERROR((D635-F635)/C635*100,"")</f>
        <v/>
      </c>
      <c r="H635" s="324" t="n"/>
      <c r="I635" s="320" t="n"/>
      <c r="J635" s="325">
        <f>IF(COUNTA(A635:F635)=0,"",IF(OR(C635&lt;0,D635&lt;0,E635&lt;0,F635&lt;0),"ERRO: valor negativo",IF(C635&lt;&gt;SUM(D635:F635),"ERRO: categorias diferem dos respondentes",IF(COUNTIFS($A$5:$A$1200,A635,$B$5:$B$1200,B635)&gt;1,"ERRO: período e curso duplicados","OK"))))</f>
        <v/>
      </c>
    </row>
    <row r="636" ht="15" customHeight="1" s="131">
      <c r="A636" s="320" t="n"/>
      <c r="B636" s="323" t="n"/>
      <c r="C636" s="320" t="n"/>
      <c r="D636" s="320" t="n"/>
      <c r="E636" s="320" t="n"/>
      <c r="F636" s="320" t="n"/>
      <c r="G636" s="284">
        <f>IFERROR((D636-F636)/C636*100,"")</f>
        <v/>
      </c>
      <c r="H636" s="324" t="n"/>
      <c r="I636" s="320" t="n"/>
      <c r="J636" s="325">
        <f>IF(COUNTA(A636:F636)=0,"",IF(OR(C636&lt;0,D636&lt;0,E636&lt;0,F636&lt;0),"ERRO: valor negativo",IF(C636&lt;&gt;SUM(D636:F636),"ERRO: categorias diferem dos respondentes",IF(COUNTIFS($A$5:$A$1200,A636,$B$5:$B$1200,B636)&gt;1,"ERRO: período e curso duplicados","OK"))))</f>
        <v/>
      </c>
    </row>
    <row r="637" ht="15" customHeight="1" s="131">
      <c r="A637" s="320" t="n"/>
      <c r="B637" s="323" t="n"/>
      <c r="C637" s="320" t="n"/>
      <c r="D637" s="320" t="n"/>
      <c r="E637" s="320" t="n"/>
      <c r="F637" s="320" t="n"/>
      <c r="G637" s="284">
        <f>IFERROR((D637-F637)/C637*100,"")</f>
        <v/>
      </c>
      <c r="H637" s="324" t="n"/>
      <c r="I637" s="320" t="n"/>
      <c r="J637" s="325">
        <f>IF(COUNTA(A637:F637)=0,"",IF(OR(C637&lt;0,D637&lt;0,E637&lt;0,F637&lt;0),"ERRO: valor negativo",IF(C637&lt;&gt;SUM(D637:F637),"ERRO: categorias diferem dos respondentes",IF(COUNTIFS($A$5:$A$1200,A637,$B$5:$B$1200,B637)&gt;1,"ERRO: período e curso duplicados","OK"))))</f>
        <v/>
      </c>
    </row>
    <row r="638" ht="15" customHeight="1" s="131">
      <c r="A638" s="320" t="n"/>
      <c r="B638" s="323" t="n"/>
      <c r="C638" s="320" t="n"/>
      <c r="D638" s="320" t="n"/>
      <c r="E638" s="320" t="n"/>
      <c r="F638" s="320" t="n"/>
      <c r="G638" s="284">
        <f>IFERROR((D638-F638)/C638*100,"")</f>
        <v/>
      </c>
      <c r="H638" s="324" t="n"/>
      <c r="I638" s="320" t="n"/>
      <c r="J638" s="325">
        <f>IF(COUNTA(A638:F638)=0,"",IF(OR(C638&lt;0,D638&lt;0,E638&lt;0,F638&lt;0),"ERRO: valor negativo",IF(C638&lt;&gt;SUM(D638:F638),"ERRO: categorias diferem dos respondentes",IF(COUNTIFS($A$5:$A$1200,A638,$B$5:$B$1200,B638)&gt;1,"ERRO: período e curso duplicados","OK"))))</f>
        <v/>
      </c>
    </row>
    <row r="639" ht="15" customHeight="1" s="131">
      <c r="A639" s="320" t="n"/>
      <c r="B639" s="323" t="n"/>
      <c r="C639" s="320" t="n"/>
      <c r="D639" s="320" t="n"/>
      <c r="E639" s="320" t="n"/>
      <c r="F639" s="320" t="n"/>
      <c r="G639" s="284">
        <f>IFERROR((D639-F639)/C639*100,"")</f>
        <v/>
      </c>
      <c r="H639" s="324" t="n"/>
      <c r="I639" s="320" t="n"/>
      <c r="J639" s="325">
        <f>IF(COUNTA(A639:F639)=0,"",IF(OR(C639&lt;0,D639&lt;0,E639&lt;0,F639&lt;0),"ERRO: valor negativo",IF(C639&lt;&gt;SUM(D639:F639),"ERRO: categorias diferem dos respondentes",IF(COUNTIFS($A$5:$A$1200,A639,$B$5:$B$1200,B639)&gt;1,"ERRO: período e curso duplicados","OK"))))</f>
        <v/>
      </c>
    </row>
    <row r="640" ht="15" customHeight="1" s="131">
      <c r="A640" s="320" t="n"/>
      <c r="B640" s="323" t="n"/>
      <c r="C640" s="320" t="n"/>
      <c r="D640" s="320" t="n"/>
      <c r="E640" s="320" t="n"/>
      <c r="F640" s="320" t="n"/>
      <c r="G640" s="284">
        <f>IFERROR((D640-F640)/C640*100,"")</f>
        <v/>
      </c>
      <c r="H640" s="324" t="n"/>
      <c r="I640" s="320" t="n"/>
      <c r="J640" s="325">
        <f>IF(COUNTA(A640:F640)=0,"",IF(OR(C640&lt;0,D640&lt;0,E640&lt;0,F640&lt;0),"ERRO: valor negativo",IF(C640&lt;&gt;SUM(D640:F640),"ERRO: categorias diferem dos respondentes",IF(COUNTIFS($A$5:$A$1200,A640,$B$5:$B$1200,B640)&gt;1,"ERRO: período e curso duplicados","OK"))))</f>
        <v/>
      </c>
    </row>
    <row r="641" ht="15" customHeight="1" s="131">
      <c r="A641" s="320" t="n"/>
      <c r="B641" s="323" t="n"/>
      <c r="C641" s="320" t="n"/>
      <c r="D641" s="320" t="n"/>
      <c r="E641" s="320" t="n"/>
      <c r="F641" s="320" t="n"/>
      <c r="G641" s="284">
        <f>IFERROR((D641-F641)/C641*100,"")</f>
        <v/>
      </c>
      <c r="H641" s="324" t="n"/>
      <c r="I641" s="320" t="n"/>
      <c r="J641" s="325">
        <f>IF(COUNTA(A641:F641)=0,"",IF(OR(C641&lt;0,D641&lt;0,E641&lt;0,F641&lt;0),"ERRO: valor negativo",IF(C641&lt;&gt;SUM(D641:F641),"ERRO: categorias diferem dos respondentes",IF(COUNTIFS($A$5:$A$1200,A641,$B$5:$B$1200,B641)&gt;1,"ERRO: período e curso duplicados","OK"))))</f>
        <v/>
      </c>
    </row>
    <row r="642" ht="15" customHeight="1" s="131">
      <c r="A642" s="320" t="n"/>
      <c r="B642" s="323" t="n"/>
      <c r="C642" s="320" t="n"/>
      <c r="D642" s="320" t="n"/>
      <c r="E642" s="320" t="n"/>
      <c r="F642" s="320" t="n"/>
      <c r="G642" s="284">
        <f>IFERROR((D642-F642)/C642*100,"")</f>
        <v/>
      </c>
      <c r="H642" s="324" t="n"/>
      <c r="I642" s="320" t="n"/>
      <c r="J642" s="325">
        <f>IF(COUNTA(A642:F642)=0,"",IF(OR(C642&lt;0,D642&lt;0,E642&lt;0,F642&lt;0),"ERRO: valor negativo",IF(C642&lt;&gt;SUM(D642:F642),"ERRO: categorias diferem dos respondentes",IF(COUNTIFS($A$5:$A$1200,A642,$B$5:$B$1200,B642)&gt;1,"ERRO: período e curso duplicados","OK"))))</f>
        <v/>
      </c>
    </row>
    <row r="643" ht="15" customHeight="1" s="131">
      <c r="A643" s="320" t="n"/>
      <c r="B643" s="323" t="n"/>
      <c r="C643" s="320" t="n"/>
      <c r="D643" s="320" t="n"/>
      <c r="E643" s="320" t="n"/>
      <c r="F643" s="320" t="n"/>
      <c r="G643" s="284">
        <f>IFERROR((D643-F643)/C643*100,"")</f>
        <v/>
      </c>
      <c r="H643" s="324" t="n"/>
      <c r="I643" s="320" t="n"/>
      <c r="J643" s="325">
        <f>IF(COUNTA(A643:F643)=0,"",IF(OR(C643&lt;0,D643&lt;0,E643&lt;0,F643&lt;0),"ERRO: valor negativo",IF(C643&lt;&gt;SUM(D643:F643),"ERRO: categorias diferem dos respondentes",IF(COUNTIFS($A$5:$A$1200,A643,$B$5:$B$1200,B643)&gt;1,"ERRO: período e curso duplicados","OK"))))</f>
        <v/>
      </c>
    </row>
    <row r="644" ht="15" customHeight="1" s="131">
      <c r="A644" s="320" t="n"/>
      <c r="B644" s="323" t="n"/>
      <c r="C644" s="320" t="n"/>
      <c r="D644" s="320" t="n"/>
      <c r="E644" s="320" t="n"/>
      <c r="F644" s="320" t="n"/>
      <c r="G644" s="284">
        <f>IFERROR((D644-F644)/C644*100,"")</f>
        <v/>
      </c>
      <c r="H644" s="324" t="n"/>
      <c r="I644" s="320" t="n"/>
      <c r="J644" s="325">
        <f>IF(COUNTA(A644:F644)=0,"",IF(OR(C644&lt;0,D644&lt;0,E644&lt;0,F644&lt;0),"ERRO: valor negativo",IF(C644&lt;&gt;SUM(D644:F644),"ERRO: categorias diferem dos respondentes",IF(COUNTIFS($A$5:$A$1200,A644,$B$5:$B$1200,B644)&gt;1,"ERRO: período e curso duplicados","OK"))))</f>
        <v/>
      </c>
    </row>
    <row r="645" ht="15" customHeight="1" s="131">
      <c r="A645" s="320" t="n"/>
      <c r="B645" s="323" t="n"/>
      <c r="C645" s="320" t="n"/>
      <c r="D645" s="320" t="n"/>
      <c r="E645" s="320" t="n"/>
      <c r="F645" s="320" t="n"/>
      <c r="G645" s="284">
        <f>IFERROR((D645-F645)/C645*100,"")</f>
        <v/>
      </c>
      <c r="H645" s="324" t="n"/>
      <c r="I645" s="320" t="n"/>
      <c r="J645" s="325">
        <f>IF(COUNTA(A645:F645)=0,"",IF(OR(C645&lt;0,D645&lt;0,E645&lt;0,F645&lt;0),"ERRO: valor negativo",IF(C645&lt;&gt;SUM(D645:F645),"ERRO: categorias diferem dos respondentes",IF(COUNTIFS($A$5:$A$1200,A645,$B$5:$B$1200,B645)&gt;1,"ERRO: período e curso duplicados","OK"))))</f>
        <v/>
      </c>
    </row>
    <row r="646" ht="15" customHeight="1" s="131">
      <c r="A646" s="320" t="n"/>
      <c r="B646" s="323" t="n"/>
      <c r="C646" s="320" t="n"/>
      <c r="D646" s="320" t="n"/>
      <c r="E646" s="320" t="n"/>
      <c r="F646" s="320" t="n"/>
      <c r="G646" s="284">
        <f>IFERROR((D646-F646)/C646*100,"")</f>
        <v/>
      </c>
      <c r="H646" s="324" t="n"/>
      <c r="I646" s="320" t="n"/>
      <c r="J646" s="325">
        <f>IF(COUNTA(A646:F646)=0,"",IF(OR(C646&lt;0,D646&lt;0,E646&lt;0,F646&lt;0),"ERRO: valor negativo",IF(C646&lt;&gt;SUM(D646:F646),"ERRO: categorias diferem dos respondentes",IF(COUNTIFS($A$5:$A$1200,A646,$B$5:$B$1200,B646)&gt;1,"ERRO: período e curso duplicados","OK"))))</f>
        <v/>
      </c>
    </row>
    <row r="647" ht="15" customHeight="1" s="131">
      <c r="A647" s="320" t="n"/>
      <c r="B647" s="323" t="n"/>
      <c r="C647" s="320" t="n"/>
      <c r="D647" s="320" t="n"/>
      <c r="E647" s="320" t="n"/>
      <c r="F647" s="320" t="n"/>
      <c r="G647" s="284">
        <f>IFERROR((D647-F647)/C647*100,"")</f>
        <v/>
      </c>
      <c r="H647" s="324" t="n"/>
      <c r="I647" s="320" t="n"/>
      <c r="J647" s="325">
        <f>IF(COUNTA(A647:F647)=0,"",IF(OR(C647&lt;0,D647&lt;0,E647&lt;0,F647&lt;0),"ERRO: valor negativo",IF(C647&lt;&gt;SUM(D647:F647),"ERRO: categorias diferem dos respondentes",IF(COUNTIFS($A$5:$A$1200,A647,$B$5:$B$1200,B647)&gt;1,"ERRO: período e curso duplicados","OK"))))</f>
        <v/>
      </c>
    </row>
    <row r="648" ht="15" customHeight="1" s="131">
      <c r="A648" s="320" t="n"/>
      <c r="B648" s="323" t="n"/>
      <c r="C648" s="320" t="n"/>
      <c r="D648" s="320" t="n"/>
      <c r="E648" s="320" t="n"/>
      <c r="F648" s="320" t="n"/>
      <c r="G648" s="284">
        <f>IFERROR((D648-F648)/C648*100,"")</f>
        <v/>
      </c>
      <c r="H648" s="324" t="n"/>
      <c r="I648" s="320" t="n"/>
      <c r="J648" s="325">
        <f>IF(COUNTA(A648:F648)=0,"",IF(OR(C648&lt;0,D648&lt;0,E648&lt;0,F648&lt;0),"ERRO: valor negativo",IF(C648&lt;&gt;SUM(D648:F648),"ERRO: categorias diferem dos respondentes",IF(COUNTIFS($A$5:$A$1200,A648,$B$5:$B$1200,B648)&gt;1,"ERRO: período e curso duplicados","OK"))))</f>
        <v/>
      </c>
    </row>
    <row r="649" ht="15" customHeight="1" s="131">
      <c r="A649" s="320" t="n"/>
      <c r="B649" s="323" t="n"/>
      <c r="C649" s="320" t="n"/>
      <c r="D649" s="320" t="n"/>
      <c r="E649" s="320" t="n"/>
      <c r="F649" s="320" t="n"/>
      <c r="G649" s="284">
        <f>IFERROR((D649-F649)/C649*100,"")</f>
        <v/>
      </c>
      <c r="H649" s="324" t="n"/>
      <c r="I649" s="320" t="n"/>
      <c r="J649" s="325">
        <f>IF(COUNTA(A649:F649)=0,"",IF(OR(C649&lt;0,D649&lt;0,E649&lt;0,F649&lt;0),"ERRO: valor negativo",IF(C649&lt;&gt;SUM(D649:F649),"ERRO: categorias diferem dos respondentes",IF(COUNTIFS($A$5:$A$1200,A649,$B$5:$B$1200,B649)&gt;1,"ERRO: período e curso duplicados","OK"))))</f>
        <v/>
      </c>
    </row>
    <row r="650" ht="15" customHeight="1" s="131">
      <c r="A650" s="320" t="n"/>
      <c r="B650" s="323" t="n"/>
      <c r="C650" s="320" t="n"/>
      <c r="D650" s="320" t="n"/>
      <c r="E650" s="320" t="n"/>
      <c r="F650" s="320" t="n"/>
      <c r="G650" s="284">
        <f>IFERROR((D650-F650)/C650*100,"")</f>
        <v/>
      </c>
      <c r="H650" s="324" t="n"/>
      <c r="I650" s="320" t="n"/>
      <c r="J650" s="325">
        <f>IF(COUNTA(A650:F650)=0,"",IF(OR(C650&lt;0,D650&lt;0,E650&lt;0,F650&lt;0),"ERRO: valor negativo",IF(C650&lt;&gt;SUM(D650:F650),"ERRO: categorias diferem dos respondentes",IF(COUNTIFS($A$5:$A$1200,A650,$B$5:$B$1200,B650)&gt;1,"ERRO: período e curso duplicados","OK"))))</f>
        <v/>
      </c>
    </row>
    <row r="651" ht="15" customHeight="1" s="131">
      <c r="A651" s="320" t="n"/>
      <c r="B651" s="323" t="n"/>
      <c r="C651" s="320" t="n"/>
      <c r="D651" s="320" t="n"/>
      <c r="E651" s="320" t="n"/>
      <c r="F651" s="320" t="n"/>
      <c r="G651" s="284">
        <f>IFERROR((D651-F651)/C651*100,"")</f>
        <v/>
      </c>
      <c r="H651" s="324" t="n"/>
      <c r="I651" s="320" t="n"/>
      <c r="J651" s="325">
        <f>IF(COUNTA(A651:F651)=0,"",IF(OR(C651&lt;0,D651&lt;0,E651&lt;0,F651&lt;0),"ERRO: valor negativo",IF(C651&lt;&gt;SUM(D651:F651),"ERRO: categorias diferem dos respondentes",IF(COUNTIFS($A$5:$A$1200,A651,$B$5:$B$1200,B651)&gt;1,"ERRO: período e curso duplicados","OK"))))</f>
        <v/>
      </c>
    </row>
    <row r="652" ht="15" customHeight="1" s="131">
      <c r="A652" s="320" t="n"/>
      <c r="B652" s="323" t="n"/>
      <c r="C652" s="320" t="n"/>
      <c r="D652" s="320" t="n"/>
      <c r="E652" s="320" t="n"/>
      <c r="F652" s="320" t="n"/>
      <c r="G652" s="284">
        <f>IFERROR((D652-F652)/C652*100,"")</f>
        <v/>
      </c>
      <c r="H652" s="324" t="n"/>
      <c r="I652" s="320" t="n"/>
      <c r="J652" s="325">
        <f>IF(COUNTA(A652:F652)=0,"",IF(OR(C652&lt;0,D652&lt;0,E652&lt;0,F652&lt;0),"ERRO: valor negativo",IF(C652&lt;&gt;SUM(D652:F652),"ERRO: categorias diferem dos respondentes",IF(COUNTIFS($A$5:$A$1200,A652,$B$5:$B$1200,B652)&gt;1,"ERRO: período e curso duplicados","OK"))))</f>
        <v/>
      </c>
    </row>
    <row r="653" ht="15" customHeight="1" s="131">
      <c r="A653" s="320" t="n"/>
      <c r="B653" s="323" t="n"/>
      <c r="C653" s="320" t="n"/>
      <c r="D653" s="320" t="n"/>
      <c r="E653" s="320" t="n"/>
      <c r="F653" s="320" t="n"/>
      <c r="G653" s="284">
        <f>IFERROR((D653-F653)/C653*100,"")</f>
        <v/>
      </c>
      <c r="H653" s="324" t="n"/>
      <c r="I653" s="320" t="n"/>
      <c r="J653" s="325">
        <f>IF(COUNTA(A653:F653)=0,"",IF(OR(C653&lt;0,D653&lt;0,E653&lt;0,F653&lt;0),"ERRO: valor negativo",IF(C653&lt;&gt;SUM(D653:F653),"ERRO: categorias diferem dos respondentes",IF(COUNTIFS($A$5:$A$1200,A653,$B$5:$B$1200,B653)&gt;1,"ERRO: período e curso duplicados","OK"))))</f>
        <v/>
      </c>
    </row>
    <row r="654" ht="15" customHeight="1" s="131">
      <c r="A654" s="320" t="n"/>
      <c r="B654" s="323" t="n"/>
      <c r="C654" s="320" t="n"/>
      <c r="D654" s="320" t="n"/>
      <c r="E654" s="320" t="n"/>
      <c r="F654" s="320" t="n"/>
      <c r="G654" s="284">
        <f>IFERROR((D654-F654)/C654*100,"")</f>
        <v/>
      </c>
      <c r="H654" s="324" t="n"/>
      <c r="I654" s="320" t="n"/>
      <c r="J654" s="325">
        <f>IF(COUNTA(A654:F654)=0,"",IF(OR(C654&lt;0,D654&lt;0,E654&lt;0,F654&lt;0),"ERRO: valor negativo",IF(C654&lt;&gt;SUM(D654:F654),"ERRO: categorias diferem dos respondentes",IF(COUNTIFS($A$5:$A$1200,A654,$B$5:$B$1200,B654)&gt;1,"ERRO: período e curso duplicados","OK"))))</f>
        <v/>
      </c>
    </row>
    <row r="655" ht="15" customHeight="1" s="131">
      <c r="A655" s="320" t="n"/>
      <c r="B655" s="323" t="n"/>
      <c r="C655" s="320" t="n"/>
      <c r="D655" s="320" t="n"/>
      <c r="E655" s="320" t="n"/>
      <c r="F655" s="320" t="n"/>
      <c r="G655" s="284">
        <f>IFERROR((D655-F655)/C655*100,"")</f>
        <v/>
      </c>
      <c r="H655" s="324" t="n"/>
      <c r="I655" s="320" t="n"/>
      <c r="J655" s="325">
        <f>IF(COUNTA(A655:F655)=0,"",IF(OR(C655&lt;0,D655&lt;0,E655&lt;0,F655&lt;0),"ERRO: valor negativo",IF(C655&lt;&gt;SUM(D655:F655),"ERRO: categorias diferem dos respondentes",IF(COUNTIFS($A$5:$A$1200,A655,$B$5:$B$1200,B655)&gt;1,"ERRO: período e curso duplicados","OK"))))</f>
        <v/>
      </c>
    </row>
    <row r="656" ht="15" customHeight="1" s="131">
      <c r="A656" s="320" t="n"/>
      <c r="B656" s="323" t="n"/>
      <c r="C656" s="320" t="n"/>
      <c r="D656" s="320" t="n"/>
      <c r="E656" s="320" t="n"/>
      <c r="F656" s="320" t="n"/>
      <c r="G656" s="284">
        <f>IFERROR((D656-F656)/C656*100,"")</f>
        <v/>
      </c>
      <c r="H656" s="324" t="n"/>
      <c r="I656" s="320" t="n"/>
      <c r="J656" s="325">
        <f>IF(COUNTA(A656:F656)=0,"",IF(OR(C656&lt;0,D656&lt;0,E656&lt;0,F656&lt;0),"ERRO: valor negativo",IF(C656&lt;&gt;SUM(D656:F656),"ERRO: categorias diferem dos respondentes",IF(COUNTIFS($A$5:$A$1200,A656,$B$5:$B$1200,B656)&gt;1,"ERRO: período e curso duplicados","OK"))))</f>
        <v/>
      </c>
    </row>
    <row r="657" ht="15" customHeight="1" s="131">
      <c r="A657" s="320" t="n"/>
      <c r="B657" s="323" t="n"/>
      <c r="C657" s="320" t="n"/>
      <c r="D657" s="320" t="n"/>
      <c r="E657" s="320" t="n"/>
      <c r="F657" s="320" t="n"/>
      <c r="G657" s="284">
        <f>IFERROR((D657-F657)/C657*100,"")</f>
        <v/>
      </c>
      <c r="H657" s="324" t="n"/>
      <c r="I657" s="320" t="n"/>
      <c r="J657" s="325">
        <f>IF(COUNTA(A657:F657)=0,"",IF(OR(C657&lt;0,D657&lt;0,E657&lt;0,F657&lt;0),"ERRO: valor negativo",IF(C657&lt;&gt;SUM(D657:F657),"ERRO: categorias diferem dos respondentes",IF(COUNTIFS($A$5:$A$1200,A657,$B$5:$B$1200,B657)&gt;1,"ERRO: período e curso duplicados","OK"))))</f>
        <v/>
      </c>
    </row>
    <row r="658" ht="15" customHeight="1" s="131">
      <c r="A658" s="320" t="n"/>
      <c r="B658" s="323" t="n"/>
      <c r="C658" s="320" t="n"/>
      <c r="D658" s="320" t="n"/>
      <c r="E658" s="320" t="n"/>
      <c r="F658" s="320" t="n"/>
      <c r="G658" s="284">
        <f>IFERROR((D658-F658)/C658*100,"")</f>
        <v/>
      </c>
      <c r="H658" s="324" t="n"/>
      <c r="I658" s="320" t="n"/>
      <c r="J658" s="325">
        <f>IF(COUNTA(A658:F658)=0,"",IF(OR(C658&lt;0,D658&lt;0,E658&lt;0,F658&lt;0),"ERRO: valor negativo",IF(C658&lt;&gt;SUM(D658:F658),"ERRO: categorias diferem dos respondentes",IF(COUNTIFS($A$5:$A$1200,A658,$B$5:$B$1200,B658)&gt;1,"ERRO: período e curso duplicados","OK"))))</f>
        <v/>
      </c>
    </row>
    <row r="659" ht="15" customHeight="1" s="131">
      <c r="A659" s="320" t="n"/>
      <c r="B659" s="323" t="n"/>
      <c r="C659" s="320" t="n"/>
      <c r="D659" s="320" t="n"/>
      <c r="E659" s="320" t="n"/>
      <c r="F659" s="320" t="n"/>
      <c r="G659" s="284">
        <f>IFERROR((D659-F659)/C659*100,"")</f>
        <v/>
      </c>
      <c r="H659" s="324" t="n"/>
      <c r="I659" s="320" t="n"/>
      <c r="J659" s="325">
        <f>IF(COUNTA(A659:F659)=0,"",IF(OR(C659&lt;0,D659&lt;0,E659&lt;0,F659&lt;0),"ERRO: valor negativo",IF(C659&lt;&gt;SUM(D659:F659),"ERRO: categorias diferem dos respondentes",IF(COUNTIFS($A$5:$A$1200,A659,$B$5:$B$1200,B659)&gt;1,"ERRO: período e curso duplicados","OK"))))</f>
        <v/>
      </c>
    </row>
    <row r="660" ht="15" customHeight="1" s="131">
      <c r="A660" s="320" t="n"/>
      <c r="B660" s="323" t="n"/>
      <c r="C660" s="320" t="n"/>
      <c r="D660" s="320" t="n"/>
      <c r="E660" s="320" t="n"/>
      <c r="F660" s="320" t="n"/>
      <c r="G660" s="284">
        <f>IFERROR((D660-F660)/C660*100,"")</f>
        <v/>
      </c>
      <c r="H660" s="324" t="n"/>
      <c r="I660" s="320" t="n"/>
      <c r="J660" s="325">
        <f>IF(COUNTA(A660:F660)=0,"",IF(OR(C660&lt;0,D660&lt;0,E660&lt;0,F660&lt;0),"ERRO: valor negativo",IF(C660&lt;&gt;SUM(D660:F660),"ERRO: categorias diferem dos respondentes",IF(COUNTIFS($A$5:$A$1200,A660,$B$5:$B$1200,B660)&gt;1,"ERRO: período e curso duplicados","OK"))))</f>
        <v/>
      </c>
    </row>
    <row r="661" ht="15" customHeight="1" s="131">
      <c r="A661" s="320" t="n"/>
      <c r="B661" s="323" t="n"/>
      <c r="C661" s="320" t="n"/>
      <c r="D661" s="320" t="n"/>
      <c r="E661" s="320" t="n"/>
      <c r="F661" s="320" t="n"/>
      <c r="G661" s="284">
        <f>IFERROR((D661-F661)/C661*100,"")</f>
        <v/>
      </c>
      <c r="H661" s="324" t="n"/>
      <c r="I661" s="320" t="n"/>
      <c r="J661" s="325">
        <f>IF(COUNTA(A661:F661)=0,"",IF(OR(C661&lt;0,D661&lt;0,E661&lt;0,F661&lt;0),"ERRO: valor negativo",IF(C661&lt;&gt;SUM(D661:F661),"ERRO: categorias diferem dos respondentes",IF(COUNTIFS($A$5:$A$1200,A661,$B$5:$B$1200,B661)&gt;1,"ERRO: período e curso duplicados","OK"))))</f>
        <v/>
      </c>
    </row>
    <row r="662" ht="15" customHeight="1" s="131">
      <c r="A662" s="320" t="n"/>
      <c r="B662" s="323" t="n"/>
      <c r="C662" s="320" t="n"/>
      <c r="D662" s="320" t="n"/>
      <c r="E662" s="320" t="n"/>
      <c r="F662" s="320" t="n"/>
      <c r="G662" s="284">
        <f>IFERROR((D662-F662)/C662*100,"")</f>
        <v/>
      </c>
      <c r="H662" s="324" t="n"/>
      <c r="I662" s="320" t="n"/>
      <c r="J662" s="325">
        <f>IF(COUNTA(A662:F662)=0,"",IF(OR(C662&lt;0,D662&lt;0,E662&lt;0,F662&lt;0),"ERRO: valor negativo",IF(C662&lt;&gt;SUM(D662:F662),"ERRO: categorias diferem dos respondentes",IF(COUNTIFS($A$5:$A$1200,A662,$B$5:$B$1200,B662)&gt;1,"ERRO: período e curso duplicados","OK"))))</f>
        <v/>
      </c>
    </row>
    <row r="663" ht="15" customHeight="1" s="131">
      <c r="A663" s="320" t="n"/>
      <c r="B663" s="323" t="n"/>
      <c r="C663" s="320" t="n"/>
      <c r="D663" s="320" t="n"/>
      <c r="E663" s="320" t="n"/>
      <c r="F663" s="320" t="n"/>
      <c r="G663" s="284">
        <f>IFERROR((D663-F663)/C663*100,"")</f>
        <v/>
      </c>
      <c r="H663" s="324" t="n"/>
      <c r="I663" s="320" t="n"/>
      <c r="J663" s="325">
        <f>IF(COUNTA(A663:F663)=0,"",IF(OR(C663&lt;0,D663&lt;0,E663&lt;0,F663&lt;0),"ERRO: valor negativo",IF(C663&lt;&gt;SUM(D663:F663),"ERRO: categorias diferem dos respondentes",IF(COUNTIFS($A$5:$A$1200,A663,$B$5:$B$1200,B663)&gt;1,"ERRO: período e curso duplicados","OK"))))</f>
        <v/>
      </c>
    </row>
    <row r="664" ht="15" customHeight="1" s="131">
      <c r="A664" s="320" t="n"/>
      <c r="B664" s="323" t="n"/>
      <c r="C664" s="320" t="n"/>
      <c r="D664" s="320" t="n"/>
      <c r="E664" s="320" t="n"/>
      <c r="F664" s="320" t="n"/>
      <c r="G664" s="284">
        <f>IFERROR((D664-F664)/C664*100,"")</f>
        <v/>
      </c>
      <c r="H664" s="324" t="n"/>
      <c r="I664" s="320" t="n"/>
      <c r="J664" s="325">
        <f>IF(COUNTA(A664:F664)=0,"",IF(OR(C664&lt;0,D664&lt;0,E664&lt;0,F664&lt;0),"ERRO: valor negativo",IF(C664&lt;&gt;SUM(D664:F664),"ERRO: categorias diferem dos respondentes",IF(COUNTIFS($A$5:$A$1200,A664,$B$5:$B$1200,B664)&gt;1,"ERRO: período e curso duplicados","OK"))))</f>
        <v/>
      </c>
    </row>
    <row r="665" ht="15" customHeight="1" s="131">
      <c r="A665" s="320" t="n"/>
      <c r="B665" s="323" t="n"/>
      <c r="C665" s="320" t="n"/>
      <c r="D665" s="320" t="n"/>
      <c r="E665" s="320" t="n"/>
      <c r="F665" s="320" t="n"/>
      <c r="G665" s="284">
        <f>IFERROR((D665-F665)/C665*100,"")</f>
        <v/>
      </c>
      <c r="H665" s="324" t="n"/>
      <c r="I665" s="320" t="n"/>
      <c r="J665" s="325">
        <f>IF(COUNTA(A665:F665)=0,"",IF(OR(C665&lt;0,D665&lt;0,E665&lt;0,F665&lt;0),"ERRO: valor negativo",IF(C665&lt;&gt;SUM(D665:F665),"ERRO: categorias diferem dos respondentes",IF(COUNTIFS($A$5:$A$1200,A665,$B$5:$B$1200,B665)&gt;1,"ERRO: período e curso duplicados","OK"))))</f>
        <v/>
      </c>
    </row>
    <row r="666" ht="15" customHeight="1" s="131">
      <c r="A666" s="320" t="n"/>
      <c r="B666" s="323" t="n"/>
      <c r="C666" s="320" t="n"/>
      <c r="D666" s="320" t="n"/>
      <c r="E666" s="320" t="n"/>
      <c r="F666" s="320" t="n"/>
      <c r="G666" s="284">
        <f>IFERROR((D666-F666)/C666*100,"")</f>
        <v/>
      </c>
      <c r="H666" s="324" t="n"/>
      <c r="I666" s="320" t="n"/>
      <c r="J666" s="325">
        <f>IF(COUNTA(A666:F666)=0,"",IF(OR(C666&lt;0,D666&lt;0,E666&lt;0,F666&lt;0),"ERRO: valor negativo",IF(C666&lt;&gt;SUM(D666:F666),"ERRO: categorias diferem dos respondentes",IF(COUNTIFS($A$5:$A$1200,A666,$B$5:$B$1200,B666)&gt;1,"ERRO: período e curso duplicados","OK"))))</f>
        <v/>
      </c>
    </row>
    <row r="667" ht="15" customHeight="1" s="131">
      <c r="A667" s="320" t="n"/>
      <c r="B667" s="323" t="n"/>
      <c r="C667" s="320" t="n"/>
      <c r="D667" s="320" t="n"/>
      <c r="E667" s="320" t="n"/>
      <c r="F667" s="320" t="n"/>
      <c r="G667" s="284">
        <f>IFERROR((D667-F667)/C667*100,"")</f>
        <v/>
      </c>
      <c r="H667" s="324" t="n"/>
      <c r="I667" s="320" t="n"/>
      <c r="J667" s="325">
        <f>IF(COUNTA(A667:F667)=0,"",IF(OR(C667&lt;0,D667&lt;0,E667&lt;0,F667&lt;0),"ERRO: valor negativo",IF(C667&lt;&gt;SUM(D667:F667),"ERRO: categorias diferem dos respondentes",IF(COUNTIFS($A$5:$A$1200,A667,$B$5:$B$1200,B667)&gt;1,"ERRO: período e curso duplicados","OK"))))</f>
        <v/>
      </c>
    </row>
    <row r="668" ht="15" customHeight="1" s="131">
      <c r="A668" s="320" t="n"/>
      <c r="B668" s="323" t="n"/>
      <c r="C668" s="320" t="n"/>
      <c r="D668" s="320" t="n"/>
      <c r="E668" s="320" t="n"/>
      <c r="F668" s="320" t="n"/>
      <c r="G668" s="284">
        <f>IFERROR((D668-F668)/C668*100,"")</f>
        <v/>
      </c>
      <c r="H668" s="324" t="n"/>
      <c r="I668" s="320" t="n"/>
      <c r="J668" s="325">
        <f>IF(COUNTA(A668:F668)=0,"",IF(OR(C668&lt;0,D668&lt;0,E668&lt;0,F668&lt;0),"ERRO: valor negativo",IF(C668&lt;&gt;SUM(D668:F668),"ERRO: categorias diferem dos respondentes",IF(COUNTIFS($A$5:$A$1200,A668,$B$5:$B$1200,B668)&gt;1,"ERRO: período e curso duplicados","OK"))))</f>
        <v/>
      </c>
    </row>
    <row r="669" ht="15" customHeight="1" s="131">
      <c r="A669" s="320" t="n"/>
      <c r="B669" s="323" t="n"/>
      <c r="C669" s="320" t="n"/>
      <c r="D669" s="320" t="n"/>
      <c r="E669" s="320" t="n"/>
      <c r="F669" s="320" t="n"/>
      <c r="G669" s="284">
        <f>IFERROR((D669-F669)/C669*100,"")</f>
        <v/>
      </c>
      <c r="H669" s="324" t="n"/>
      <c r="I669" s="320" t="n"/>
      <c r="J669" s="325">
        <f>IF(COUNTA(A669:F669)=0,"",IF(OR(C669&lt;0,D669&lt;0,E669&lt;0,F669&lt;0),"ERRO: valor negativo",IF(C669&lt;&gt;SUM(D669:F669),"ERRO: categorias diferem dos respondentes",IF(COUNTIFS($A$5:$A$1200,A669,$B$5:$B$1200,B669)&gt;1,"ERRO: período e curso duplicados","OK"))))</f>
        <v/>
      </c>
    </row>
    <row r="670" ht="15" customHeight="1" s="131">
      <c r="A670" s="320" t="n"/>
      <c r="B670" s="323" t="n"/>
      <c r="C670" s="320" t="n"/>
      <c r="D670" s="320" t="n"/>
      <c r="E670" s="320" t="n"/>
      <c r="F670" s="320" t="n"/>
      <c r="G670" s="284">
        <f>IFERROR((D670-F670)/C670*100,"")</f>
        <v/>
      </c>
      <c r="H670" s="324" t="n"/>
      <c r="I670" s="320" t="n"/>
      <c r="J670" s="325">
        <f>IF(COUNTA(A670:F670)=0,"",IF(OR(C670&lt;0,D670&lt;0,E670&lt;0,F670&lt;0),"ERRO: valor negativo",IF(C670&lt;&gt;SUM(D670:F670),"ERRO: categorias diferem dos respondentes",IF(COUNTIFS($A$5:$A$1200,A670,$B$5:$B$1200,B670)&gt;1,"ERRO: período e curso duplicados","OK"))))</f>
        <v/>
      </c>
    </row>
    <row r="671" ht="15" customHeight="1" s="131">
      <c r="A671" s="320" t="n"/>
      <c r="B671" s="323" t="n"/>
      <c r="C671" s="320" t="n"/>
      <c r="D671" s="320" t="n"/>
      <c r="E671" s="320" t="n"/>
      <c r="F671" s="320" t="n"/>
      <c r="G671" s="284">
        <f>IFERROR((D671-F671)/C671*100,"")</f>
        <v/>
      </c>
      <c r="H671" s="324" t="n"/>
      <c r="I671" s="320" t="n"/>
      <c r="J671" s="325">
        <f>IF(COUNTA(A671:F671)=0,"",IF(OR(C671&lt;0,D671&lt;0,E671&lt;0,F671&lt;0),"ERRO: valor negativo",IF(C671&lt;&gt;SUM(D671:F671),"ERRO: categorias diferem dos respondentes",IF(COUNTIFS($A$5:$A$1200,A671,$B$5:$B$1200,B671)&gt;1,"ERRO: período e curso duplicados","OK"))))</f>
        <v/>
      </c>
    </row>
    <row r="672" ht="15" customHeight="1" s="131">
      <c r="A672" s="320" t="n"/>
      <c r="B672" s="323" t="n"/>
      <c r="C672" s="320" t="n"/>
      <c r="D672" s="320" t="n"/>
      <c r="E672" s="320" t="n"/>
      <c r="F672" s="320" t="n"/>
      <c r="G672" s="284">
        <f>IFERROR((D672-F672)/C672*100,"")</f>
        <v/>
      </c>
      <c r="H672" s="324" t="n"/>
      <c r="I672" s="320" t="n"/>
      <c r="J672" s="325">
        <f>IF(COUNTA(A672:F672)=0,"",IF(OR(C672&lt;0,D672&lt;0,E672&lt;0,F672&lt;0),"ERRO: valor negativo",IF(C672&lt;&gt;SUM(D672:F672),"ERRO: categorias diferem dos respondentes",IF(COUNTIFS($A$5:$A$1200,A672,$B$5:$B$1200,B672)&gt;1,"ERRO: período e curso duplicados","OK"))))</f>
        <v/>
      </c>
    </row>
    <row r="673" ht="15" customHeight="1" s="131">
      <c r="A673" s="320" t="n"/>
      <c r="B673" s="323" t="n"/>
      <c r="C673" s="320" t="n"/>
      <c r="D673" s="320" t="n"/>
      <c r="E673" s="320" t="n"/>
      <c r="F673" s="320" t="n"/>
      <c r="G673" s="284">
        <f>IFERROR((D673-F673)/C673*100,"")</f>
        <v/>
      </c>
      <c r="H673" s="324" t="n"/>
      <c r="I673" s="320" t="n"/>
      <c r="J673" s="325">
        <f>IF(COUNTA(A673:F673)=0,"",IF(OR(C673&lt;0,D673&lt;0,E673&lt;0,F673&lt;0),"ERRO: valor negativo",IF(C673&lt;&gt;SUM(D673:F673),"ERRO: categorias diferem dos respondentes",IF(COUNTIFS($A$5:$A$1200,A673,$B$5:$B$1200,B673)&gt;1,"ERRO: período e curso duplicados","OK"))))</f>
        <v/>
      </c>
    </row>
    <row r="674" ht="15" customHeight="1" s="131">
      <c r="A674" s="320" t="n"/>
      <c r="B674" s="323" t="n"/>
      <c r="C674" s="320" t="n"/>
      <c r="D674" s="320" t="n"/>
      <c r="E674" s="320" t="n"/>
      <c r="F674" s="320" t="n"/>
      <c r="G674" s="284">
        <f>IFERROR((D674-F674)/C674*100,"")</f>
        <v/>
      </c>
      <c r="H674" s="324" t="n"/>
      <c r="I674" s="320" t="n"/>
      <c r="J674" s="325">
        <f>IF(COUNTA(A674:F674)=0,"",IF(OR(C674&lt;0,D674&lt;0,E674&lt;0,F674&lt;0),"ERRO: valor negativo",IF(C674&lt;&gt;SUM(D674:F674),"ERRO: categorias diferem dos respondentes",IF(COUNTIFS($A$5:$A$1200,A674,$B$5:$B$1200,B674)&gt;1,"ERRO: período e curso duplicados","OK"))))</f>
        <v/>
      </c>
    </row>
    <row r="675" ht="15" customHeight="1" s="131">
      <c r="A675" s="320" t="n"/>
      <c r="B675" s="323" t="n"/>
      <c r="C675" s="320" t="n"/>
      <c r="D675" s="320" t="n"/>
      <c r="E675" s="320" t="n"/>
      <c r="F675" s="320" t="n"/>
      <c r="G675" s="284">
        <f>IFERROR((D675-F675)/C675*100,"")</f>
        <v/>
      </c>
      <c r="H675" s="324" t="n"/>
      <c r="I675" s="320" t="n"/>
      <c r="J675" s="325">
        <f>IF(COUNTA(A675:F675)=0,"",IF(OR(C675&lt;0,D675&lt;0,E675&lt;0,F675&lt;0),"ERRO: valor negativo",IF(C675&lt;&gt;SUM(D675:F675),"ERRO: categorias diferem dos respondentes",IF(COUNTIFS($A$5:$A$1200,A675,$B$5:$B$1200,B675)&gt;1,"ERRO: período e curso duplicados","OK"))))</f>
        <v/>
      </c>
    </row>
    <row r="676" ht="15" customHeight="1" s="131">
      <c r="A676" s="320" t="n"/>
      <c r="B676" s="323" t="n"/>
      <c r="C676" s="320" t="n"/>
      <c r="D676" s="320" t="n"/>
      <c r="E676" s="320" t="n"/>
      <c r="F676" s="320" t="n"/>
      <c r="G676" s="284">
        <f>IFERROR((D676-F676)/C676*100,"")</f>
        <v/>
      </c>
      <c r="H676" s="324" t="n"/>
      <c r="I676" s="320" t="n"/>
      <c r="J676" s="325">
        <f>IF(COUNTA(A676:F676)=0,"",IF(OR(C676&lt;0,D676&lt;0,E676&lt;0,F676&lt;0),"ERRO: valor negativo",IF(C676&lt;&gt;SUM(D676:F676),"ERRO: categorias diferem dos respondentes",IF(COUNTIFS($A$5:$A$1200,A676,$B$5:$B$1200,B676)&gt;1,"ERRO: período e curso duplicados","OK"))))</f>
        <v/>
      </c>
    </row>
    <row r="677" ht="15" customHeight="1" s="131">
      <c r="A677" s="320" t="n"/>
      <c r="B677" s="323" t="n"/>
      <c r="C677" s="320" t="n"/>
      <c r="D677" s="320" t="n"/>
      <c r="E677" s="320" t="n"/>
      <c r="F677" s="320" t="n"/>
      <c r="G677" s="284">
        <f>IFERROR((D677-F677)/C677*100,"")</f>
        <v/>
      </c>
      <c r="H677" s="324" t="n"/>
      <c r="I677" s="320" t="n"/>
      <c r="J677" s="325">
        <f>IF(COUNTA(A677:F677)=0,"",IF(OR(C677&lt;0,D677&lt;0,E677&lt;0,F677&lt;0),"ERRO: valor negativo",IF(C677&lt;&gt;SUM(D677:F677),"ERRO: categorias diferem dos respondentes",IF(COUNTIFS($A$5:$A$1200,A677,$B$5:$B$1200,B677)&gt;1,"ERRO: período e curso duplicados","OK"))))</f>
        <v/>
      </c>
    </row>
    <row r="678" ht="15" customHeight="1" s="131">
      <c r="A678" s="320" t="n"/>
      <c r="B678" s="323" t="n"/>
      <c r="C678" s="320" t="n"/>
      <c r="D678" s="320" t="n"/>
      <c r="E678" s="320" t="n"/>
      <c r="F678" s="320" t="n"/>
      <c r="G678" s="284">
        <f>IFERROR((D678-F678)/C678*100,"")</f>
        <v/>
      </c>
      <c r="H678" s="324" t="n"/>
      <c r="I678" s="320" t="n"/>
      <c r="J678" s="325">
        <f>IF(COUNTA(A678:F678)=0,"",IF(OR(C678&lt;0,D678&lt;0,E678&lt;0,F678&lt;0),"ERRO: valor negativo",IF(C678&lt;&gt;SUM(D678:F678),"ERRO: categorias diferem dos respondentes",IF(COUNTIFS($A$5:$A$1200,A678,$B$5:$B$1200,B678)&gt;1,"ERRO: período e curso duplicados","OK"))))</f>
        <v/>
      </c>
    </row>
    <row r="679" ht="15" customHeight="1" s="131">
      <c r="A679" s="320" t="n"/>
      <c r="B679" s="323" t="n"/>
      <c r="C679" s="320" t="n"/>
      <c r="D679" s="320" t="n"/>
      <c r="E679" s="320" t="n"/>
      <c r="F679" s="320" t="n"/>
      <c r="G679" s="284">
        <f>IFERROR((D679-F679)/C679*100,"")</f>
        <v/>
      </c>
      <c r="H679" s="324" t="n"/>
      <c r="I679" s="320" t="n"/>
      <c r="J679" s="325">
        <f>IF(COUNTA(A679:F679)=0,"",IF(OR(C679&lt;0,D679&lt;0,E679&lt;0,F679&lt;0),"ERRO: valor negativo",IF(C679&lt;&gt;SUM(D679:F679),"ERRO: categorias diferem dos respondentes",IF(COUNTIFS($A$5:$A$1200,A679,$B$5:$B$1200,B679)&gt;1,"ERRO: período e curso duplicados","OK"))))</f>
        <v/>
      </c>
    </row>
    <row r="680" ht="15" customHeight="1" s="131">
      <c r="A680" s="320" t="n"/>
      <c r="B680" s="323" t="n"/>
      <c r="C680" s="320" t="n"/>
      <c r="D680" s="320" t="n"/>
      <c r="E680" s="320" t="n"/>
      <c r="F680" s="320" t="n"/>
      <c r="G680" s="284">
        <f>IFERROR((D680-F680)/C680*100,"")</f>
        <v/>
      </c>
      <c r="H680" s="324" t="n"/>
      <c r="I680" s="320" t="n"/>
      <c r="J680" s="325">
        <f>IF(COUNTA(A680:F680)=0,"",IF(OR(C680&lt;0,D680&lt;0,E680&lt;0,F680&lt;0),"ERRO: valor negativo",IF(C680&lt;&gt;SUM(D680:F680),"ERRO: categorias diferem dos respondentes",IF(COUNTIFS($A$5:$A$1200,A680,$B$5:$B$1200,B680)&gt;1,"ERRO: período e curso duplicados","OK"))))</f>
        <v/>
      </c>
    </row>
    <row r="681" ht="15" customHeight="1" s="131">
      <c r="A681" s="320" t="n"/>
      <c r="B681" s="323" t="n"/>
      <c r="C681" s="320" t="n"/>
      <c r="D681" s="320" t="n"/>
      <c r="E681" s="320" t="n"/>
      <c r="F681" s="320" t="n"/>
      <c r="G681" s="284">
        <f>IFERROR((D681-F681)/C681*100,"")</f>
        <v/>
      </c>
      <c r="H681" s="324" t="n"/>
      <c r="I681" s="320" t="n"/>
      <c r="J681" s="325">
        <f>IF(COUNTA(A681:F681)=0,"",IF(OR(C681&lt;0,D681&lt;0,E681&lt;0,F681&lt;0),"ERRO: valor negativo",IF(C681&lt;&gt;SUM(D681:F681),"ERRO: categorias diferem dos respondentes",IF(COUNTIFS($A$5:$A$1200,A681,$B$5:$B$1200,B681)&gt;1,"ERRO: período e curso duplicados","OK"))))</f>
        <v/>
      </c>
    </row>
    <row r="682" ht="15" customHeight="1" s="131">
      <c r="A682" s="320" t="n"/>
      <c r="B682" s="323" t="n"/>
      <c r="C682" s="320" t="n"/>
      <c r="D682" s="320" t="n"/>
      <c r="E682" s="320" t="n"/>
      <c r="F682" s="320" t="n"/>
      <c r="G682" s="284">
        <f>IFERROR((D682-F682)/C682*100,"")</f>
        <v/>
      </c>
      <c r="H682" s="324" t="n"/>
      <c r="I682" s="320" t="n"/>
      <c r="J682" s="325">
        <f>IF(COUNTA(A682:F682)=0,"",IF(OR(C682&lt;0,D682&lt;0,E682&lt;0,F682&lt;0),"ERRO: valor negativo",IF(C682&lt;&gt;SUM(D682:F682),"ERRO: categorias diferem dos respondentes",IF(COUNTIFS($A$5:$A$1200,A682,$B$5:$B$1200,B682)&gt;1,"ERRO: período e curso duplicados","OK"))))</f>
        <v/>
      </c>
    </row>
    <row r="683" ht="15" customHeight="1" s="131">
      <c r="A683" s="320" t="n"/>
      <c r="B683" s="323" t="n"/>
      <c r="C683" s="320" t="n"/>
      <c r="D683" s="320" t="n"/>
      <c r="E683" s="320" t="n"/>
      <c r="F683" s="320" t="n"/>
      <c r="G683" s="284">
        <f>IFERROR((D683-F683)/C683*100,"")</f>
        <v/>
      </c>
      <c r="H683" s="324" t="n"/>
      <c r="I683" s="320" t="n"/>
      <c r="J683" s="325">
        <f>IF(COUNTA(A683:F683)=0,"",IF(OR(C683&lt;0,D683&lt;0,E683&lt;0,F683&lt;0),"ERRO: valor negativo",IF(C683&lt;&gt;SUM(D683:F683),"ERRO: categorias diferem dos respondentes",IF(COUNTIFS($A$5:$A$1200,A683,$B$5:$B$1200,B683)&gt;1,"ERRO: período e curso duplicados","OK"))))</f>
        <v/>
      </c>
    </row>
    <row r="684" ht="15" customHeight="1" s="131">
      <c r="A684" s="320" t="n"/>
      <c r="B684" s="323" t="n"/>
      <c r="C684" s="320" t="n"/>
      <c r="D684" s="320" t="n"/>
      <c r="E684" s="320" t="n"/>
      <c r="F684" s="320" t="n"/>
      <c r="G684" s="284">
        <f>IFERROR((D684-F684)/C684*100,"")</f>
        <v/>
      </c>
      <c r="H684" s="324" t="n"/>
      <c r="I684" s="320" t="n"/>
      <c r="J684" s="325">
        <f>IF(COUNTA(A684:F684)=0,"",IF(OR(C684&lt;0,D684&lt;0,E684&lt;0,F684&lt;0),"ERRO: valor negativo",IF(C684&lt;&gt;SUM(D684:F684),"ERRO: categorias diferem dos respondentes",IF(COUNTIFS($A$5:$A$1200,A684,$B$5:$B$1200,B684)&gt;1,"ERRO: período e curso duplicados","OK"))))</f>
        <v/>
      </c>
    </row>
    <row r="685" ht="15" customHeight="1" s="131">
      <c r="A685" s="320" t="n"/>
      <c r="B685" s="323" t="n"/>
      <c r="C685" s="320" t="n"/>
      <c r="D685" s="320" t="n"/>
      <c r="E685" s="320" t="n"/>
      <c r="F685" s="320" t="n"/>
      <c r="G685" s="284">
        <f>IFERROR((D685-F685)/C685*100,"")</f>
        <v/>
      </c>
      <c r="H685" s="324" t="n"/>
      <c r="I685" s="320" t="n"/>
      <c r="J685" s="325">
        <f>IF(COUNTA(A685:F685)=0,"",IF(OR(C685&lt;0,D685&lt;0,E685&lt;0,F685&lt;0),"ERRO: valor negativo",IF(C685&lt;&gt;SUM(D685:F685),"ERRO: categorias diferem dos respondentes",IF(COUNTIFS($A$5:$A$1200,A685,$B$5:$B$1200,B685)&gt;1,"ERRO: período e curso duplicados","OK"))))</f>
        <v/>
      </c>
    </row>
    <row r="686" ht="15" customHeight="1" s="131">
      <c r="A686" s="320" t="n"/>
      <c r="B686" s="323" t="n"/>
      <c r="C686" s="320" t="n"/>
      <c r="D686" s="320" t="n"/>
      <c r="E686" s="320" t="n"/>
      <c r="F686" s="320" t="n"/>
      <c r="G686" s="284">
        <f>IFERROR((D686-F686)/C686*100,"")</f>
        <v/>
      </c>
      <c r="H686" s="324" t="n"/>
      <c r="I686" s="320" t="n"/>
      <c r="J686" s="325">
        <f>IF(COUNTA(A686:F686)=0,"",IF(OR(C686&lt;0,D686&lt;0,E686&lt;0,F686&lt;0),"ERRO: valor negativo",IF(C686&lt;&gt;SUM(D686:F686),"ERRO: categorias diferem dos respondentes",IF(COUNTIFS($A$5:$A$1200,A686,$B$5:$B$1200,B686)&gt;1,"ERRO: período e curso duplicados","OK"))))</f>
        <v/>
      </c>
    </row>
    <row r="687" ht="15" customHeight="1" s="131">
      <c r="A687" s="320" t="n"/>
      <c r="B687" s="323" t="n"/>
      <c r="C687" s="320" t="n"/>
      <c r="D687" s="320" t="n"/>
      <c r="E687" s="320" t="n"/>
      <c r="F687" s="320" t="n"/>
      <c r="G687" s="284">
        <f>IFERROR((D687-F687)/C687*100,"")</f>
        <v/>
      </c>
      <c r="H687" s="324" t="n"/>
      <c r="I687" s="320" t="n"/>
      <c r="J687" s="325">
        <f>IF(COUNTA(A687:F687)=0,"",IF(OR(C687&lt;0,D687&lt;0,E687&lt;0,F687&lt;0),"ERRO: valor negativo",IF(C687&lt;&gt;SUM(D687:F687),"ERRO: categorias diferem dos respondentes",IF(COUNTIFS($A$5:$A$1200,A687,$B$5:$B$1200,B687)&gt;1,"ERRO: período e curso duplicados","OK"))))</f>
        <v/>
      </c>
    </row>
    <row r="688" ht="15" customHeight="1" s="131">
      <c r="A688" s="320" t="n"/>
      <c r="B688" s="323" t="n"/>
      <c r="C688" s="320" t="n"/>
      <c r="D688" s="320" t="n"/>
      <c r="E688" s="320" t="n"/>
      <c r="F688" s="320" t="n"/>
      <c r="G688" s="284">
        <f>IFERROR((D688-F688)/C688*100,"")</f>
        <v/>
      </c>
      <c r="H688" s="324" t="n"/>
      <c r="I688" s="320" t="n"/>
      <c r="J688" s="325">
        <f>IF(COUNTA(A688:F688)=0,"",IF(OR(C688&lt;0,D688&lt;0,E688&lt;0,F688&lt;0),"ERRO: valor negativo",IF(C688&lt;&gt;SUM(D688:F688),"ERRO: categorias diferem dos respondentes",IF(COUNTIFS($A$5:$A$1200,A688,$B$5:$B$1200,B688)&gt;1,"ERRO: período e curso duplicados","OK"))))</f>
        <v/>
      </c>
    </row>
    <row r="689" ht="15" customHeight="1" s="131">
      <c r="A689" s="320" t="n"/>
      <c r="B689" s="323" t="n"/>
      <c r="C689" s="320" t="n"/>
      <c r="D689" s="320" t="n"/>
      <c r="E689" s="320" t="n"/>
      <c r="F689" s="320" t="n"/>
      <c r="G689" s="284">
        <f>IFERROR((D689-F689)/C689*100,"")</f>
        <v/>
      </c>
      <c r="H689" s="324" t="n"/>
      <c r="I689" s="320" t="n"/>
      <c r="J689" s="325">
        <f>IF(COUNTA(A689:F689)=0,"",IF(OR(C689&lt;0,D689&lt;0,E689&lt;0,F689&lt;0),"ERRO: valor negativo",IF(C689&lt;&gt;SUM(D689:F689),"ERRO: categorias diferem dos respondentes",IF(COUNTIFS($A$5:$A$1200,A689,$B$5:$B$1200,B689)&gt;1,"ERRO: período e curso duplicados","OK"))))</f>
        <v/>
      </c>
    </row>
    <row r="690" ht="15" customHeight="1" s="131">
      <c r="A690" s="320" t="n"/>
      <c r="B690" s="323" t="n"/>
      <c r="C690" s="320" t="n"/>
      <c r="D690" s="320" t="n"/>
      <c r="E690" s="320" t="n"/>
      <c r="F690" s="320" t="n"/>
      <c r="G690" s="284">
        <f>IFERROR((D690-F690)/C690*100,"")</f>
        <v/>
      </c>
      <c r="H690" s="324" t="n"/>
      <c r="I690" s="320" t="n"/>
      <c r="J690" s="325">
        <f>IF(COUNTA(A690:F690)=0,"",IF(OR(C690&lt;0,D690&lt;0,E690&lt;0,F690&lt;0),"ERRO: valor negativo",IF(C690&lt;&gt;SUM(D690:F690),"ERRO: categorias diferem dos respondentes",IF(COUNTIFS($A$5:$A$1200,A690,$B$5:$B$1200,B690)&gt;1,"ERRO: período e curso duplicados","OK"))))</f>
        <v/>
      </c>
    </row>
    <row r="691" ht="15" customHeight="1" s="131">
      <c r="A691" s="320" t="n"/>
      <c r="B691" s="323" t="n"/>
      <c r="C691" s="320" t="n"/>
      <c r="D691" s="320" t="n"/>
      <c r="E691" s="320" t="n"/>
      <c r="F691" s="320" t="n"/>
      <c r="G691" s="284">
        <f>IFERROR((D691-F691)/C691*100,"")</f>
        <v/>
      </c>
      <c r="H691" s="324" t="n"/>
      <c r="I691" s="320" t="n"/>
      <c r="J691" s="325">
        <f>IF(COUNTA(A691:F691)=0,"",IF(OR(C691&lt;0,D691&lt;0,E691&lt;0,F691&lt;0),"ERRO: valor negativo",IF(C691&lt;&gt;SUM(D691:F691),"ERRO: categorias diferem dos respondentes",IF(COUNTIFS($A$5:$A$1200,A691,$B$5:$B$1200,B691)&gt;1,"ERRO: período e curso duplicados","OK"))))</f>
        <v/>
      </c>
    </row>
    <row r="692" ht="15" customHeight="1" s="131">
      <c r="A692" s="320" t="n"/>
      <c r="B692" s="323" t="n"/>
      <c r="C692" s="320" t="n"/>
      <c r="D692" s="320" t="n"/>
      <c r="E692" s="320" t="n"/>
      <c r="F692" s="320" t="n"/>
      <c r="G692" s="284">
        <f>IFERROR((D692-F692)/C692*100,"")</f>
        <v/>
      </c>
      <c r="H692" s="324" t="n"/>
      <c r="I692" s="320" t="n"/>
      <c r="J692" s="325">
        <f>IF(COUNTA(A692:F692)=0,"",IF(OR(C692&lt;0,D692&lt;0,E692&lt;0,F692&lt;0),"ERRO: valor negativo",IF(C692&lt;&gt;SUM(D692:F692),"ERRO: categorias diferem dos respondentes",IF(COUNTIFS($A$5:$A$1200,A692,$B$5:$B$1200,B692)&gt;1,"ERRO: período e curso duplicados","OK"))))</f>
        <v/>
      </c>
    </row>
    <row r="693" ht="15" customHeight="1" s="131">
      <c r="A693" s="320" t="n"/>
      <c r="B693" s="323" t="n"/>
      <c r="C693" s="320" t="n"/>
      <c r="D693" s="320" t="n"/>
      <c r="E693" s="320" t="n"/>
      <c r="F693" s="320" t="n"/>
      <c r="G693" s="284">
        <f>IFERROR((D693-F693)/C693*100,"")</f>
        <v/>
      </c>
      <c r="H693" s="324" t="n"/>
      <c r="I693" s="320" t="n"/>
      <c r="J693" s="325">
        <f>IF(COUNTA(A693:F693)=0,"",IF(OR(C693&lt;0,D693&lt;0,E693&lt;0,F693&lt;0),"ERRO: valor negativo",IF(C693&lt;&gt;SUM(D693:F693),"ERRO: categorias diferem dos respondentes",IF(COUNTIFS($A$5:$A$1200,A693,$B$5:$B$1200,B693)&gt;1,"ERRO: período e curso duplicados","OK"))))</f>
        <v/>
      </c>
    </row>
    <row r="694" ht="15" customHeight="1" s="131">
      <c r="A694" s="320" t="n"/>
      <c r="B694" s="323" t="n"/>
      <c r="C694" s="320" t="n"/>
      <c r="D694" s="320" t="n"/>
      <c r="E694" s="320" t="n"/>
      <c r="F694" s="320" t="n"/>
      <c r="G694" s="284">
        <f>IFERROR((D694-F694)/C694*100,"")</f>
        <v/>
      </c>
      <c r="H694" s="324" t="n"/>
      <c r="I694" s="320" t="n"/>
      <c r="J694" s="325">
        <f>IF(COUNTA(A694:F694)=0,"",IF(OR(C694&lt;0,D694&lt;0,E694&lt;0,F694&lt;0),"ERRO: valor negativo",IF(C694&lt;&gt;SUM(D694:F694),"ERRO: categorias diferem dos respondentes",IF(COUNTIFS($A$5:$A$1200,A694,$B$5:$B$1200,B694)&gt;1,"ERRO: período e curso duplicados","OK"))))</f>
        <v/>
      </c>
    </row>
    <row r="695" ht="15" customHeight="1" s="131">
      <c r="A695" s="320" t="n"/>
      <c r="B695" s="323" t="n"/>
      <c r="C695" s="320" t="n"/>
      <c r="D695" s="320" t="n"/>
      <c r="E695" s="320" t="n"/>
      <c r="F695" s="320" t="n"/>
      <c r="G695" s="284">
        <f>IFERROR((D695-F695)/C695*100,"")</f>
        <v/>
      </c>
      <c r="H695" s="324" t="n"/>
      <c r="I695" s="320" t="n"/>
      <c r="J695" s="325">
        <f>IF(COUNTA(A695:F695)=0,"",IF(OR(C695&lt;0,D695&lt;0,E695&lt;0,F695&lt;0),"ERRO: valor negativo",IF(C695&lt;&gt;SUM(D695:F695),"ERRO: categorias diferem dos respondentes",IF(COUNTIFS($A$5:$A$1200,A695,$B$5:$B$1200,B695)&gt;1,"ERRO: período e curso duplicados","OK"))))</f>
        <v/>
      </c>
    </row>
    <row r="696" ht="15" customHeight="1" s="131">
      <c r="A696" s="320" t="n"/>
      <c r="B696" s="323" t="n"/>
      <c r="C696" s="320" t="n"/>
      <c r="D696" s="320" t="n"/>
      <c r="E696" s="320" t="n"/>
      <c r="F696" s="320" t="n"/>
      <c r="G696" s="284">
        <f>IFERROR((D696-F696)/C696*100,"")</f>
        <v/>
      </c>
      <c r="H696" s="324" t="n"/>
      <c r="I696" s="320" t="n"/>
      <c r="J696" s="325">
        <f>IF(COUNTA(A696:F696)=0,"",IF(OR(C696&lt;0,D696&lt;0,E696&lt;0,F696&lt;0),"ERRO: valor negativo",IF(C696&lt;&gt;SUM(D696:F696),"ERRO: categorias diferem dos respondentes",IF(COUNTIFS($A$5:$A$1200,A696,$B$5:$B$1200,B696)&gt;1,"ERRO: período e curso duplicados","OK"))))</f>
        <v/>
      </c>
    </row>
    <row r="697" ht="15" customHeight="1" s="131">
      <c r="A697" s="320" t="n"/>
      <c r="B697" s="323" t="n"/>
      <c r="C697" s="320" t="n"/>
      <c r="D697" s="320" t="n"/>
      <c r="E697" s="320" t="n"/>
      <c r="F697" s="320" t="n"/>
      <c r="G697" s="284">
        <f>IFERROR((D697-F697)/C697*100,"")</f>
        <v/>
      </c>
      <c r="H697" s="324" t="n"/>
      <c r="I697" s="320" t="n"/>
      <c r="J697" s="325">
        <f>IF(COUNTA(A697:F697)=0,"",IF(OR(C697&lt;0,D697&lt;0,E697&lt;0,F697&lt;0),"ERRO: valor negativo",IF(C697&lt;&gt;SUM(D697:F697),"ERRO: categorias diferem dos respondentes",IF(COUNTIFS($A$5:$A$1200,A697,$B$5:$B$1200,B697)&gt;1,"ERRO: período e curso duplicados","OK"))))</f>
        <v/>
      </c>
    </row>
    <row r="698" ht="15" customHeight="1" s="131">
      <c r="A698" s="320" t="n"/>
      <c r="B698" s="323" t="n"/>
      <c r="C698" s="320" t="n"/>
      <c r="D698" s="320" t="n"/>
      <c r="E698" s="320" t="n"/>
      <c r="F698" s="320" t="n"/>
      <c r="G698" s="284">
        <f>IFERROR((D698-F698)/C698*100,"")</f>
        <v/>
      </c>
      <c r="H698" s="324" t="n"/>
      <c r="I698" s="320" t="n"/>
      <c r="J698" s="325">
        <f>IF(COUNTA(A698:F698)=0,"",IF(OR(C698&lt;0,D698&lt;0,E698&lt;0,F698&lt;0),"ERRO: valor negativo",IF(C698&lt;&gt;SUM(D698:F698),"ERRO: categorias diferem dos respondentes",IF(COUNTIFS($A$5:$A$1200,A698,$B$5:$B$1200,B698)&gt;1,"ERRO: período e curso duplicados","OK"))))</f>
        <v/>
      </c>
    </row>
    <row r="699" ht="15" customHeight="1" s="131">
      <c r="A699" s="320" t="n"/>
      <c r="B699" s="323" t="n"/>
      <c r="C699" s="320" t="n"/>
      <c r="D699" s="320" t="n"/>
      <c r="E699" s="320" t="n"/>
      <c r="F699" s="320" t="n"/>
      <c r="G699" s="284">
        <f>IFERROR((D699-F699)/C699*100,"")</f>
        <v/>
      </c>
      <c r="H699" s="324" t="n"/>
      <c r="I699" s="320" t="n"/>
      <c r="J699" s="325">
        <f>IF(COUNTA(A699:F699)=0,"",IF(OR(C699&lt;0,D699&lt;0,E699&lt;0,F699&lt;0),"ERRO: valor negativo",IF(C699&lt;&gt;SUM(D699:F699),"ERRO: categorias diferem dos respondentes",IF(COUNTIFS($A$5:$A$1200,A699,$B$5:$B$1200,B699)&gt;1,"ERRO: período e curso duplicados","OK"))))</f>
        <v/>
      </c>
    </row>
    <row r="700" ht="15" customHeight="1" s="131">
      <c r="A700" s="320" t="n"/>
      <c r="B700" s="323" t="n"/>
      <c r="C700" s="320" t="n"/>
      <c r="D700" s="320" t="n"/>
      <c r="E700" s="320" t="n"/>
      <c r="F700" s="320" t="n"/>
      <c r="G700" s="284">
        <f>IFERROR((D700-F700)/C700*100,"")</f>
        <v/>
      </c>
      <c r="H700" s="324" t="n"/>
      <c r="I700" s="320" t="n"/>
      <c r="J700" s="325">
        <f>IF(COUNTA(A700:F700)=0,"",IF(OR(C700&lt;0,D700&lt;0,E700&lt;0,F700&lt;0),"ERRO: valor negativo",IF(C700&lt;&gt;SUM(D700:F700),"ERRO: categorias diferem dos respondentes",IF(COUNTIFS($A$5:$A$1200,A700,$B$5:$B$1200,B700)&gt;1,"ERRO: período e curso duplicados","OK"))))</f>
        <v/>
      </c>
    </row>
    <row r="701" ht="15" customHeight="1" s="131">
      <c r="A701" s="320" t="n"/>
      <c r="B701" s="323" t="n"/>
      <c r="C701" s="320" t="n"/>
      <c r="D701" s="320" t="n"/>
      <c r="E701" s="320" t="n"/>
      <c r="F701" s="320" t="n"/>
      <c r="G701" s="284">
        <f>IFERROR((D701-F701)/C701*100,"")</f>
        <v/>
      </c>
      <c r="H701" s="324" t="n"/>
      <c r="I701" s="320" t="n"/>
      <c r="J701" s="325">
        <f>IF(COUNTA(A701:F701)=0,"",IF(OR(C701&lt;0,D701&lt;0,E701&lt;0,F701&lt;0),"ERRO: valor negativo",IF(C701&lt;&gt;SUM(D701:F701),"ERRO: categorias diferem dos respondentes",IF(COUNTIFS($A$5:$A$1200,A701,$B$5:$B$1200,B701)&gt;1,"ERRO: período e curso duplicados","OK"))))</f>
        <v/>
      </c>
    </row>
    <row r="702" ht="15" customHeight="1" s="131">
      <c r="A702" s="320" t="n"/>
      <c r="B702" s="323" t="n"/>
      <c r="C702" s="320" t="n"/>
      <c r="D702" s="320" t="n"/>
      <c r="E702" s="320" t="n"/>
      <c r="F702" s="320" t="n"/>
      <c r="G702" s="284">
        <f>IFERROR((D702-F702)/C702*100,"")</f>
        <v/>
      </c>
      <c r="H702" s="324" t="n"/>
      <c r="I702" s="320" t="n"/>
      <c r="J702" s="325">
        <f>IF(COUNTA(A702:F702)=0,"",IF(OR(C702&lt;0,D702&lt;0,E702&lt;0,F702&lt;0),"ERRO: valor negativo",IF(C702&lt;&gt;SUM(D702:F702),"ERRO: categorias diferem dos respondentes",IF(COUNTIFS($A$5:$A$1200,A702,$B$5:$B$1200,B702)&gt;1,"ERRO: período e curso duplicados","OK"))))</f>
        <v/>
      </c>
    </row>
    <row r="703" ht="15" customHeight="1" s="131">
      <c r="A703" s="320" t="n"/>
      <c r="B703" s="323" t="n"/>
      <c r="C703" s="320" t="n"/>
      <c r="D703" s="320" t="n"/>
      <c r="E703" s="320" t="n"/>
      <c r="F703" s="320" t="n"/>
      <c r="G703" s="284">
        <f>IFERROR((D703-F703)/C703*100,"")</f>
        <v/>
      </c>
      <c r="H703" s="324" t="n"/>
      <c r="I703" s="320" t="n"/>
      <c r="J703" s="325">
        <f>IF(COUNTA(A703:F703)=0,"",IF(OR(C703&lt;0,D703&lt;0,E703&lt;0,F703&lt;0),"ERRO: valor negativo",IF(C703&lt;&gt;SUM(D703:F703),"ERRO: categorias diferem dos respondentes",IF(COUNTIFS($A$5:$A$1200,A703,$B$5:$B$1200,B703)&gt;1,"ERRO: período e curso duplicados","OK"))))</f>
        <v/>
      </c>
    </row>
    <row r="704" ht="15" customHeight="1" s="131">
      <c r="A704" s="320" t="n"/>
      <c r="B704" s="323" t="n"/>
      <c r="C704" s="320" t="n"/>
      <c r="D704" s="320" t="n"/>
      <c r="E704" s="320" t="n"/>
      <c r="F704" s="320" t="n"/>
      <c r="G704" s="284">
        <f>IFERROR((D704-F704)/C704*100,"")</f>
        <v/>
      </c>
      <c r="H704" s="324" t="n"/>
      <c r="I704" s="320" t="n"/>
      <c r="J704" s="325">
        <f>IF(COUNTA(A704:F704)=0,"",IF(OR(C704&lt;0,D704&lt;0,E704&lt;0,F704&lt;0),"ERRO: valor negativo",IF(C704&lt;&gt;SUM(D704:F704),"ERRO: categorias diferem dos respondentes",IF(COUNTIFS($A$5:$A$1200,A704,$B$5:$B$1200,B704)&gt;1,"ERRO: período e curso duplicados","OK"))))</f>
        <v/>
      </c>
    </row>
    <row r="705" ht="15" customHeight="1" s="131">
      <c r="A705" s="320" t="n"/>
      <c r="B705" s="323" t="n"/>
      <c r="C705" s="320" t="n"/>
      <c r="D705" s="320" t="n"/>
      <c r="E705" s="320" t="n"/>
      <c r="F705" s="320" t="n"/>
      <c r="G705" s="284">
        <f>IFERROR((D705-F705)/C705*100,"")</f>
        <v/>
      </c>
      <c r="H705" s="324" t="n"/>
      <c r="I705" s="320" t="n"/>
      <c r="J705" s="325">
        <f>IF(COUNTA(A705:F705)=0,"",IF(OR(C705&lt;0,D705&lt;0,E705&lt;0,F705&lt;0),"ERRO: valor negativo",IF(C705&lt;&gt;SUM(D705:F705),"ERRO: categorias diferem dos respondentes",IF(COUNTIFS($A$5:$A$1200,A705,$B$5:$B$1200,B705)&gt;1,"ERRO: período e curso duplicados","OK"))))</f>
        <v/>
      </c>
    </row>
    <row r="706" ht="15" customHeight="1" s="131">
      <c r="A706" s="320" t="n"/>
      <c r="B706" s="323" t="n"/>
      <c r="C706" s="320" t="n"/>
      <c r="D706" s="320" t="n"/>
      <c r="E706" s="320" t="n"/>
      <c r="F706" s="320" t="n"/>
      <c r="G706" s="284">
        <f>IFERROR((D706-F706)/C706*100,"")</f>
        <v/>
      </c>
      <c r="H706" s="324" t="n"/>
      <c r="I706" s="320" t="n"/>
      <c r="J706" s="325">
        <f>IF(COUNTA(A706:F706)=0,"",IF(OR(C706&lt;0,D706&lt;0,E706&lt;0,F706&lt;0),"ERRO: valor negativo",IF(C706&lt;&gt;SUM(D706:F706),"ERRO: categorias diferem dos respondentes",IF(COUNTIFS($A$5:$A$1200,A706,$B$5:$B$1200,B706)&gt;1,"ERRO: período e curso duplicados","OK"))))</f>
        <v/>
      </c>
    </row>
    <row r="707" ht="15" customHeight="1" s="131">
      <c r="A707" s="320" t="n"/>
      <c r="B707" s="323" t="n"/>
      <c r="C707" s="320" t="n"/>
      <c r="D707" s="320" t="n"/>
      <c r="E707" s="320" t="n"/>
      <c r="F707" s="320" t="n"/>
      <c r="G707" s="284">
        <f>IFERROR((D707-F707)/C707*100,"")</f>
        <v/>
      </c>
      <c r="H707" s="324" t="n"/>
      <c r="I707" s="320" t="n"/>
      <c r="J707" s="325">
        <f>IF(COUNTA(A707:F707)=0,"",IF(OR(C707&lt;0,D707&lt;0,E707&lt;0,F707&lt;0),"ERRO: valor negativo",IF(C707&lt;&gt;SUM(D707:F707),"ERRO: categorias diferem dos respondentes",IF(COUNTIFS($A$5:$A$1200,A707,$B$5:$B$1200,B707)&gt;1,"ERRO: período e curso duplicados","OK"))))</f>
        <v/>
      </c>
    </row>
    <row r="708" ht="15" customHeight="1" s="131">
      <c r="A708" s="320" t="n"/>
      <c r="B708" s="323" t="n"/>
      <c r="C708" s="320" t="n"/>
      <c r="D708" s="320" t="n"/>
      <c r="E708" s="320" t="n"/>
      <c r="F708" s="320" t="n"/>
      <c r="G708" s="284">
        <f>IFERROR((D708-F708)/C708*100,"")</f>
        <v/>
      </c>
      <c r="H708" s="324" t="n"/>
      <c r="I708" s="320" t="n"/>
      <c r="J708" s="325">
        <f>IF(COUNTA(A708:F708)=0,"",IF(OR(C708&lt;0,D708&lt;0,E708&lt;0,F708&lt;0),"ERRO: valor negativo",IF(C708&lt;&gt;SUM(D708:F708),"ERRO: categorias diferem dos respondentes",IF(COUNTIFS($A$5:$A$1200,A708,$B$5:$B$1200,B708)&gt;1,"ERRO: período e curso duplicados","OK"))))</f>
        <v/>
      </c>
    </row>
    <row r="709" ht="15" customHeight="1" s="131">
      <c r="A709" s="320" t="n"/>
      <c r="B709" s="323" t="n"/>
      <c r="C709" s="320" t="n"/>
      <c r="D709" s="320" t="n"/>
      <c r="E709" s="320" t="n"/>
      <c r="F709" s="320" t="n"/>
      <c r="G709" s="284">
        <f>IFERROR((D709-F709)/C709*100,"")</f>
        <v/>
      </c>
      <c r="H709" s="324" t="n"/>
      <c r="I709" s="320" t="n"/>
      <c r="J709" s="325">
        <f>IF(COUNTA(A709:F709)=0,"",IF(OR(C709&lt;0,D709&lt;0,E709&lt;0,F709&lt;0),"ERRO: valor negativo",IF(C709&lt;&gt;SUM(D709:F709),"ERRO: categorias diferem dos respondentes",IF(COUNTIFS($A$5:$A$1200,A709,$B$5:$B$1200,B709)&gt;1,"ERRO: período e curso duplicados","OK"))))</f>
        <v/>
      </c>
    </row>
    <row r="710" ht="15" customHeight="1" s="131">
      <c r="A710" s="320" t="n"/>
      <c r="B710" s="323" t="n"/>
      <c r="C710" s="320" t="n"/>
      <c r="D710" s="320" t="n"/>
      <c r="E710" s="320" t="n"/>
      <c r="F710" s="320" t="n"/>
      <c r="G710" s="284">
        <f>IFERROR((D710-F710)/C710*100,"")</f>
        <v/>
      </c>
      <c r="H710" s="324" t="n"/>
      <c r="I710" s="320" t="n"/>
      <c r="J710" s="325">
        <f>IF(COUNTA(A710:F710)=0,"",IF(OR(C710&lt;0,D710&lt;0,E710&lt;0,F710&lt;0),"ERRO: valor negativo",IF(C710&lt;&gt;SUM(D710:F710),"ERRO: categorias diferem dos respondentes",IF(COUNTIFS($A$5:$A$1200,A710,$B$5:$B$1200,B710)&gt;1,"ERRO: período e curso duplicados","OK"))))</f>
        <v/>
      </c>
    </row>
    <row r="711" ht="15" customHeight="1" s="131">
      <c r="A711" s="320" t="n"/>
      <c r="B711" s="323" t="n"/>
      <c r="C711" s="320" t="n"/>
      <c r="D711" s="320" t="n"/>
      <c r="E711" s="320" t="n"/>
      <c r="F711" s="320" t="n"/>
      <c r="G711" s="284">
        <f>IFERROR((D711-F711)/C711*100,"")</f>
        <v/>
      </c>
      <c r="H711" s="324" t="n"/>
      <c r="I711" s="320" t="n"/>
      <c r="J711" s="325">
        <f>IF(COUNTA(A711:F711)=0,"",IF(OR(C711&lt;0,D711&lt;0,E711&lt;0,F711&lt;0),"ERRO: valor negativo",IF(C711&lt;&gt;SUM(D711:F711),"ERRO: categorias diferem dos respondentes",IF(COUNTIFS($A$5:$A$1200,A711,$B$5:$B$1200,B711)&gt;1,"ERRO: período e curso duplicados","OK"))))</f>
        <v/>
      </c>
    </row>
    <row r="712" ht="15" customHeight="1" s="131">
      <c r="A712" s="320" t="n"/>
      <c r="B712" s="323" t="n"/>
      <c r="C712" s="320" t="n"/>
      <c r="D712" s="320" t="n"/>
      <c r="E712" s="320" t="n"/>
      <c r="F712" s="320" t="n"/>
      <c r="G712" s="284">
        <f>IFERROR((D712-F712)/C712*100,"")</f>
        <v/>
      </c>
      <c r="H712" s="324" t="n"/>
      <c r="I712" s="320" t="n"/>
      <c r="J712" s="325">
        <f>IF(COUNTA(A712:F712)=0,"",IF(OR(C712&lt;0,D712&lt;0,E712&lt;0,F712&lt;0),"ERRO: valor negativo",IF(C712&lt;&gt;SUM(D712:F712),"ERRO: categorias diferem dos respondentes",IF(COUNTIFS($A$5:$A$1200,A712,$B$5:$B$1200,B712)&gt;1,"ERRO: período e curso duplicados","OK"))))</f>
        <v/>
      </c>
    </row>
    <row r="713" ht="15" customHeight="1" s="131">
      <c r="A713" s="320" t="n"/>
      <c r="B713" s="323" t="n"/>
      <c r="C713" s="320" t="n"/>
      <c r="D713" s="320" t="n"/>
      <c r="E713" s="320" t="n"/>
      <c r="F713" s="320" t="n"/>
      <c r="G713" s="284">
        <f>IFERROR((D713-F713)/C713*100,"")</f>
        <v/>
      </c>
      <c r="H713" s="324" t="n"/>
      <c r="I713" s="320" t="n"/>
      <c r="J713" s="325">
        <f>IF(COUNTA(A713:F713)=0,"",IF(OR(C713&lt;0,D713&lt;0,E713&lt;0,F713&lt;0),"ERRO: valor negativo",IF(C713&lt;&gt;SUM(D713:F713),"ERRO: categorias diferem dos respondentes",IF(COUNTIFS($A$5:$A$1200,A713,$B$5:$B$1200,B713)&gt;1,"ERRO: período e curso duplicados","OK"))))</f>
        <v/>
      </c>
    </row>
    <row r="714" ht="15" customHeight="1" s="131">
      <c r="A714" s="320" t="n"/>
      <c r="B714" s="323" t="n"/>
      <c r="C714" s="320" t="n"/>
      <c r="D714" s="320" t="n"/>
      <c r="E714" s="320" t="n"/>
      <c r="F714" s="320" t="n"/>
      <c r="G714" s="284">
        <f>IFERROR((D714-F714)/C714*100,"")</f>
        <v/>
      </c>
      <c r="H714" s="324" t="n"/>
      <c r="I714" s="320" t="n"/>
      <c r="J714" s="325">
        <f>IF(COUNTA(A714:F714)=0,"",IF(OR(C714&lt;0,D714&lt;0,E714&lt;0,F714&lt;0),"ERRO: valor negativo",IF(C714&lt;&gt;SUM(D714:F714),"ERRO: categorias diferem dos respondentes",IF(COUNTIFS($A$5:$A$1200,A714,$B$5:$B$1200,B714)&gt;1,"ERRO: período e curso duplicados","OK"))))</f>
        <v/>
      </c>
    </row>
    <row r="715" ht="15" customHeight="1" s="131">
      <c r="A715" s="320" t="n"/>
      <c r="B715" s="323" t="n"/>
      <c r="C715" s="320" t="n"/>
      <c r="D715" s="320" t="n"/>
      <c r="E715" s="320" t="n"/>
      <c r="F715" s="320" t="n"/>
      <c r="G715" s="284">
        <f>IFERROR((D715-F715)/C715*100,"")</f>
        <v/>
      </c>
      <c r="H715" s="324" t="n"/>
      <c r="I715" s="320" t="n"/>
      <c r="J715" s="325">
        <f>IF(COUNTA(A715:F715)=0,"",IF(OR(C715&lt;0,D715&lt;0,E715&lt;0,F715&lt;0),"ERRO: valor negativo",IF(C715&lt;&gt;SUM(D715:F715),"ERRO: categorias diferem dos respondentes",IF(COUNTIFS($A$5:$A$1200,A715,$B$5:$B$1200,B715)&gt;1,"ERRO: período e curso duplicados","OK"))))</f>
        <v/>
      </c>
    </row>
    <row r="716" ht="15" customHeight="1" s="131">
      <c r="A716" s="320" t="n"/>
      <c r="B716" s="323" t="n"/>
      <c r="C716" s="320" t="n"/>
      <c r="D716" s="320" t="n"/>
      <c r="E716" s="320" t="n"/>
      <c r="F716" s="320" t="n"/>
      <c r="G716" s="284">
        <f>IFERROR((D716-F716)/C716*100,"")</f>
        <v/>
      </c>
      <c r="H716" s="324" t="n"/>
      <c r="I716" s="320" t="n"/>
      <c r="J716" s="325">
        <f>IF(COUNTA(A716:F716)=0,"",IF(OR(C716&lt;0,D716&lt;0,E716&lt;0,F716&lt;0),"ERRO: valor negativo",IF(C716&lt;&gt;SUM(D716:F716),"ERRO: categorias diferem dos respondentes",IF(COUNTIFS($A$5:$A$1200,A716,$B$5:$B$1200,B716)&gt;1,"ERRO: período e curso duplicados","OK"))))</f>
        <v/>
      </c>
    </row>
    <row r="717" ht="15" customHeight="1" s="131">
      <c r="A717" s="320" t="n"/>
      <c r="B717" s="323" t="n"/>
      <c r="C717" s="320" t="n"/>
      <c r="D717" s="320" t="n"/>
      <c r="E717" s="320" t="n"/>
      <c r="F717" s="320" t="n"/>
      <c r="G717" s="284">
        <f>IFERROR((D717-F717)/C717*100,"")</f>
        <v/>
      </c>
      <c r="H717" s="324" t="n"/>
      <c r="I717" s="320" t="n"/>
      <c r="J717" s="325">
        <f>IF(COUNTA(A717:F717)=0,"",IF(OR(C717&lt;0,D717&lt;0,E717&lt;0,F717&lt;0),"ERRO: valor negativo",IF(C717&lt;&gt;SUM(D717:F717),"ERRO: categorias diferem dos respondentes",IF(COUNTIFS($A$5:$A$1200,A717,$B$5:$B$1200,B717)&gt;1,"ERRO: período e curso duplicados","OK"))))</f>
        <v/>
      </c>
    </row>
    <row r="718" ht="15" customHeight="1" s="131">
      <c r="A718" s="320" t="n"/>
      <c r="B718" s="323" t="n"/>
      <c r="C718" s="320" t="n"/>
      <c r="D718" s="320" t="n"/>
      <c r="E718" s="320" t="n"/>
      <c r="F718" s="320" t="n"/>
      <c r="G718" s="284">
        <f>IFERROR((D718-F718)/C718*100,"")</f>
        <v/>
      </c>
      <c r="H718" s="324" t="n"/>
      <c r="I718" s="320" t="n"/>
      <c r="J718" s="325">
        <f>IF(COUNTA(A718:F718)=0,"",IF(OR(C718&lt;0,D718&lt;0,E718&lt;0,F718&lt;0),"ERRO: valor negativo",IF(C718&lt;&gt;SUM(D718:F718),"ERRO: categorias diferem dos respondentes",IF(COUNTIFS($A$5:$A$1200,A718,$B$5:$B$1200,B718)&gt;1,"ERRO: período e curso duplicados","OK"))))</f>
        <v/>
      </c>
    </row>
    <row r="719" ht="15" customHeight="1" s="131">
      <c r="A719" s="320" t="n"/>
      <c r="B719" s="323" t="n"/>
      <c r="C719" s="320" t="n"/>
      <c r="D719" s="320" t="n"/>
      <c r="E719" s="320" t="n"/>
      <c r="F719" s="320" t="n"/>
      <c r="G719" s="284">
        <f>IFERROR((D719-F719)/C719*100,"")</f>
        <v/>
      </c>
      <c r="H719" s="324" t="n"/>
      <c r="I719" s="320" t="n"/>
      <c r="J719" s="325">
        <f>IF(COUNTA(A719:F719)=0,"",IF(OR(C719&lt;0,D719&lt;0,E719&lt;0,F719&lt;0),"ERRO: valor negativo",IF(C719&lt;&gt;SUM(D719:F719),"ERRO: categorias diferem dos respondentes",IF(COUNTIFS($A$5:$A$1200,A719,$B$5:$B$1200,B719)&gt;1,"ERRO: período e curso duplicados","OK"))))</f>
        <v/>
      </c>
    </row>
    <row r="720" ht="15" customHeight="1" s="131">
      <c r="A720" s="320" t="n"/>
      <c r="B720" s="323" t="n"/>
      <c r="C720" s="320" t="n"/>
      <c r="D720" s="320" t="n"/>
      <c r="E720" s="320" t="n"/>
      <c r="F720" s="320" t="n"/>
      <c r="G720" s="284">
        <f>IFERROR((D720-F720)/C720*100,"")</f>
        <v/>
      </c>
      <c r="H720" s="324" t="n"/>
      <c r="I720" s="320" t="n"/>
      <c r="J720" s="325">
        <f>IF(COUNTA(A720:F720)=0,"",IF(OR(C720&lt;0,D720&lt;0,E720&lt;0,F720&lt;0),"ERRO: valor negativo",IF(C720&lt;&gt;SUM(D720:F720),"ERRO: categorias diferem dos respondentes",IF(COUNTIFS($A$5:$A$1200,A720,$B$5:$B$1200,B720)&gt;1,"ERRO: período e curso duplicados","OK"))))</f>
        <v/>
      </c>
    </row>
    <row r="721" ht="15" customHeight="1" s="131">
      <c r="A721" s="320" t="n"/>
      <c r="B721" s="323" t="n"/>
      <c r="C721" s="320" t="n"/>
      <c r="D721" s="320" t="n"/>
      <c r="E721" s="320" t="n"/>
      <c r="F721" s="320" t="n"/>
      <c r="G721" s="284">
        <f>IFERROR((D721-F721)/C721*100,"")</f>
        <v/>
      </c>
      <c r="H721" s="324" t="n"/>
      <c r="I721" s="320" t="n"/>
      <c r="J721" s="325">
        <f>IF(COUNTA(A721:F721)=0,"",IF(OR(C721&lt;0,D721&lt;0,E721&lt;0,F721&lt;0),"ERRO: valor negativo",IF(C721&lt;&gt;SUM(D721:F721),"ERRO: categorias diferem dos respondentes",IF(COUNTIFS($A$5:$A$1200,A721,$B$5:$B$1200,B721)&gt;1,"ERRO: período e curso duplicados","OK"))))</f>
        <v/>
      </c>
    </row>
    <row r="722" ht="15" customHeight="1" s="131">
      <c r="A722" s="320" t="n"/>
      <c r="B722" s="323" t="n"/>
      <c r="C722" s="320" t="n"/>
      <c r="D722" s="320" t="n"/>
      <c r="E722" s="320" t="n"/>
      <c r="F722" s="320" t="n"/>
      <c r="G722" s="284">
        <f>IFERROR((D722-F722)/C722*100,"")</f>
        <v/>
      </c>
      <c r="H722" s="324" t="n"/>
      <c r="I722" s="320" t="n"/>
      <c r="J722" s="325">
        <f>IF(COUNTA(A722:F722)=0,"",IF(OR(C722&lt;0,D722&lt;0,E722&lt;0,F722&lt;0),"ERRO: valor negativo",IF(C722&lt;&gt;SUM(D722:F722),"ERRO: categorias diferem dos respondentes",IF(COUNTIFS($A$5:$A$1200,A722,$B$5:$B$1200,B722)&gt;1,"ERRO: período e curso duplicados","OK"))))</f>
        <v/>
      </c>
    </row>
    <row r="723" ht="15" customHeight="1" s="131">
      <c r="A723" s="320" t="n"/>
      <c r="B723" s="323" t="n"/>
      <c r="C723" s="320" t="n"/>
      <c r="D723" s="320" t="n"/>
      <c r="E723" s="320" t="n"/>
      <c r="F723" s="320" t="n"/>
      <c r="G723" s="284">
        <f>IFERROR((D723-F723)/C723*100,"")</f>
        <v/>
      </c>
      <c r="H723" s="324" t="n"/>
      <c r="I723" s="320" t="n"/>
      <c r="J723" s="325">
        <f>IF(COUNTA(A723:F723)=0,"",IF(OR(C723&lt;0,D723&lt;0,E723&lt;0,F723&lt;0),"ERRO: valor negativo",IF(C723&lt;&gt;SUM(D723:F723),"ERRO: categorias diferem dos respondentes",IF(COUNTIFS($A$5:$A$1200,A723,$B$5:$B$1200,B723)&gt;1,"ERRO: período e curso duplicados","OK"))))</f>
        <v/>
      </c>
    </row>
    <row r="724" ht="15" customHeight="1" s="131">
      <c r="A724" s="320" t="n"/>
      <c r="B724" s="323" t="n"/>
      <c r="C724" s="320" t="n"/>
      <c r="D724" s="320" t="n"/>
      <c r="E724" s="320" t="n"/>
      <c r="F724" s="320" t="n"/>
      <c r="G724" s="284">
        <f>IFERROR((D724-F724)/C724*100,"")</f>
        <v/>
      </c>
      <c r="H724" s="324" t="n"/>
      <c r="I724" s="320" t="n"/>
      <c r="J724" s="325">
        <f>IF(COUNTA(A724:F724)=0,"",IF(OR(C724&lt;0,D724&lt;0,E724&lt;0,F724&lt;0),"ERRO: valor negativo",IF(C724&lt;&gt;SUM(D724:F724),"ERRO: categorias diferem dos respondentes",IF(COUNTIFS($A$5:$A$1200,A724,$B$5:$B$1200,B724)&gt;1,"ERRO: período e curso duplicados","OK"))))</f>
        <v/>
      </c>
    </row>
    <row r="725" ht="15" customHeight="1" s="131">
      <c r="A725" s="320" t="n"/>
      <c r="B725" s="323" t="n"/>
      <c r="C725" s="320" t="n"/>
      <c r="D725" s="320" t="n"/>
      <c r="E725" s="320" t="n"/>
      <c r="F725" s="320" t="n"/>
      <c r="G725" s="284">
        <f>IFERROR((D725-F725)/C725*100,"")</f>
        <v/>
      </c>
      <c r="H725" s="324" t="n"/>
      <c r="I725" s="320" t="n"/>
      <c r="J725" s="325">
        <f>IF(COUNTA(A725:F725)=0,"",IF(OR(C725&lt;0,D725&lt;0,E725&lt;0,F725&lt;0),"ERRO: valor negativo",IF(C725&lt;&gt;SUM(D725:F725),"ERRO: categorias diferem dos respondentes",IF(COUNTIFS($A$5:$A$1200,A725,$B$5:$B$1200,B725)&gt;1,"ERRO: período e curso duplicados","OK"))))</f>
        <v/>
      </c>
    </row>
    <row r="726" ht="15" customHeight="1" s="131">
      <c r="A726" s="320" t="n"/>
      <c r="B726" s="323" t="n"/>
      <c r="C726" s="320" t="n"/>
      <c r="D726" s="320" t="n"/>
      <c r="E726" s="320" t="n"/>
      <c r="F726" s="320" t="n"/>
      <c r="G726" s="284">
        <f>IFERROR((D726-F726)/C726*100,"")</f>
        <v/>
      </c>
      <c r="H726" s="324" t="n"/>
      <c r="I726" s="320" t="n"/>
      <c r="J726" s="325">
        <f>IF(COUNTA(A726:F726)=0,"",IF(OR(C726&lt;0,D726&lt;0,E726&lt;0,F726&lt;0),"ERRO: valor negativo",IF(C726&lt;&gt;SUM(D726:F726),"ERRO: categorias diferem dos respondentes",IF(COUNTIFS($A$5:$A$1200,A726,$B$5:$B$1200,B726)&gt;1,"ERRO: período e curso duplicados","OK"))))</f>
        <v/>
      </c>
    </row>
    <row r="727" ht="15" customHeight="1" s="131">
      <c r="A727" s="320" t="n"/>
      <c r="B727" s="323" t="n"/>
      <c r="C727" s="320" t="n"/>
      <c r="D727" s="320" t="n"/>
      <c r="E727" s="320" t="n"/>
      <c r="F727" s="320" t="n"/>
      <c r="G727" s="284">
        <f>IFERROR((D727-F727)/C727*100,"")</f>
        <v/>
      </c>
      <c r="H727" s="324" t="n"/>
      <c r="I727" s="320" t="n"/>
      <c r="J727" s="325">
        <f>IF(COUNTA(A727:F727)=0,"",IF(OR(C727&lt;0,D727&lt;0,E727&lt;0,F727&lt;0),"ERRO: valor negativo",IF(C727&lt;&gt;SUM(D727:F727),"ERRO: categorias diferem dos respondentes",IF(COUNTIFS($A$5:$A$1200,A727,$B$5:$B$1200,B727)&gt;1,"ERRO: período e curso duplicados","OK"))))</f>
        <v/>
      </c>
    </row>
    <row r="728" ht="15" customHeight="1" s="131">
      <c r="A728" s="320" t="n"/>
      <c r="B728" s="323" t="n"/>
      <c r="C728" s="320" t="n"/>
      <c r="D728" s="320" t="n"/>
      <c r="E728" s="320" t="n"/>
      <c r="F728" s="320" t="n"/>
      <c r="G728" s="284">
        <f>IFERROR((D728-F728)/C728*100,"")</f>
        <v/>
      </c>
      <c r="H728" s="324" t="n"/>
      <c r="I728" s="320" t="n"/>
      <c r="J728" s="325">
        <f>IF(COUNTA(A728:F728)=0,"",IF(OR(C728&lt;0,D728&lt;0,E728&lt;0,F728&lt;0),"ERRO: valor negativo",IF(C728&lt;&gt;SUM(D728:F728),"ERRO: categorias diferem dos respondentes",IF(COUNTIFS($A$5:$A$1200,A728,$B$5:$B$1200,B728)&gt;1,"ERRO: período e curso duplicados","OK"))))</f>
        <v/>
      </c>
    </row>
    <row r="729" ht="15" customHeight="1" s="131">
      <c r="A729" s="320" t="n"/>
      <c r="B729" s="323" t="n"/>
      <c r="C729" s="320" t="n"/>
      <c r="D729" s="320" t="n"/>
      <c r="E729" s="320" t="n"/>
      <c r="F729" s="320" t="n"/>
      <c r="G729" s="284">
        <f>IFERROR((D729-F729)/C729*100,"")</f>
        <v/>
      </c>
      <c r="H729" s="324" t="n"/>
      <c r="I729" s="320" t="n"/>
      <c r="J729" s="325">
        <f>IF(COUNTA(A729:F729)=0,"",IF(OR(C729&lt;0,D729&lt;0,E729&lt;0,F729&lt;0),"ERRO: valor negativo",IF(C729&lt;&gt;SUM(D729:F729),"ERRO: categorias diferem dos respondentes",IF(COUNTIFS($A$5:$A$1200,A729,$B$5:$B$1200,B729)&gt;1,"ERRO: período e curso duplicados","OK"))))</f>
        <v/>
      </c>
    </row>
    <row r="730" ht="15" customHeight="1" s="131">
      <c r="A730" s="320" t="n"/>
      <c r="B730" s="323" t="n"/>
      <c r="C730" s="320" t="n"/>
      <c r="D730" s="320" t="n"/>
      <c r="E730" s="320" t="n"/>
      <c r="F730" s="320" t="n"/>
      <c r="G730" s="284">
        <f>IFERROR((D730-F730)/C730*100,"")</f>
        <v/>
      </c>
      <c r="H730" s="324" t="n"/>
      <c r="I730" s="320" t="n"/>
      <c r="J730" s="325">
        <f>IF(COUNTA(A730:F730)=0,"",IF(OR(C730&lt;0,D730&lt;0,E730&lt;0,F730&lt;0),"ERRO: valor negativo",IF(C730&lt;&gt;SUM(D730:F730),"ERRO: categorias diferem dos respondentes",IF(COUNTIFS($A$5:$A$1200,A730,$B$5:$B$1200,B730)&gt;1,"ERRO: período e curso duplicados","OK"))))</f>
        <v/>
      </c>
    </row>
    <row r="731" ht="15" customHeight="1" s="131">
      <c r="A731" s="320" t="n"/>
      <c r="B731" s="323" t="n"/>
      <c r="C731" s="320" t="n"/>
      <c r="D731" s="320" t="n"/>
      <c r="E731" s="320" t="n"/>
      <c r="F731" s="320" t="n"/>
      <c r="G731" s="284">
        <f>IFERROR((D731-F731)/C731*100,"")</f>
        <v/>
      </c>
      <c r="H731" s="324" t="n"/>
      <c r="I731" s="320" t="n"/>
      <c r="J731" s="325">
        <f>IF(COUNTA(A731:F731)=0,"",IF(OR(C731&lt;0,D731&lt;0,E731&lt;0,F731&lt;0),"ERRO: valor negativo",IF(C731&lt;&gt;SUM(D731:F731),"ERRO: categorias diferem dos respondentes",IF(COUNTIFS($A$5:$A$1200,A731,$B$5:$B$1200,B731)&gt;1,"ERRO: período e curso duplicados","OK"))))</f>
        <v/>
      </c>
    </row>
    <row r="732" ht="15" customHeight="1" s="131">
      <c r="A732" s="320" t="n"/>
      <c r="B732" s="323" t="n"/>
      <c r="C732" s="320" t="n"/>
      <c r="D732" s="320" t="n"/>
      <c r="E732" s="320" t="n"/>
      <c r="F732" s="320" t="n"/>
      <c r="G732" s="284">
        <f>IFERROR((D732-F732)/C732*100,"")</f>
        <v/>
      </c>
      <c r="H732" s="324" t="n"/>
      <c r="I732" s="320" t="n"/>
      <c r="J732" s="325">
        <f>IF(COUNTA(A732:F732)=0,"",IF(OR(C732&lt;0,D732&lt;0,E732&lt;0,F732&lt;0),"ERRO: valor negativo",IF(C732&lt;&gt;SUM(D732:F732),"ERRO: categorias diferem dos respondentes",IF(COUNTIFS($A$5:$A$1200,A732,$B$5:$B$1200,B732)&gt;1,"ERRO: período e curso duplicados","OK"))))</f>
        <v/>
      </c>
    </row>
    <row r="733" ht="15" customHeight="1" s="131">
      <c r="A733" s="320" t="n"/>
      <c r="B733" s="323" t="n"/>
      <c r="C733" s="320" t="n"/>
      <c r="D733" s="320" t="n"/>
      <c r="E733" s="320" t="n"/>
      <c r="F733" s="320" t="n"/>
      <c r="G733" s="284">
        <f>IFERROR((D733-F733)/C733*100,"")</f>
        <v/>
      </c>
      <c r="H733" s="324" t="n"/>
      <c r="I733" s="320" t="n"/>
      <c r="J733" s="325">
        <f>IF(COUNTA(A733:F733)=0,"",IF(OR(C733&lt;0,D733&lt;0,E733&lt;0,F733&lt;0),"ERRO: valor negativo",IF(C733&lt;&gt;SUM(D733:F733),"ERRO: categorias diferem dos respondentes",IF(COUNTIFS($A$5:$A$1200,A733,$B$5:$B$1200,B733)&gt;1,"ERRO: período e curso duplicados","OK"))))</f>
        <v/>
      </c>
    </row>
    <row r="734" ht="15" customHeight="1" s="131">
      <c r="A734" s="320" t="n"/>
      <c r="B734" s="323" t="n"/>
      <c r="C734" s="320" t="n"/>
      <c r="D734" s="320" t="n"/>
      <c r="E734" s="320" t="n"/>
      <c r="F734" s="320" t="n"/>
      <c r="G734" s="284">
        <f>IFERROR((D734-F734)/C734*100,"")</f>
        <v/>
      </c>
      <c r="H734" s="324" t="n"/>
      <c r="I734" s="320" t="n"/>
      <c r="J734" s="325">
        <f>IF(COUNTA(A734:F734)=0,"",IF(OR(C734&lt;0,D734&lt;0,E734&lt;0,F734&lt;0),"ERRO: valor negativo",IF(C734&lt;&gt;SUM(D734:F734),"ERRO: categorias diferem dos respondentes",IF(COUNTIFS($A$5:$A$1200,A734,$B$5:$B$1200,B734)&gt;1,"ERRO: período e curso duplicados","OK"))))</f>
        <v/>
      </c>
    </row>
    <row r="735" ht="15" customHeight="1" s="131">
      <c r="A735" s="320" t="n"/>
      <c r="B735" s="323" t="n"/>
      <c r="C735" s="320" t="n"/>
      <c r="D735" s="320" t="n"/>
      <c r="E735" s="320" t="n"/>
      <c r="F735" s="320" t="n"/>
      <c r="G735" s="284">
        <f>IFERROR((D735-F735)/C735*100,"")</f>
        <v/>
      </c>
      <c r="H735" s="324" t="n"/>
      <c r="I735" s="320" t="n"/>
      <c r="J735" s="325">
        <f>IF(COUNTA(A735:F735)=0,"",IF(OR(C735&lt;0,D735&lt;0,E735&lt;0,F735&lt;0),"ERRO: valor negativo",IF(C735&lt;&gt;SUM(D735:F735),"ERRO: categorias diferem dos respondentes",IF(COUNTIFS($A$5:$A$1200,A735,$B$5:$B$1200,B735)&gt;1,"ERRO: período e curso duplicados","OK"))))</f>
        <v/>
      </c>
    </row>
    <row r="736" ht="15" customHeight="1" s="131">
      <c r="A736" s="320" t="n"/>
      <c r="B736" s="323" t="n"/>
      <c r="C736" s="320" t="n"/>
      <c r="D736" s="320" t="n"/>
      <c r="E736" s="320" t="n"/>
      <c r="F736" s="320" t="n"/>
      <c r="G736" s="284">
        <f>IFERROR((D736-F736)/C736*100,"")</f>
        <v/>
      </c>
      <c r="H736" s="324" t="n"/>
      <c r="I736" s="320" t="n"/>
      <c r="J736" s="325">
        <f>IF(COUNTA(A736:F736)=0,"",IF(OR(C736&lt;0,D736&lt;0,E736&lt;0,F736&lt;0),"ERRO: valor negativo",IF(C736&lt;&gt;SUM(D736:F736),"ERRO: categorias diferem dos respondentes",IF(COUNTIFS($A$5:$A$1200,A736,$B$5:$B$1200,B736)&gt;1,"ERRO: período e curso duplicados","OK"))))</f>
        <v/>
      </c>
    </row>
    <row r="737" ht="15" customHeight="1" s="131">
      <c r="A737" s="320" t="n"/>
      <c r="B737" s="323" t="n"/>
      <c r="C737" s="320" t="n"/>
      <c r="D737" s="320" t="n"/>
      <c r="E737" s="320" t="n"/>
      <c r="F737" s="320" t="n"/>
      <c r="G737" s="284">
        <f>IFERROR((D737-F737)/C737*100,"")</f>
        <v/>
      </c>
      <c r="H737" s="324" t="n"/>
      <c r="I737" s="320" t="n"/>
      <c r="J737" s="325">
        <f>IF(COUNTA(A737:F737)=0,"",IF(OR(C737&lt;0,D737&lt;0,E737&lt;0,F737&lt;0),"ERRO: valor negativo",IF(C737&lt;&gt;SUM(D737:F737),"ERRO: categorias diferem dos respondentes",IF(COUNTIFS($A$5:$A$1200,A737,$B$5:$B$1200,B737)&gt;1,"ERRO: período e curso duplicados","OK"))))</f>
        <v/>
      </c>
    </row>
    <row r="738" ht="15" customHeight="1" s="131">
      <c r="A738" s="320" t="n"/>
      <c r="B738" s="323" t="n"/>
      <c r="C738" s="320" t="n"/>
      <c r="D738" s="320" t="n"/>
      <c r="E738" s="320" t="n"/>
      <c r="F738" s="320" t="n"/>
      <c r="G738" s="284">
        <f>IFERROR((D738-F738)/C738*100,"")</f>
        <v/>
      </c>
      <c r="H738" s="324" t="n"/>
      <c r="I738" s="320" t="n"/>
      <c r="J738" s="325">
        <f>IF(COUNTA(A738:F738)=0,"",IF(OR(C738&lt;0,D738&lt;0,E738&lt;0,F738&lt;0),"ERRO: valor negativo",IF(C738&lt;&gt;SUM(D738:F738),"ERRO: categorias diferem dos respondentes",IF(COUNTIFS($A$5:$A$1200,A738,$B$5:$B$1200,B738)&gt;1,"ERRO: período e curso duplicados","OK"))))</f>
        <v/>
      </c>
    </row>
    <row r="739" ht="15" customHeight="1" s="131">
      <c r="A739" s="320" t="n"/>
      <c r="B739" s="323" t="n"/>
      <c r="C739" s="320" t="n"/>
      <c r="D739" s="320" t="n"/>
      <c r="E739" s="320" t="n"/>
      <c r="F739" s="320" t="n"/>
      <c r="G739" s="284">
        <f>IFERROR((D739-F739)/C739*100,"")</f>
        <v/>
      </c>
      <c r="H739" s="324" t="n"/>
      <c r="I739" s="320" t="n"/>
      <c r="J739" s="325">
        <f>IF(COUNTA(A739:F739)=0,"",IF(OR(C739&lt;0,D739&lt;0,E739&lt;0,F739&lt;0),"ERRO: valor negativo",IF(C739&lt;&gt;SUM(D739:F739),"ERRO: categorias diferem dos respondentes",IF(COUNTIFS($A$5:$A$1200,A739,$B$5:$B$1200,B739)&gt;1,"ERRO: período e curso duplicados","OK"))))</f>
        <v/>
      </c>
    </row>
    <row r="740" ht="15" customHeight="1" s="131">
      <c r="A740" s="320" t="n"/>
      <c r="B740" s="323" t="n"/>
      <c r="C740" s="320" t="n"/>
      <c r="D740" s="320" t="n"/>
      <c r="E740" s="320" t="n"/>
      <c r="F740" s="320" t="n"/>
      <c r="G740" s="284">
        <f>IFERROR((D740-F740)/C740*100,"")</f>
        <v/>
      </c>
      <c r="H740" s="324" t="n"/>
      <c r="I740" s="320" t="n"/>
      <c r="J740" s="325">
        <f>IF(COUNTA(A740:F740)=0,"",IF(OR(C740&lt;0,D740&lt;0,E740&lt;0,F740&lt;0),"ERRO: valor negativo",IF(C740&lt;&gt;SUM(D740:F740),"ERRO: categorias diferem dos respondentes",IF(COUNTIFS($A$5:$A$1200,A740,$B$5:$B$1200,B740)&gt;1,"ERRO: período e curso duplicados","OK"))))</f>
        <v/>
      </c>
    </row>
    <row r="741" ht="15" customHeight="1" s="131">
      <c r="A741" s="320" t="n"/>
      <c r="B741" s="323" t="n"/>
      <c r="C741" s="320" t="n"/>
      <c r="D741" s="320" t="n"/>
      <c r="E741" s="320" t="n"/>
      <c r="F741" s="320" t="n"/>
      <c r="G741" s="284">
        <f>IFERROR((D741-F741)/C741*100,"")</f>
        <v/>
      </c>
      <c r="H741" s="324" t="n"/>
      <c r="I741" s="320" t="n"/>
      <c r="J741" s="325">
        <f>IF(COUNTA(A741:F741)=0,"",IF(OR(C741&lt;0,D741&lt;0,E741&lt;0,F741&lt;0),"ERRO: valor negativo",IF(C741&lt;&gt;SUM(D741:F741),"ERRO: categorias diferem dos respondentes",IF(COUNTIFS($A$5:$A$1200,A741,$B$5:$B$1200,B741)&gt;1,"ERRO: período e curso duplicados","OK"))))</f>
        <v/>
      </c>
    </row>
    <row r="742" ht="15" customHeight="1" s="131">
      <c r="A742" s="320" t="n"/>
      <c r="B742" s="323" t="n"/>
      <c r="C742" s="320" t="n"/>
      <c r="D742" s="320" t="n"/>
      <c r="E742" s="320" t="n"/>
      <c r="F742" s="320" t="n"/>
      <c r="G742" s="284">
        <f>IFERROR((D742-F742)/C742*100,"")</f>
        <v/>
      </c>
      <c r="H742" s="324" t="n"/>
      <c r="I742" s="320" t="n"/>
      <c r="J742" s="325">
        <f>IF(COUNTA(A742:F742)=0,"",IF(OR(C742&lt;0,D742&lt;0,E742&lt;0,F742&lt;0),"ERRO: valor negativo",IF(C742&lt;&gt;SUM(D742:F742),"ERRO: categorias diferem dos respondentes",IF(COUNTIFS($A$5:$A$1200,A742,$B$5:$B$1200,B742)&gt;1,"ERRO: período e curso duplicados","OK"))))</f>
        <v/>
      </c>
    </row>
    <row r="743" ht="15" customHeight="1" s="131">
      <c r="A743" s="320" t="n"/>
      <c r="B743" s="323" t="n"/>
      <c r="C743" s="320" t="n"/>
      <c r="D743" s="320" t="n"/>
      <c r="E743" s="320" t="n"/>
      <c r="F743" s="320" t="n"/>
      <c r="G743" s="284">
        <f>IFERROR((D743-F743)/C743*100,"")</f>
        <v/>
      </c>
      <c r="H743" s="324" t="n"/>
      <c r="I743" s="320" t="n"/>
      <c r="J743" s="325">
        <f>IF(COUNTA(A743:F743)=0,"",IF(OR(C743&lt;0,D743&lt;0,E743&lt;0,F743&lt;0),"ERRO: valor negativo",IF(C743&lt;&gt;SUM(D743:F743),"ERRO: categorias diferem dos respondentes",IF(COUNTIFS($A$5:$A$1200,A743,$B$5:$B$1200,B743)&gt;1,"ERRO: período e curso duplicados","OK"))))</f>
        <v/>
      </c>
    </row>
    <row r="744" ht="15" customHeight="1" s="131">
      <c r="A744" s="320" t="n"/>
      <c r="B744" s="323" t="n"/>
      <c r="C744" s="320" t="n"/>
      <c r="D744" s="320" t="n"/>
      <c r="E744" s="320" t="n"/>
      <c r="F744" s="320" t="n"/>
      <c r="G744" s="284">
        <f>IFERROR((D744-F744)/C744*100,"")</f>
        <v/>
      </c>
      <c r="H744" s="324" t="n"/>
      <c r="I744" s="320" t="n"/>
      <c r="J744" s="325">
        <f>IF(COUNTA(A744:F744)=0,"",IF(OR(C744&lt;0,D744&lt;0,E744&lt;0,F744&lt;0),"ERRO: valor negativo",IF(C744&lt;&gt;SUM(D744:F744),"ERRO: categorias diferem dos respondentes",IF(COUNTIFS($A$5:$A$1200,A744,$B$5:$B$1200,B744)&gt;1,"ERRO: período e curso duplicados","OK"))))</f>
        <v/>
      </c>
    </row>
    <row r="745" ht="15" customHeight="1" s="131">
      <c r="A745" s="320" t="n"/>
      <c r="B745" s="323" t="n"/>
      <c r="C745" s="320" t="n"/>
      <c r="D745" s="320" t="n"/>
      <c r="E745" s="320" t="n"/>
      <c r="F745" s="320" t="n"/>
      <c r="G745" s="284">
        <f>IFERROR((D745-F745)/C745*100,"")</f>
        <v/>
      </c>
      <c r="H745" s="324" t="n"/>
      <c r="I745" s="320" t="n"/>
      <c r="J745" s="325">
        <f>IF(COUNTA(A745:F745)=0,"",IF(OR(C745&lt;0,D745&lt;0,E745&lt;0,F745&lt;0),"ERRO: valor negativo",IF(C745&lt;&gt;SUM(D745:F745),"ERRO: categorias diferem dos respondentes",IF(COUNTIFS($A$5:$A$1200,A745,$B$5:$B$1200,B745)&gt;1,"ERRO: período e curso duplicados","OK"))))</f>
        <v/>
      </c>
    </row>
    <row r="746" ht="15" customHeight="1" s="131">
      <c r="A746" s="320" t="n"/>
      <c r="B746" s="323" t="n"/>
      <c r="C746" s="320" t="n"/>
      <c r="D746" s="320" t="n"/>
      <c r="E746" s="320" t="n"/>
      <c r="F746" s="320" t="n"/>
      <c r="G746" s="284">
        <f>IFERROR((D746-F746)/C746*100,"")</f>
        <v/>
      </c>
      <c r="H746" s="324" t="n"/>
      <c r="I746" s="320" t="n"/>
      <c r="J746" s="325">
        <f>IF(COUNTA(A746:F746)=0,"",IF(OR(C746&lt;0,D746&lt;0,E746&lt;0,F746&lt;0),"ERRO: valor negativo",IF(C746&lt;&gt;SUM(D746:F746),"ERRO: categorias diferem dos respondentes",IF(COUNTIFS($A$5:$A$1200,A746,$B$5:$B$1200,B746)&gt;1,"ERRO: período e curso duplicados","OK"))))</f>
        <v/>
      </c>
    </row>
    <row r="747" ht="15" customHeight="1" s="131">
      <c r="A747" s="320" t="n"/>
      <c r="B747" s="323" t="n"/>
      <c r="C747" s="320" t="n"/>
      <c r="D747" s="320" t="n"/>
      <c r="E747" s="320" t="n"/>
      <c r="F747" s="320" t="n"/>
      <c r="G747" s="284">
        <f>IFERROR((D747-F747)/C747*100,"")</f>
        <v/>
      </c>
      <c r="H747" s="324" t="n"/>
      <c r="I747" s="320" t="n"/>
      <c r="J747" s="325">
        <f>IF(COUNTA(A747:F747)=0,"",IF(OR(C747&lt;0,D747&lt;0,E747&lt;0,F747&lt;0),"ERRO: valor negativo",IF(C747&lt;&gt;SUM(D747:F747),"ERRO: categorias diferem dos respondentes",IF(COUNTIFS($A$5:$A$1200,A747,$B$5:$B$1200,B747)&gt;1,"ERRO: período e curso duplicados","OK"))))</f>
        <v/>
      </c>
    </row>
    <row r="748" ht="15" customHeight="1" s="131">
      <c r="A748" s="320" t="n"/>
      <c r="B748" s="323" t="n"/>
      <c r="C748" s="320" t="n"/>
      <c r="D748" s="320" t="n"/>
      <c r="E748" s="320" t="n"/>
      <c r="F748" s="320" t="n"/>
      <c r="G748" s="284">
        <f>IFERROR((D748-F748)/C748*100,"")</f>
        <v/>
      </c>
      <c r="H748" s="324" t="n"/>
      <c r="I748" s="320" t="n"/>
      <c r="J748" s="325">
        <f>IF(COUNTA(A748:F748)=0,"",IF(OR(C748&lt;0,D748&lt;0,E748&lt;0,F748&lt;0),"ERRO: valor negativo",IF(C748&lt;&gt;SUM(D748:F748),"ERRO: categorias diferem dos respondentes",IF(COUNTIFS($A$5:$A$1200,A748,$B$5:$B$1200,B748)&gt;1,"ERRO: período e curso duplicados","OK"))))</f>
        <v/>
      </c>
    </row>
    <row r="749" ht="15" customHeight="1" s="131">
      <c r="A749" s="320" t="n"/>
      <c r="B749" s="323" t="n"/>
      <c r="C749" s="320" t="n"/>
      <c r="D749" s="320" t="n"/>
      <c r="E749" s="320" t="n"/>
      <c r="F749" s="320" t="n"/>
      <c r="G749" s="284">
        <f>IFERROR((D749-F749)/C749*100,"")</f>
        <v/>
      </c>
      <c r="H749" s="324" t="n"/>
      <c r="I749" s="320" t="n"/>
      <c r="J749" s="325">
        <f>IF(COUNTA(A749:F749)=0,"",IF(OR(C749&lt;0,D749&lt;0,E749&lt;0,F749&lt;0),"ERRO: valor negativo",IF(C749&lt;&gt;SUM(D749:F749),"ERRO: categorias diferem dos respondentes",IF(COUNTIFS($A$5:$A$1200,A749,$B$5:$B$1200,B749)&gt;1,"ERRO: período e curso duplicados","OK"))))</f>
        <v/>
      </c>
    </row>
    <row r="750" ht="15" customHeight="1" s="131">
      <c r="A750" s="320" t="n"/>
      <c r="B750" s="323" t="n"/>
      <c r="C750" s="320" t="n"/>
      <c r="D750" s="320" t="n"/>
      <c r="E750" s="320" t="n"/>
      <c r="F750" s="320" t="n"/>
      <c r="G750" s="284">
        <f>IFERROR((D750-F750)/C750*100,"")</f>
        <v/>
      </c>
      <c r="H750" s="324" t="n"/>
      <c r="I750" s="320" t="n"/>
      <c r="J750" s="325">
        <f>IF(COUNTA(A750:F750)=0,"",IF(OR(C750&lt;0,D750&lt;0,E750&lt;0,F750&lt;0),"ERRO: valor negativo",IF(C750&lt;&gt;SUM(D750:F750),"ERRO: categorias diferem dos respondentes",IF(COUNTIFS($A$5:$A$1200,A750,$B$5:$B$1200,B750)&gt;1,"ERRO: período e curso duplicados","OK"))))</f>
        <v/>
      </c>
    </row>
    <row r="751" ht="15" customHeight="1" s="131">
      <c r="A751" s="320" t="n"/>
      <c r="B751" s="323" t="n"/>
      <c r="C751" s="320" t="n"/>
      <c r="D751" s="320" t="n"/>
      <c r="E751" s="320" t="n"/>
      <c r="F751" s="320" t="n"/>
      <c r="G751" s="284">
        <f>IFERROR((D751-F751)/C751*100,"")</f>
        <v/>
      </c>
      <c r="H751" s="324" t="n"/>
      <c r="I751" s="320" t="n"/>
      <c r="J751" s="325">
        <f>IF(COUNTA(A751:F751)=0,"",IF(OR(C751&lt;0,D751&lt;0,E751&lt;0,F751&lt;0),"ERRO: valor negativo",IF(C751&lt;&gt;SUM(D751:F751),"ERRO: categorias diferem dos respondentes",IF(COUNTIFS($A$5:$A$1200,A751,$B$5:$B$1200,B751)&gt;1,"ERRO: período e curso duplicados","OK"))))</f>
        <v/>
      </c>
    </row>
    <row r="752" ht="15" customHeight="1" s="131">
      <c r="A752" s="320" t="n"/>
      <c r="B752" s="323" t="n"/>
      <c r="C752" s="320" t="n"/>
      <c r="D752" s="320" t="n"/>
      <c r="E752" s="320" t="n"/>
      <c r="F752" s="320" t="n"/>
      <c r="G752" s="284">
        <f>IFERROR((D752-F752)/C752*100,"")</f>
        <v/>
      </c>
      <c r="H752" s="324" t="n"/>
      <c r="I752" s="320" t="n"/>
      <c r="J752" s="325">
        <f>IF(COUNTA(A752:F752)=0,"",IF(OR(C752&lt;0,D752&lt;0,E752&lt;0,F752&lt;0),"ERRO: valor negativo",IF(C752&lt;&gt;SUM(D752:F752),"ERRO: categorias diferem dos respondentes",IF(COUNTIFS($A$5:$A$1200,A752,$B$5:$B$1200,B752)&gt;1,"ERRO: período e curso duplicados","OK"))))</f>
        <v/>
      </c>
    </row>
    <row r="753" ht="15" customHeight="1" s="131">
      <c r="A753" s="320" t="n"/>
      <c r="B753" s="323" t="n"/>
      <c r="C753" s="320" t="n"/>
      <c r="D753" s="320" t="n"/>
      <c r="E753" s="320" t="n"/>
      <c r="F753" s="320" t="n"/>
      <c r="G753" s="284">
        <f>IFERROR((D753-F753)/C753*100,"")</f>
        <v/>
      </c>
      <c r="H753" s="324" t="n"/>
      <c r="I753" s="320" t="n"/>
      <c r="J753" s="325">
        <f>IF(COUNTA(A753:F753)=0,"",IF(OR(C753&lt;0,D753&lt;0,E753&lt;0,F753&lt;0),"ERRO: valor negativo",IF(C753&lt;&gt;SUM(D753:F753),"ERRO: categorias diferem dos respondentes",IF(COUNTIFS($A$5:$A$1200,A753,$B$5:$B$1200,B753)&gt;1,"ERRO: período e curso duplicados","OK"))))</f>
        <v/>
      </c>
    </row>
    <row r="754" ht="15" customHeight="1" s="131">
      <c r="A754" s="320" t="n"/>
      <c r="B754" s="323" t="n"/>
      <c r="C754" s="320" t="n"/>
      <c r="D754" s="320" t="n"/>
      <c r="E754" s="320" t="n"/>
      <c r="F754" s="320" t="n"/>
      <c r="G754" s="284">
        <f>IFERROR((D754-F754)/C754*100,"")</f>
        <v/>
      </c>
      <c r="H754" s="324" t="n"/>
      <c r="I754" s="320" t="n"/>
      <c r="J754" s="325">
        <f>IF(COUNTA(A754:F754)=0,"",IF(OR(C754&lt;0,D754&lt;0,E754&lt;0,F754&lt;0),"ERRO: valor negativo",IF(C754&lt;&gt;SUM(D754:F754),"ERRO: categorias diferem dos respondentes",IF(COUNTIFS($A$5:$A$1200,A754,$B$5:$B$1200,B754)&gt;1,"ERRO: período e curso duplicados","OK"))))</f>
        <v/>
      </c>
    </row>
    <row r="755" ht="15" customHeight="1" s="131">
      <c r="A755" s="320" t="n"/>
      <c r="B755" s="323" t="n"/>
      <c r="C755" s="320" t="n"/>
      <c r="D755" s="320" t="n"/>
      <c r="E755" s="320" t="n"/>
      <c r="F755" s="320" t="n"/>
      <c r="G755" s="284">
        <f>IFERROR((D755-F755)/C755*100,"")</f>
        <v/>
      </c>
      <c r="H755" s="324" t="n"/>
      <c r="I755" s="320" t="n"/>
      <c r="J755" s="325">
        <f>IF(COUNTA(A755:F755)=0,"",IF(OR(C755&lt;0,D755&lt;0,E755&lt;0,F755&lt;0),"ERRO: valor negativo",IF(C755&lt;&gt;SUM(D755:F755),"ERRO: categorias diferem dos respondentes",IF(COUNTIFS($A$5:$A$1200,A755,$B$5:$B$1200,B755)&gt;1,"ERRO: período e curso duplicados","OK"))))</f>
        <v/>
      </c>
    </row>
    <row r="756" ht="15" customHeight="1" s="131">
      <c r="A756" s="320" t="n"/>
      <c r="B756" s="323" t="n"/>
      <c r="C756" s="320" t="n"/>
      <c r="D756" s="320" t="n"/>
      <c r="E756" s="320" t="n"/>
      <c r="F756" s="320" t="n"/>
      <c r="G756" s="284">
        <f>IFERROR((D756-F756)/C756*100,"")</f>
        <v/>
      </c>
      <c r="H756" s="324" t="n"/>
      <c r="I756" s="320" t="n"/>
      <c r="J756" s="325">
        <f>IF(COUNTA(A756:F756)=0,"",IF(OR(C756&lt;0,D756&lt;0,E756&lt;0,F756&lt;0),"ERRO: valor negativo",IF(C756&lt;&gt;SUM(D756:F756),"ERRO: categorias diferem dos respondentes",IF(COUNTIFS($A$5:$A$1200,A756,$B$5:$B$1200,B756)&gt;1,"ERRO: período e curso duplicados","OK"))))</f>
        <v/>
      </c>
    </row>
    <row r="757" ht="15" customHeight="1" s="131">
      <c r="A757" s="320" t="n"/>
      <c r="B757" s="323" t="n"/>
      <c r="C757" s="320" t="n"/>
      <c r="D757" s="320" t="n"/>
      <c r="E757" s="320" t="n"/>
      <c r="F757" s="320" t="n"/>
      <c r="G757" s="284">
        <f>IFERROR((D757-F757)/C757*100,"")</f>
        <v/>
      </c>
      <c r="H757" s="324" t="n"/>
      <c r="I757" s="320" t="n"/>
      <c r="J757" s="325">
        <f>IF(COUNTA(A757:F757)=0,"",IF(OR(C757&lt;0,D757&lt;0,E757&lt;0,F757&lt;0),"ERRO: valor negativo",IF(C757&lt;&gt;SUM(D757:F757),"ERRO: categorias diferem dos respondentes",IF(COUNTIFS($A$5:$A$1200,A757,$B$5:$B$1200,B757)&gt;1,"ERRO: período e curso duplicados","OK"))))</f>
        <v/>
      </c>
    </row>
    <row r="758" ht="15" customHeight="1" s="131">
      <c r="A758" s="320" t="n"/>
      <c r="B758" s="323" t="n"/>
      <c r="C758" s="320" t="n"/>
      <c r="D758" s="320" t="n"/>
      <c r="E758" s="320" t="n"/>
      <c r="F758" s="320" t="n"/>
      <c r="G758" s="284">
        <f>IFERROR((D758-F758)/C758*100,"")</f>
        <v/>
      </c>
      <c r="H758" s="324" t="n"/>
      <c r="I758" s="320" t="n"/>
      <c r="J758" s="325">
        <f>IF(COUNTA(A758:F758)=0,"",IF(OR(C758&lt;0,D758&lt;0,E758&lt;0,F758&lt;0),"ERRO: valor negativo",IF(C758&lt;&gt;SUM(D758:F758),"ERRO: categorias diferem dos respondentes",IF(COUNTIFS($A$5:$A$1200,A758,$B$5:$B$1200,B758)&gt;1,"ERRO: período e curso duplicados","OK"))))</f>
        <v/>
      </c>
    </row>
    <row r="759" ht="15" customHeight="1" s="131">
      <c r="A759" s="320" t="n"/>
      <c r="B759" s="323" t="n"/>
      <c r="C759" s="320" t="n"/>
      <c r="D759" s="320" t="n"/>
      <c r="E759" s="320" t="n"/>
      <c r="F759" s="320" t="n"/>
      <c r="G759" s="284">
        <f>IFERROR((D759-F759)/C759*100,"")</f>
        <v/>
      </c>
      <c r="H759" s="324" t="n"/>
      <c r="I759" s="320" t="n"/>
      <c r="J759" s="325">
        <f>IF(COUNTA(A759:F759)=0,"",IF(OR(C759&lt;0,D759&lt;0,E759&lt;0,F759&lt;0),"ERRO: valor negativo",IF(C759&lt;&gt;SUM(D759:F759),"ERRO: categorias diferem dos respondentes",IF(COUNTIFS($A$5:$A$1200,A759,$B$5:$B$1200,B759)&gt;1,"ERRO: período e curso duplicados","OK"))))</f>
        <v/>
      </c>
    </row>
    <row r="760" ht="15" customHeight="1" s="131">
      <c r="A760" s="320" t="n"/>
      <c r="B760" s="323" t="n"/>
      <c r="C760" s="320" t="n"/>
      <c r="D760" s="320" t="n"/>
      <c r="E760" s="320" t="n"/>
      <c r="F760" s="320" t="n"/>
      <c r="G760" s="284">
        <f>IFERROR((D760-F760)/C760*100,"")</f>
        <v/>
      </c>
      <c r="H760" s="324" t="n"/>
      <c r="I760" s="320" t="n"/>
      <c r="J760" s="325">
        <f>IF(COUNTA(A760:F760)=0,"",IF(OR(C760&lt;0,D760&lt;0,E760&lt;0,F760&lt;0),"ERRO: valor negativo",IF(C760&lt;&gt;SUM(D760:F760),"ERRO: categorias diferem dos respondentes",IF(COUNTIFS($A$5:$A$1200,A760,$B$5:$B$1200,B760)&gt;1,"ERRO: período e curso duplicados","OK"))))</f>
        <v/>
      </c>
    </row>
    <row r="761" ht="15" customHeight="1" s="131">
      <c r="A761" s="320" t="n"/>
      <c r="B761" s="323" t="n"/>
      <c r="C761" s="320" t="n"/>
      <c r="D761" s="320" t="n"/>
      <c r="E761" s="320" t="n"/>
      <c r="F761" s="320" t="n"/>
      <c r="G761" s="284">
        <f>IFERROR((D761-F761)/C761*100,"")</f>
        <v/>
      </c>
      <c r="H761" s="324" t="n"/>
      <c r="I761" s="320" t="n"/>
      <c r="J761" s="325">
        <f>IF(COUNTA(A761:F761)=0,"",IF(OR(C761&lt;0,D761&lt;0,E761&lt;0,F761&lt;0),"ERRO: valor negativo",IF(C761&lt;&gt;SUM(D761:F761),"ERRO: categorias diferem dos respondentes",IF(COUNTIFS($A$5:$A$1200,A761,$B$5:$B$1200,B761)&gt;1,"ERRO: período e curso duplicados","OK"))))</f>
        <v/>
      </c>
    </row>
    <row r="762" ht="15" customHeight="1" s="131">
      <c r="A762" s="320" t="n"/>
      <c r="B762" s="323" t="n"/>
      <c r="C762" s="320" t="n"/>
      <c r="D762" s="320" t="n"/>
      <c r="E762" s="320" t="n"/>
      <c r="F762" s="320" t="n"/>
      <c r="G762" s="284">
        <f>IFERROR((D762-F762)/C762*100,"")</f>
        <v/>
      </c>
      <c r="H762" s="324" t="n"/>
      <c r="I762" s="320" t="n"/>
      <c r="J762" s="325">
        <f>IF(COUNTA(A762:F762)=0,"",IF(OR(C762&lt;0,D762&lt;0,E762&lt;0,F762&lt;0),"ERRO: valor negativo",IF(C762&lt;&gt;SUM(D762:F762),"ERRO: categorias diferem dos respondentes",IF(COUNTIFS($A$5:$A$1200,A762,$B$5:$B$1200,B762)&gt;1,"ERRO: período e curso duplicados","OK"))))</f>
        <v/>
      </c>
    </row>
    <row r="763" ht="15" customHeight="1" s="131">
      <c r="A763" s="320" t="n"/>
      <c r="B763" s="323" t="n"/>
      <c r="C763" s="320" t="n"/>
      <c r="D763" s="320" t="n"/>
      <c r="E763" s="320" t="n"/>
      <c r="F763" s="320" t="n"/>
      <c r="G763" s="284">
        <f>IFERROR((D763-F763)/C763*100,"")</f>
        <v/>
      </c>
      <c r="H763" s="324" t="n"/>
      <c r="I763" s="320" t="n"/>
      <c r="J763" s="325">
        <f>IF(COUNTA(A763:F763)=0,"",IF(OR(C763&lt;0,D763&lt;0,E763&lt;0,F763&lt;0),"ERRO: valor negativo",IF(C763&lt;&gt;SUM(D763:F763),"ERRO: categorias diferem dos respondentes",IF(COUNTIFS($A$5:$A$1200,A763,$B$5:$B$1200,B763)&gt;1,"ERRO: período e curso duplicados","OK"))))</f>
        <v/>
      </c>
    </row>
    <row r="764" ht="15" customHeight="1" s="131">
      <c r="A764" s="320" t="n"/>
      <c r="B764" s="323" t="n"/>
      <c r="C764" s="320" t="n"/>
      <c r="D764" s="320" t="n"/>
      <c r="E764" s="320" t="n"/>
      <c r="F764" s="320" t="n"/>
      <c r="G764" s="284">
        <f>IFERROR((D764-F764)/C764*100,"")</f>
        <v/>
      </c>
      <c r="H764" s="324" t="n"/>
      <c r="I764" s="320" t="n"/>
      <c r="J764" s="325">
        <f>IF(COUNTA(A764:F764)=0,"",IF(OR(C764&lt;0,D764&lt;0,E764&lt;0,F764&lt;0),"ERRO: valor negativo",IF(C764&lt;&gt;SUM(D764:F764),"ERRO: categorias diferem dos respondentes",IF(COUNTIFS($A$5:$A$1200,A764,$B$5:$B$1200,B764)&gt;1,"ERRO: período e curso duplicados","OK"))))</f>
        <v/>
      </c>
    </row>
    <row r="765" ht="15" customHeight="1" s="131">
      <c r="A765" s="320" t="n"/>
      <c r="B765" s="323" t="n"/>
      <c r="C765" s="320" t="n"/>
      <c r="D765" s="320" t="n"/>
      <c r="E765" s="320" t="n"/>
      <c r="F765" s="320" t="n"/>
      <c r="G765" s="284">
        <f>IFERROR((D765-F765)/C765*100,"")</f>
        <v/>
      </c>
      <c r="H765" s="324" t="n"/>
      <c r="I765" s="320" t="n"/>
      <c r="J765" s="325">
        <f>IF(COUNTA(A765:F765)=0,"",IF(OR(C765&lt;0,D765&lt;0,E765&lt;0,F765&lt;0),"ERRO: valor negativo",IF(C765&lt;&gt;SUM(D765:F765),"ERRO: categorias diferem dos respondentes",IF(COUNTIFS($A$5:$A$1200,A765,$B$5:$B$1200,B765)&gt;1,"ERRO: período e curso duplicados","OK"))))</f>
        <v/>
      </c>
    </row>
    <row r="766" ht="15" customHeight="1" s="131">
      <c r="A766" s="320" t="n"/>
      <c r="B766" s="323" t="n"/>
      <c r="C766" s="320" t="n"/>
      <c r="D766" s="320" t="n"/>
      <c r="E766" s="320" t="n"/>
      <c r="F766" s="320" t="n"/>
      <c r="G766" s="284">
        <f>IFERROR((D766-F766)/C766*100,"")</f>
        <v/>
      </c>
      <c r="H766" s="324" t="n"/>
      <c r="I766" s="320" t="n"/>
      <c r="J766" s="325">
        <f>IF(COUNTA(A766:F766)=0,"",IF(OR(C766&lt;0,D766&lt;0,E766&lt;0,F766&lt;0),"ERRO: valor negativo",IF(C766&lt;&gt;SUM(D766:F766),"ERRO: categorias diferem dos respondentes",IF(COUNTIFS($A$5:$A$1200,A766,$B$5:$B$1200,B766)&gt;1,"ERRO: período e curso duplicados","OK"))))</f>
        <v/>
      </c>
    </row>
    <row r="767" ht="15" customHeight="1" s="131">
      <c r="A767" s="320" t="n"/>
      <c r="B767" s="323" t="n"/>
      <c r="C767" s="320" t="n"/>
      <c r="D767" s="320" t="n"/>
      <c r="E767" s="320" t="n"/>
      <c r="F767" s="320" t="n"/>
      <c r="G767" s="284">
        <f>IFERROR((D767-F767)/C767*100,"")</f>
        <v/>
      </c>
      <c r="H767" s="324" t="n"/>
      <c r="I767" s="320" t="n"/>
      <c r="J767" s="325">
        <f>IF(COUNTA(A767:F767)=0,"",IF(OR(C767&lt;0,D767&lt;0,E767&lt;0,F767&lt;0),"ERRO: valor negativo",IF(C767&lt;&gt;SUM(D767:F767),"ERRO: categorias diferem dos respondentes",IF(COUNTIFS($A$5:$A$1200,A767,$B$5:$B$1200,B767)&gt;1,"ERRO: período e curso duplicados","OK"))))</f>
        <v/>
      </c>
    </row>
    <row r="768" ht="15" customHeight="1" s="131">
      <c r="A768" s="320" t="n"/>
      <c r="B768" s="323" t="n"/>
      <c r="C768" s="320" t="n"/>
      <c r="D768" s="320" t="n"/>
      <c r="E768" s="320" t="n"/>
      <c r="F768" s="320" t="n"/>
      <c r="G768" s="284">
        <f>IFERROR((D768-F768)/C768*100,"")</f>
        <v/>
      </c>
      <c r="H768" s="324" t="n"/>
      <c r="I768" s="320" t="n"/>
      <c r="J768" s="325">
        <f>IF(COUNTA(A768:F768)=0,"",IF(OR(C768&lt;0,D768&lt;0,E768&lt;0,F768&lt;0),"ERRO: valor negativo",IF(C768&lt;&gt;SUM(D768:F768),"ERRO: categorias diferem dos respondentes",IF(COUNTIFS($A$5:$A$1200,A768,$B$5:$B$1200,B768)&gt;1,"ERRO: período e curso duplicados","OK"))))</f>
        <v/>
      </c>
    </row>
    <row r="769" ht="15" customHeight="1" s="131">
      <c r="A769" s="320" t="n"/>
      <c r="B769" s="323" t="n"/>
      <c r="C769" s="320" t="n"/>
      <c r="D769" s="320" t="n"/>
      <c r="E769" s="320" t="n"/>
      <c r="F769" s="320" t="n"/>
      <c r="G769" s="284">
        <f>IFERROR((D769-F769)/C769*100,"")</f>
        <v/>
      </c>
      <c r="H769" s="324" t="n"/>
      <c r="I769" s="320" t="n"/>
      <c r="J769" s="325">
        <f>IF(COUNTA(A769:F769)=0,"",IF(OR(C769&lt;0,D769&lt;0,E769&lt;0,F769&lt;0),"ERRO: valor negativo",IF(C769&lt;&gt;SUM(D769:F769),"ERRO: categorias diferem dos respondentes",IF(COUNTIFS($A$5:$A$1200,A769,$B$5:$B$1200,B769)&gt;1,"ERRO: período e curso duplicados","OK"))))</f>
        <v/>
      </c>
    </row>
    <row r="770" ht="15" customHeight="1" s="131">
      <c r="A770" s="320" t="n"/>
      <c r="B770" s="323" t="n"/>
      <c r="C770" s="320" t="n"/>
      <c r="D770" s="320" t="n"/>
      <c r="E770" s="320" t="n"/>
      <c r="F770" s="320" t="n"/>
      <c r="G770" s="284">
        <f>IFERROR((D770-F770)/C770*100,"")</f>
        <v/>
      </c>
      <c r="H770" s="324" t="n"/>
      <c r="I770" s="320" t="n"/>
      <c r="J770" s="325">
        <f>IF(COUNTA(A770:F770)=0,"",IF(OR(C770&lt;0,D770&lt;0,E770&lt;0,F770&lt;0),"ERRO: valor negativo",IF(C770&lt;&gt;SUM(D770:F770),"ERRO: categorias diferem dos respondentes",IF(COUNTIFS($A$5:$A$1200,A770,$B$5:$B$1200,B770)&gt;1,"ERRO: período e curso duplicados","OK"))))</f>
        <v/>
      </c>
    </row>
    <row r="771" ht="15" customHeight="1" s="131">
      <c r="A771" s="320" t="n"/>
      <c r="B771" s="323" t="n"/>
      <c r="C771" s="320" t="n"/>
      <c r="D771" s="320" t="n"/>
      <c r="E771" s="320" t="n"/>
      <c r="F771" s="320" t="n"/>
      <c r="G771" s="284">
        <f>IFERROR((D771-F771)/C771*100,"")</f>
        <v/>
      </c>
      <c r="H771" s="324" t="n"/>
      <c r="I771" s="320" t="n"/>
      <c r="J771" s="325">
        <f>IF(COUNTA(A771:F771)=0,"",IF(OR(C771&lt;0,D771&lt;0,E771&lt;0,F771&lt;0),"ERRO: valor negativo",IF(C771&lt;&gt;SUM(D771:F771),"ERRO: categorias diferem dos respondentes",IF(COUNTIFS($A$5:$A$1200,A771,$B$5:$B$1200,B771)&gt;1,"ERRO: período e curso duplicados","OK"))))</f>
        <v/>
      </c>
    </row>
    <row r="772" ht="15" customHeight="1" s="131">
      <c r="A772" s="320" t="n"/>
      <c r="B772" s="323" t="n"/>
      <c r="C772" s="320" t="n"/>
      <c r="D772" s="320" t="n"/>
      <c r="E772" s="320" t="n"/>
      <c r="F772" s="320" t="n"/>
      <c r="G772" s="284">
        <f>IFERROR((D772-F772)/C772*100,"")</f>
        <v/>
      </c>
      <c r="H772" s="324" t="n"/>
      <c r="I772" s="320" t="n"/>
      <c r="J772" s="325">
        <f>IF(COUNTA(A772:F772)=0,"",IF(OR(C772&lt;0,D772&lt;0,E772&lt;0,F772&lt;0),"ERRO: valor negativo",IF(C772&lt;&gt;SUM(D772:F772),"ERRO: categorias diferem dos respondentes",IF(COUNTIFS($A$5:$A$1200,A772,$B$5:$B$1200,B772)&gt;1,"ERRO: período e curso duplicados","OK"))))</f>
        <v/>
      </c>
    </row>
    <row r="773" ht="15" customHeight="1" s="131">
      <c r="A773" s="320" t="n"/>
      <c r="B773" s="323" t="n"/>
      <c r="C773" s="320" t="n"/>
      <c r="D773" s="320" t="n"/>
      <c r="E773" s="320" t="n"/>
      <c r="F773" s="320" t="n"/>
      <c r="G773" s="284">
        <f>IFERROR((D773-F773)/C773*100,"")</f>
        <v/>
      </c>
      <c r="H773" s="324" t="n"/>
      <c r="I773" s="320" t="n"/>
      <c r="J773" s="325">
        <f>IF(COUNTA(A773:F773)=0,"",IF(OR(C773&lt;0,D773&lt;0,E773&lt;0,F773&lt;0),"ERRO: valor negativo",IF(C773&lt;&gt;SUM(D773:F773),"ERRO: categorias diferem dos respondentes",IF(COUNTIFS($A$5:$A$1200,A773,$B$5:$B$1200,B773)&gt;1,"ERRO: período e curso duplicados","OK"))))</f>
        <v/>
      </c>
    </row>
    <row r="774" ht="15" customHeight="1" s="131">
      <c r="A774" s="320" t="n"/>
      <c r="B774" s="323" t="n"/>
      <c r="C774" s="320" t="n"/>
      <c r="D774" s="320" t="n"/>
      <c r="E774" s="320" t="n"/>
      <c r="F774" s="320" t="n"/>
      <c r="G774" s="284">
        <f>IFERROR((D774-F774)/C774*100,"")</f>
        <v/>
      </c>
      <c r="H774" s="324" t="n"/>
      <c r="I774" s="320" t="n"/>
      <c r="J774" s="325">
        <f>IF(COUNTA(A774:F774)=0,"",IF(OR(C774&lt;0,D774&lt;0,E774&lt;0,F774&lt;0),"ERRO: valor negativo",IF(C774&lt;&gt;SUM(D774:F774),"ERRO: categorias diferem dos respondentes",IF(COUNTIFS($A$5:$A$1200,A774,$B$5:$B$1200,B774)&gt;1,"ERRO: período e curso duplicados","OK"))))</f>
        <v/>
      </c>
    </row>
    <row r="775" ht="15" customHeight="1" s="131">
      <c r="A775" s="320" t="n"/>
      <c r="B775" s="323" t="n"/>
      <c r="C775" s="320" t="n"/>
      <c r="D775" s="320" t="n"/>
      <c r="E775" s="320" t="n"/>
      <c r="F775" s="320" t="n"/>
      <c r="G775" s="284">
        <f>IFERROR((D775-F775)/C775*100,"")</f>
        <v/>
      </c>
      <c r="H775" s="324" t="n"/>
      <c r="I775" s="320" t="n"/>
      <c r="J775" s="325">
        <f>IF(COUNTA(A775:F775)=0,"",IF(OR(C775&lt;0,D775&lt;0,E775&lt;0,F775&lt;0),"ERRO: valor negativo",IF(C775&lt;&gt;SUM(D775:F775),"ERRO: categorias diferem dos respondentes",IF(COUNTIFS($A$5:$A$1200,A775,$B$5:$B$1200,B775)&gt;1,"ERRO: período e curso duplicados","OK"))))</f>
        <v/>
      </c>
    </row>
    <row r="776" ht="15" customHeight="1" s="131">
      <c r="A776" s="320" t="n"/>
      <c r="B776" s="323" t="n"/>
      <c r="C776" s="320" t="n"/>
      <c r="D776" s="320" t="n"/>
      <c r="E776" s="320" t="n"/>
      <c r="F776" s="320" t="n"/>
      <c r="G776" s="284">
        <f>IFERROR((D776-F776)/C776*100,"")</f>
        <v/>
      </c>
      <c r="H776" s="324" t="n"/>
      <c r="I776" s="320" t="n"/>
      <c r="J776" s="325">
        <f>IF(COUNTA(A776:F776)=0,"",IF(OR(C776&lt;0,D776&lt;0,E776&lt;0,F776&lt;0),"ERRO: valor negativo",IF(C776&lt;&gt;SUM(D776:F776),"ERRO: categorias diferem dos respondentes",IF(COUNTIFS($A$5:$A$1200,A776,$B$5:$B$1200,B776)&gt;1,"ERRO: período e curso duplicados","OK"))))</f>
        <v/>
      </c>
    </row>
    <row r="777" ht="15" customHeight="1" s="131">
      <c r="A777" s="320" t="n"/>
      <c r="B777" s="323" t="n"/>
      <c r="C777" s="320" t="n"/>
      <c r="D777" s="320" t="n"/>
      <c r="E777" s="320" t="n"/>
      <c r="F777" s="320" t="n"/>
      <c r="G777" s="284">
        <f>IFERROR((D777-F777)/C777*100,"")</f>
        <v/>
      </c>
      <c r="H777" s="324" t="n"/>
      <c r="I777" s="320" t="n"/>
      <c r="J777" s="325">
        <f>IF(COUNTA(A777:F777)=0,"",IF(OR(C777&lt;0,D777&lt;0,E777&lt;0,F777&lt;0),"ERRO: valor negativo",IF(C777&lt;&gt;SUM(D777:F777),"ERRO: categorias diferem dos respondentes",IF(COUNTIFS($A$5:$A$1200,A777,$B$5:$B$1200,B777)&gt;1,"ERRO: período e curso duplicados","OK"))))</f>
        <v/>
      </c>
    </row>
    <row r="778" ht="15" customHeight="1" s="131">
      <c r="A778" s="320" t="n"/>
      <c r="B778" s="323" t="n"/>
      <c r="C778" s="320" t="n"/>
      <c r="D778" s="320" t="n"/>
      <c r="E778" s="320" t="n"/>
      <c r="F778" s="320" t="n"/>
      <c r="G778" s="284">
        <f>IFERROR((D778-F778)/C778*100,"")</f>
        <v/>
      </c>
      <c r="H778" s="324" t="n"/>
      <c r="I778" s="320" t="n"/>
      <c r="J778" s="325">
        <f>IF(COUNTA(A778:F778)=0,"",IF(OR(C778&lt;0,D778&lt;0,E778&lt;0,F778&lt;0),"ERRO: valor negativo",IF(C778&lt;&gt;SUM(D778:F778),"ERRO: categorias diferem dos respondentes",IF(COUNTIFS($A$5:$A$1200,A778,$B$5:$B$1200,B778)&gt;1,"ERRO: período e curso duplicados","OK"))))</f>
        <v/>
      </c>
    </row>
    <row r="779" ht="15" customHeight="1" s="131">
      <c r="A779" s="320" t="n"/>
      <c r="B779" s="323" t="n"/>
      <c r="C779" s="320" t="n"/>
      <c r="D779" s="320" t="n"/>
      <c r="E779" s="320" t="n"/>
      <c r="F779" s="320" t="n"/>
      <c r="G779" s="284">
        <f>IFERROR((D779-F779)/C779*100,"")</f>
        <v/>
      </c>
      <c r="H779" s="324" t="n"/>
      <c r="I779" s="320" t="n"/>
      <c r="J779" s="325">
        <f>IF(COUNTA(A779:F779)=0,"",IF(OR(C779&lt;0,D779&lt;0,E779&lt;0,F779&lt;0),"ERRO: valor negativo",IF(C779&lt;&gt;SUM(D779:F779),"ERRO: categorias diferem dos respondentes",IF(COUNTIFS($A$5:$A$1200,A779,$B$5:$B$1200,B779)&gt;1,"ERRO: período e curso duplicados","OK"))))</f>
        <v/>
      </c>
    </row>
    <row r="780" ht="15" customHeight="1" s="131">
      <c r="A780" s="320" t="n"/>
      <c r="B780" s="323" t="n"/>
      <c r="C780" s="320" t="n"/>
      <c r="D780" s="320" t="n"/>
      <c r="E780" s="320" t="n"/>
      <c r="F780" s="320" t="n"/>
      <c r="G780" s="284">
        <f>IFERROR((D780-F780)/C780*100,"")</f>
        <v/>
      </c>
      <c r="H780" s="324" t="n"/>
      <c r="I780" s="320" t="n"/>
      <c r="J780" s="325">
        <f>IF(COUNTA(A780:F780)=0,"",IF(OR(C780&lt;0,D780&lt;0,E780&lt;0,F780&lt;0),"ERRO: valor negativo",IF(C780&lt;&gt;SUM(D780:F780),"ERRO: categorias diferem dos respondentes",IF(COUNTIFS($A$5:$A$1200,A780,$B$5:$B$1200,B780)&gt;1,"ERRO: período e curso duplicados","OK"))))</f>
        <v/>
      </c>
    </row>
    <row r="781" ht="15" customHeight="1" s="131">
      <c r="A781" s="320" t="n"/>
      <c r="B781" s="323" t="n"/>
      <c r="C781" s="320" t="n"/>
      <c r="D781" s="320" t="n"/>
      <c r="E781" s="320" t="n"/>
      <c r="F781" s="320" t="n"/>
      <c r="G781" s="284">
        <f>IFERROR((D781-F781)/C781*100,"")</f>
        <v/>
      </c>
      <c r="H781" s="324" t="n"/>
      <c r="I781" s="320" t="n"/>
      <c r="J781" s="325">
        <f>IF(COUNTA(A781:F781)=0,"",IF(OR(C781&lt;0,D781&lt;0,E781&lt;0,F781&lt;0),"ERRO: valor negativo",IF(C781&lt;&gt;SUM(D781:F781),"ERRO: categorias diferem dos respondentes",IF(COUNTIFS($A$5:$A$1200,A781,$B$5:$B$1200,B781)&gt;1,"ERRO: período e curso duplicados","OK"))))</f>
        <v/>
      </c>
    </row>
    <row r="782" ht="15" customHeight="1" s="131">
      <c r="A782" s="320" t="n"/>
      <c r="B782" s="323" t="n"/>
      <c r="C782" s="320" t="n"/>
      <c r="D782" s="320" t="n"/>
      <c r="E782" s="320" t="n"/>
      <c r="F782" s="320" t="n"/>
      <c r="G782" s="284">
        <f>IFERROR((D782-F782)/C782*100,"")</f>
        <v/>
      </c>
      <c r="H782" s="324" t="n"/>
      <c r="I782" s="320" t="n"/>
      <c r="J782" s="325">
        <f>IF(COUNTA(A782:F782)=0,"",IF(OR(C782&lt;0,D782&lt;0,E782&lt;0,F782&lt;0),"ERRO: valor negativo",IF(C782&lt;&gt;SUM(D782:F782),"ERRO: categorias diferem dos respondentes",IF(COUNTIFS($A$5:$A$1200,A782,$B$5:$B$1200,B782)&gt;1,"ERRO: período e curso duplicados","OK"))))</f>
        <v/>
      </c>
    </row>
    <row r="783" ht="15" customHeight="1" s="131">
      <c r="A783" s="320" t="n"/>
      <c r="B783" s="323" t="n"/>
      <c r="C783" s="320" t="n"/>
      <c r="D783" s="320" t="n"/>
      <c r="E783" s="320" t="n"/>
      <c r="F783" s="320" t="n"/>
      <c r="G783" s="284">
        <f>IFERROR((D783-F783)/C783*100,"")</f>
        <v/>
      </c>
      <c r="H783" s="324" t="n"/>
      <c r="I783" s="320" t="n"/>
      <c r="J783" s="325">
        <f>IF(COUNTA(A783:F783)=0,"",IF(OR(C783&lt;0,D783&lt;0,E783&lt;0,F783&lt;0),"ERRO: valor negativo",IF(C783&lt;&gt;SUM(D783:F783),"ERRO: categorias diferem dos respondentes",IF(COUNTIFS($A$5:$A$1200,A783,$B$5:$B$1200,B783)&gt;1,"ERRO: período e curso duplicados","OK"))))</f>
        <v/>
      </c>
    </row>
    <row r="784" ht="15" customHeight="1" s="131">
      <c r="A784" s="320" t="n"/>
      <c r="B784" s="323" t="n"/>
      <c r="C784" s="320" t="n"/>
      <c r="D784" s="320" t="n"/>
      <c r="E784" s="320" t="n"/>
      <c r="F784" s="320" t="n"/>
      <c r="G784" s="284">
        <f>IFERROR((D784-F784)/C784*100,"")</f>
        <v/>
      </c>
      <c r="H784" s="324" t="n"/>
      <c r="I784" s="320" t="n"/>
      <c r="J784" s="325">
        <f>IF(COUNTA(A784:F784)=0,"",IF(OR(C784&lt;0,D784&lt;0,E784&lt;0,F784&lt;0),"ERRO: valor negativo",IF(C784&lt;&gt;SUM(D784:F784),"ERRO: categorias diferem dos respondentes",IF(COUNTIFS($A$5:$A$1200,A784,$B$5:$B$1200,B784)&gt;1,"ERRO: período e curso duplicados","OK"))))</f>
        <v/>
      </c>
    </row>
    <row r="785" ht="15" customHeight="1" s="131">
      <c r="A785" s="320" t="n"/>
      <c r="B785" s="323" t="n"/>
      <c r="C785" s="320" t="n"/>
      <c r="D785" s="320" t="n"/>
      <c r="E785" s="320" t="n"/>
      <c r="F785" s="320" t="n"/>
      <c r="G785" s="284">
        <f>IFERROR((D785-F785)/C785*100,"")</f>
        <v/>
      </c>
      <c r="H785" s="324" t="n"/>
      <c r="I785" s="320" t="n"/>
      <c r="J785" s="325">
        <f>IF(COUNTA(A785:F785)=0,"",IF(OR(C785&lt;0,D785&lt;0,E785&lt;0,F785&lt;0),"ERRO: valor negativo",IF(C785&lt;&gt;SUM(D785:F785),"ERRO: categorias diferem dos respondentes",IF(COUNTIFS($A$5:$A$1200,A785,$B$5:$B$1200,B785)&gt;1,"ERRO: período e curso duplicados","OK"))))</f>
        <v/>
      </c>
    </row>
    <row r="786" ht="15" customHeight="1" s="131">
      <c r="A786" s="320" t="n"/>
      <c r="B786" s="323" t="n"/>
      <c r="C786" s="320" t="n"/>
      <c r="D786" s="320" t="n"/>
      <c r="E786" s="320" t="n"/>
      <c r="F786" s="320" t="n"/>
      <c r="G786" s="284">
        <f>IFERROR((D786-F786)/C786*100,"")</f>
        <v/>
      </c>
      <c r="H786" s="324" t="n"/>
      <c r="I786" s="320" t="n"/>
      <c r="J786" s="325">
        <f>IF(COUNTA(A786:F786)=0,"",IF(OR(C786&lt;0,D786&lt;0,E786&lt;0,F786&lt;0),"ERRO: valor negativo",IF(C786&lt;&gt;SUM(D786:F786),"ERRO: categorias diferem dos respondentes",IF(COUNTIFS($A$5:$A$1200,A786,$B$5:$B$1200,B786)&gt;1,"ERRO: período e curso duplicados","OK"))))</f>
        <v/>
      </c>
    </row>
    <row r="787" ht="15" customHeight="1" s="131">
      <c r="A787" s="320" t="n"/>
      <c r="B787" s="323" t="n"/>
      <c r="C787" s="320" t="n"/>
      <c r="D787" s="320" t="n"/>
      <c r="E787" s="320" t="n"/>
      <c r="F787" s="320" t="n"/>
      <c r="G787" s="284">
        <f>IFERROR((D787-F787)/C787*100,"")</f>
        <v/>
      </c>
      <c r="H787" s="324" t="n"/>
      <c r="I787" s="320" t="n"/>
      <c r="J787" s="325">
        <f>IF(COUNTA(A787:F787)=0,"",IF(OR(C787&lt;0,D787&lt;0,E787&lt;0,F787&lt;0),"ERRO: valor negativo",IF(C787&lt;&gt;SUM(D787:F787),"ERRO: categorias diferem dos respondentes",IF(COUNTIFS($A$5:$A$1200,A787,$B$5:$B$1200,B787)&gt;1,"ERRO: período e curso duplicados","OK"))))</f>
        <v/>
      </c>
    </row>
    <row r="788" ht="15" customHeight="1" s="131">
      <c r="A788" s="320" t="n"/>
      <c r="B788" s="323" t="n"/>
      <c r="C788" s="320" t="n"/>
      <c r="D788" s="320" t="n"/>
      <c r="E788" s="320" t="n"/>
      <c r="F788" s="320" t="n"/>
      <c r="G788" s="284">
        <f>IFERROR((D788-F788)/C788*100,"")</f>
        <v/>
      </c>
      <c r="H788" s="324" t="n"/>
      <c r="I788" s="320" t="n"/>
      <c r="J788" s="325">
        <f>IF(COUNTA(A788:F788)=0,"",IF(OR(C788&lt;0,D788&lt;0,E788&lt;0,F788&lt;0),"ERRO: valor negativo",IF(C788&lt;&gt;SUM(D788:F788),"ERRO: categorias diferem dos respondentes",IF(COUNTIFS($A$5:$A$1200,A788,$B$5:$B$1200,B788)&gt;1,"ERRO: período e curso duplicados","OK"))))</f>
        <v/>
      </c>
    </row>
    <row r="789" ht="15" customHeight="1" s="131">
      <c r="A789" s="320" t="n"/>
      <c r="B789" s="323" t="n"/>
      <c r="C789" s="320" t="n"/>
      <c r="D789" s="320" t="n"/>
      <c r="E789" s="320" t="n"/>
      <c r="F789" s="320" t="n"/>
      <c r="G789" s="284">
        <f>IFERROR((D789-F789)/C789*100,"")</f>
        <v/>
      </c>
      <c r="H789" s="324" t="n"/>
      <c r="I789" s="320" t="n"/>
      <c r="J789" s="325">
        <f>IF(COUNTA(A789:F789)=0,"",IF(OR(C789&lt;0,D789&lt;0,E789&lt;0,F789&lt;0),"ERRO: valor negativo",IF(C789&lt;&gt;SUM(D789:F789),"ERRO: categorias diferem dos respondentes",IF(COUNTIFS($A$5:$A$1200,A789,$B$5:$B$1200,B789)&gt;1,"ERRO: período e curso duplicados","OK"))))</f>
        <v/>
      </c>
    </row>
    <row r="790" ht="15" customHeight="1" s="131">
      <c r="A790" s="320" t="n"/>
      <c r="B790" s="323" t="n"/>
      <c r="C790" s="320" t="n"/>
      <c r="D790" s="320" t="n"/>
      <c r="E790" s="320" t="n"/>
      <c r="F790" s="320" t="n"/>
      <c r="G790" s="284">
        <f>IFERROR((D790-F790)/C790*100,"")</f>
        <v/>
      </c>
      <c r="H790" s="324" t="n"/>
      <c r="I790" s="320" t="n"/>
      <c r="J790" s="325">
        <f>IF(COUNTA(A790:F790)=0,"",IF(OR(C790&lt;0,D790&lt;0,E790&lt;0,F790&lt;0),"ERRO: valor negativo",IF(C790&lt;&gt;SUM(D790:F790),"ERRO: categorias diferem dos respondentes",IF(COUNTIFS($A$5:$A$1200,A790,$B$5:$B$1200,B790)&gt;1,"ERRO: período e curso duplicados","OK"))))</f>
        <v/>
      </c>
    </row>
    <row r="791" ht="15" customHeight="1" s="131">
      <c r="A791" s="320" t="n"/>
      <c r="B791" s="323" t="n"/>
      <c r="C791" s="320" t="n"/>
      <c r="D791" s="320" t="n"/>
      <c r="E791" s="320" t="n"/>
      <c r="F791" s="320" t="n"/>
      <c r="G791" s="284">
        <f>IFERROR((D791-F791)/C791*100,"")</f>
        <v/>
      </c>
      <c r="H791" s="324" t="n"/>
      <c r="I791" s="320" t="n"/>
      <c r="J791" s="325">
        <f>IF(COUNTA(A791:F791)=0,"",IF(OR(C791&lt;0,D791&lt;0,E791&lt;0,F791&lt;0),"ERRO: valor negativo",IF(C791&lt;&gt;SUM(D791:F791),"ERRO: categorias diferem dos respondentes",IF(COUNTIFS($A$5:$A$1200,A791,$B$5:$B$1200,B791)&gt;1,"ERRO: período e curso duplicados","OK"))))</f>
        <v/>
      </c>
    </row>
    <row r="792" ht="15" customHeight="1" s="131">
      <c r="A792" s="320" t="n"/>
      <c r="B792" s="323" t="n"/>
      <c r="C792" s="320" t="n"/>
      <c r="D792" s="320" t="n"/>
      <c r="E792" s="320" t="n"/>
      <c r="F792" s="320" t="n"/>
      <c r="G792" s="284">
        <f>IFERROR((D792-F792)/C792*100,"")</f>
        <v/>
      </c>
      <c r="H792" s="324" t="n"/>
      <c r="I792" s="320" t="n"/>
      <c r="J792" s="325">
        <f>IF(COUNTA(A792:F792)=0,"",IF(OR(C792&lt;0,D792&lt;0,E792&lt;0,F792&lt;0),"ERRO: valor negativo",IF(C792&lt;&gt;SUM(D792:F792),"ERRO: categorias diferem dos respondentes",IF(COUNTIFS($A$5:$A$1200,A792,$B$5:$B$1200,B792)&gt;1,"ERRO: período e curso duplicados","OK"))))</f>
        <v/>
      </c>
    </row>
    <row r="793" ht="15" customHeight="1" s="131">
      <c r="A793" s="320" t="n"/>
      <c r="B793" s="323" t="n"/>
      <c r="C793" s="320" t="n"/>
      <c r="D793" s="320" t="n"/>
      <c r="E793" s="320" t="n"/>
      <c r="F793" s="320" t="n"/>
      <c r="G793" s="284">
        <f>IFERROR((D793-F793)/C793*100,"")</f>
        <v/>
      </c>
      <c r="H793" s="324" t="n"/>
      <c r="I793" s="320" t="n"/>
      <c r="J793" s="325">
        <f>IF(COUNTA(A793:F793)=0,"",IF(OR(C793&lt;0,D793&lt;0,E793&lt;0,F793&lt;0),"ERRO: valor negativo",IF(C793&lt;&gt;SUM(D793:F793),"ERRO: categorias diferem dos respondentes",IF(COUNTIFS($A$5:$A$1200,A793,$B$5:$B$1200,B793)&gt;1,"ERRO: período e curso duplicados","OK"))))</f>
        <v/>
      </c>
    </row>
    <row r="794" ht="15" customHeight="1" s="131">
      <c r="A794" s="320" t="n"/>
      <c r="B794" s="323" t="n"/>
      <c r="C794" s="320" t="n"/>
      <c r="D794" s="320" t="n"/>
      <c r="E794" s="320" t="n"/>
      <c r="F794" s="320" t="n"/>
      <c r="G794" s="284">
        <f>IFERROR((D794-F794)/C794*100,"")</f>
        <v/>
      </c>
      <c r="H794" s="324" t="n"/>
      <c r="I794" s="320" t="n"/>
      <c r="J794" s="325">
        <f>IF(COUNTA(A794:F794)=0,"",IF(OR(C794&lt;0,D794&lt;0,E794&lt;0,F794&lt;0),"ERRO: valor negativo",IF(C794&lt;&gt;SUM(D794:F794),"ERRO: categorias diferem dos respondentes",IF(COUNTIFS($A$5:$A$1200,A794,$B$5:$B$1200,B794)&gt;1,"ERRO: período e curso duplicados","OK"))))</f>
        <v/>
      </c>
    </row>
    <row r="795" ht="15" customHeight="1" s="131">
      <c r="A795" s="320" t="n"/>
      <c r="B795" s="323" t="n"/>
      <c r="C795" s="320" t="n"/>
      <c r="D795" s="320" t="n"/>
      <c r="E795" s="320" t="n"/>
      <c r="F795" s="320" t="n"/>
      <c r="G795" s="284">
        <f>IFERROR((D795-F795)/C795*100,"")</f>
        <v/>
      </c>
      <c r="H795" s="324" t="n"/>
      <c r="I795" s="320" t="n"/>
      <c r="J795" s="325">
        <f>IF(COUNTA(A795:F795)=0,"",IF(OR(C795&lt;0,D795&lt;0,E795&lt;0,F795&lt;0),"ERRO: valor negativo",IF(C795&lt;&gt;SUM(D795:F795),"ERRO: categorias diferem dos respondentes",IF(COUNTIFS($A$5:$A$1200,A795,$B$5:$B$1200,B795)&gt;1,"ERRO: período e curso duplicados","OK"))))</f>
        <v/>
      </c>
    </row>
    <row r="796" ht="15" customHeight="1" s="131">
      <c r="A796" s="320" t="n"/>
      <c r="B796" s="323" t="n"/>
      <c r="C796" s="320" t="n"/>
      <c r="D796" s="320" t="n"/>
      <c r="E796" s="320" t="n"/>
      <c r="F796" s="320" t="n"/>
      <c r="G796" s="284">
        <f>IFERROR((D796-F796)/C796*100,"")</f>
        <v/>
      </c>
      <c r="H796" s="324" t="n"/>
      <c r="I796" s="320" t="n"/>
      <c r="J796" s="325">
        <f>IF(COUNTA(A796:F796)=0,"",IF(OR(C796&lt;0,D796&lt;0,E796&lt;0,F796&lt;0),"ERRO: valor negativo",IF(C796&lt;&gt;SUM(D796:F796),"ERRO: categorias diferem dos respondentes",IF(COUNTIFS($A$5:$A$1200,A796,$B$5:$B$1200,B796)&gt;1,"ERRO: período e curso duplicados","OK"))))</f>
        <v/>
      </c>
    </row>
    <row r="797" ht="15" customHeight="1" s="131">
      <c r="A797" s="320" t="n"/>
      <c r="B797" s="323" t="n"/>
      <c r="C797" s="320" t="n"/>
      <c r="D797" s="320" t="n"/>
      <c r="E797" s="320" t="n"/>
      <c r="F797" s="320" t="n"/>
      <c r="G797" s="284">
        <f>IFERROR((D797-F797)/C797*100,"")</f>
        <v/>
      </c>
      <c r="H797" s="324" t="n"/>
      <c r="I797" s="320" t="n"/>
      <c r="J797" s="325">
        <f>IF(COUNTA(A797:F797)=0,"",IF(OR(C797&lt;0,D797&lt;0,E797&lt;0,F797&lt;0),"ERRO: valor negativo",IF(C797&lt;&gt;SUM(D797:F797),"ERRO: categorias diferem dos respondentes",IF(COUNTIFS($A$5:$A$1200,A797,$B$5:$B$1200,B797)&gt;1,"ERRO: período e curso duplicados","OK"))))</f>
        <v/>
      </c>
    </row>
    <row r="798" ht="15" customHeight="1" s="131">
      <c r="A798" s="320" t="n"/>
      <c r="B798" s="323" t="n"/>
      <c r="C798" s="320" t="n"/>
      <c r="D798" s="320" t="n"/>
      <c r="E798" s="320" t="n"/>
      <c r="F798" s="320" t="n"/>
      <c r="G798" s="284">
        <f>IFERROR((D798-F798)/C798*100,"")</f>
        <v/>
      </c>
      <c r="H798" s="324" t="n"/>
      <c r="I798" s="320" t="n"/>
      <c r="J798" s="325">
        <f>IF(COUNTA(A798:F798)=0,"",IF(OR(C798&lt;0,D798&lt;0,E798&lt;0,F798&lt;0),"ERRO: valor negativo",IF(C798&lt;&gt;SUM(D798:F798),"ERRO: categorias diferem dos respondentes",IF(COUNTIFS($A$5:$A$1200,A798,$B$5:$B$1200,B798)&gt;1,"ERRO: período e curso duplicados","OK"))))</f>
        <v/>
      </c>
    </row>
    <row r="799" ht="15" customHeight="1" s="131">
      <c r="A799" s="320" t="n"/>
      <c r="B799" s="323" t="n"/>
      <c r="C799" s="320" t="n"/>
      <c r="D799" s="320" t="n"/>
      <c r="E799" s="320" t="n"/>
      <c r="F799" s="320" t="n"/>
      <c r="G799" s="284">
        <f>IFERROR((D799-F799)/C799*100,"")</f>
        <v/>
      </c>
      <c r="H799" s="324" t="n"/>
      <c r="I799" s="320" t="n"/>
      <c r="J799" s="325">
        <f>IF(COUNTA(A799:F799)=0,"",IF(OR(C799&lt;0,D799&lt;0,E799&lt;0,F799&lt;0),"ERRO: valor negativo",IF(C799&lt;&gt;SUM(D799:F799),"ERRO: categorias diferem dos respondentes",IF(COUNTIFS($A$5:$A$1200,A799,$B$5:$B$1200,B799)&gt;1,"ERRO: período e curso duplicados","OK"))))</f>
        <v/>
      </c>
    </row>
    <row r="800" ht="15" customHeight="1" s="131">
      <c r="A800" s="320" t="n"/>
      <c r="B800" s="323" t="n"/>
      <c r="C800" s="320" t="n"/>
      <c r="D800" s="320" t="n"/>
      <c r="E800" s="320" t="n"/>
      <c r="F800" s="320" t="n"/>
      <c r="G800" s="284">
        <f>IFERROR((D800-F800)/C800*100,"")</f>
        <v/>
      </c>
      <c r="H800" s="324" t="n"/>
      <c r="I800" s="320" t="n"/>
      <c r="J800" s="325">
        <f>IF(COUNTA(A800:F800)=0,"",IF(OR(C800&lt;0,D800&lt;0,E800&lt;0,F800&lt;0),"ERRO: valor negativo",IF(C800&lt;&gt;SUM(D800:F800),"ERRO: categorias diferem dos respondentes",IF(COUNTIFS($A$5:$A$1200,A800,$B$5:$B$1200,B800)&gt;1,"ERRO: período e curso duplicados","OK"))))</f>
        <v/>
      </c>
    </row>
    <row r="801" ht="15" customHeight="1" s="131">
      <c r="A801" s="320" t="n"/>
      <c r="B801" s="323" t="n"/>
      <c r="C801" s="320" t="n"/>
      <c r="D801" s="320" t="n"/>
      <c r="E801" s="320" t="n"/>
      <c r="F801" s="320" t="n"/>
      <c r="G801" s="284">
        <f>IFERROR((D801-F801)/C801*100,"")</f>
        <v/>
      </c>
      <c r="H801" s="324" t="n"/>
      <c r="I801" s="320" t="n"/>
      <c r="J801" s="325">
        <f>IF(COUNTA(A801:F801)=0,"",IF(OR(C801&lt;0,D801&lt;0,E801&lt;0,F801&lt;0),"ERRO: valor negativo",IF(C801&lt;&gt;SUM(D801:F801),"ERRO: categorias diferem dos respondentes",IF(COUNTIFS($A$5:$A$1200,A801,$B$5:$B$1200,B801)&gt;1,"ERRO: período e curso duplicados","OK"))))</f>
        <v/>
      </c>
    </row>
    <row r="802" ht="15" customHeight="1" s="131">
      <c r="A802" s="320" t="n"/>
      <c r="B802" s="323" t="n"/>
      <c r="C802" s="320" t="n"/>
      <c r="D802" s="320" t="n"/>
      <c r="E802" s="320" t="n"/>
      <c r="F802" s="320" t="n"/>
      <c r="G802" s="284">
        <f>IFERROR((D802-F802)/C802*100,"")</f>
        <v/>
      </c>
      <c r="H802" s="324" t="n"/>
      <c r="I802" s="320" t="n"/>
      <c r="J802" s="325">
        <f>IF(COUNTA(A802:F802)=0,"",IF(OR(C802&lt;0,D802&lt;0,E802&lt;0,F802&lt;0),"ERRO: valor negativo",IF(C802&lt;&gt;SUM(D802:F802),"ERRO: categorias diferem dos respondentes",IF(COUNTIFS($A$5:$A$1200,A802,$B$5:$B$1200,B802)&gt;1,"ERRO: período e curso duplicados","OK"))))</f>
        <v/>
      </c>
    </row>
    <row r="803" ht="15" customHeight="1" s="131">
      <c r="A803" s="320" t="n"/>
      <c r="B803" s="323" t="n"/>
      <c r="C803" s="320" t="n"/>
      <c r="D803" s="320" t="n"/>
      <c r="E803" s="320" t="n"/>
      <c r="F803" s="320" t="n"/>
      <c r="G803" s="284">
        <f>IFERROR((D803-F803)/C803*100,"")</f>
        <v/>
      </c>
      <c r="H803" s="324" t="n"/>
      <c r="I803" s="320" t="n"/>
      <c r="J803" s="325">
        <f>IF(COUNTA(A803:F803)=0,"",IF(OR(C803&lt;0,D803&lt;0,E803&lt;0,F803&lt;0),"ERRO: valor negativo",IF(C803&lt;&gt;SUM(D803:F803),"ERRO: categorias diferem dos respondentes",IF(COUNTIFS($A$5:$A$1200,A803,$B$5:$B$1200,B803)&gt;1,"ERRO: período e curso duplicados","OK"))))</f>
        <v/>
      </c>
    </row>
    <row r="804" ht="15" customHeight="1" s="131">
      <c r="A804" s="320" t="n"/>
      <c r="B804" s="323" t="n"/>
      <c r="C804" s="320" t="n"/>
      <c r="D804" s="320" t="n"/>
      <c r="E804" s="320" t="n"/>
      <c r="F804" s="320" t="n"/>
      <c r="G804" s="284">
        <f>IFERROR((D804-F804)/C804*100,"")</f>
        <v/>
      </c>
      <c r="H804" s="324" t="n"/>
      <c r="I804" s="320" t="n"/>
      <c r="J804" s="325">
        <f>IF(COUNTA(A804:F804)=0,"",IF(OR(C804&lt;0,D804&lt;0,E804&lt;0,F804&lt;0),"ERRO: valor negativo",IF(C804&lt;&gt;SUM(D804:F804),"ERRO: categorias diferem dos respondentes",IF(COUNTIFS($A$5:$A$1200,A804,$B$5:$B$1200,B804)&gt;1,"ERRO: período e curso duplicados","OK"))))</f>
        <v/>
      </c>
    </row>
    <row r="805" ht="15" customHeight="1" s="131">
      <c r="A805" s="320" t="n"/>
      <c r="B805" s="323" t="n"/>
      <c r="C805" s="320" t="n"/>
      <c r="D805" s="320" t="n"/>
      <c r="E805" s="320" t="n"/>
      <c r="F805" s="320" t="n"/>
      <c r="G805" s="284">
        <f>IFERROR((D805-F805)/C805*100,"")</f>
        <v/>
      </c>
      <c r="H805" s="324" t="n"/>
      <c r="I805" s="320" t="n"/>
      <c r="J805" s="325">
        <f>IF(COUNTA(A805:F805)=0,"",IF(OR(C805&lt;0,D805&lt;0,E805&lt;0,F805&lt;0),"ERRO: valor negativo",IF(C805&lt;&gt;SUM(D805:F805),"ERRO: categorias diferem dos respondentes",IF(COUNTIFS($A$5:$A$1200,A805,$B$5:$B$1200,B805)&gt;1,"ERRO: período e curso duplicados","OK"))))</f>
        <v/>
      </c>
    </row>
    <row r="806" ht="15" customHeight="1" s="131">
      <c r="A806" s="320" t="n"/>
      <c r="B806" s="323" t="n"/>
      <c r="C806" s="320" t="n"/>
      <c r="D806" s="320" t="n"/>
      <c r="E806" s="320" t="n"/>
      <c r="F806" s="320" t="n"/>
      <c r="G806" s="284">
        <f>IFERROR((D806-F806)/C806*100,"")</f>
        <v/>
      </c>
      <c r="H806" s="324" t="n"/>
      <c r="I806" s="320" t="n"/>
      <c r="J806" s="325">
        <f>IF(COUNTA(A806:F806)=0,"",IF(OR(C806&lt;0,D806&lt;0,E806&lt;0,F806&lt;0),"ERRO: valor negativo",IF(C806&lt;&gt;SUM(D806:F806),"ERRO: categorias diferem dos respondentes",IF(COUNTIFS($A$5:$A$1200,A806,$B$5:$B$1200,B806)&gt;1,"ERRO: período e curso duplicados","OK"))))</f>
        <v/>
      </c>
    </row>
    <row r="807" ht="15" customHeight="1" s="131">
      <c r="A807" s="320" t="n"/>
      <c r="B807" s="323" t="n"/>
      <c r="C807" s="320" t="n"/>
      <c r="D807" s="320" t="n"/>
      <c r="E807" s="320" t="n"/>
      <c r="F807" s="320" t="n"/>
      <c r="G807" s="284">
        <f>IFERROR((D807-F807)/C807*100,"")</f>
        <v/>
      </c>
      <c r="H807" s="324" t="n"/>
      <c r="I807" s="320" t="n"/>
      <c r="J807" s="325">
        <f>IF(COUNTA(A807:F807)=0,"",IF(OR(C807&lt;0,D807&lt;0,E807&lt;0,F807&lt;0),"ERRO: valor negativo",IF(C807&lt;&gt;SUM(D807:F807),"ERRO: categorias diferem dos respondentes",IF(COUNTIFS($A$5:$A$1200,A807,$B$5:$B$1200,B807)&gt;1,"ERRO: período e curso duplicados","OK"))))</f>
        <v/>
      </c>
    </row>
    <row r="808" ht="15" customHeight="1" s="131">
      <c r="A808" s="320" t="n"/>
      <c r="B808" s="323" t="n"/>
      <c r="C808" s="320" t="n"/>
      <c r="D808" s="320" t="n"/>
      <c r="E808" s="320" t="n"/>
      <c r="F808" s="320" t="n"/>
      <c r="G808" s="284">
        <f>IFERROR((D808-F808)/C808*100,"")</f>
        <v/>
      </c>
      <c r="H808" s="324" t="n"/>
      <c r="I808" s="320" t="n"/>
      <c r="J808" s="325">
        <f>IF(COUNTA(A808:F808)=0,"",IF(OR(C808&lt;0,D808&lt;0,E808&lt;0,F808&lt;0),"ERRO: valor negativo",IF(C808&lt;&gt;SUM(D808:F808),"ERRO: categorias diferem dos respondentes",IF(COUNTIFS($A$5:$A$1200,A808,$B$5:$B$1200,B808)&gt;1,"ERRO: período e curso duplicados","OK"))))</f>
        <v/>
      </c>
    </row>
    <row r="809" ht="15" customHeight="1" s="131">
      <c r="A809" s="320" t="n"/>
      <c r="B809" s="323" t="n"/>
      <c r="C809" s="320" t="n"/>
      <c r="D809" s="320" t="n"/>
      <c r="E809" s="320" t="n"/>
      <c r="F809" s="320" t="n"/>
      <c r="G809" s="284">
        <f>IFERROR((D809-F809)/C809*100,"")</f>
        <v/>
      </c>
      <c r="H809" s="324" t="n"/>
      <c r="I809" s="320" t="n"/>
      <c r="J809" s="325">
        <f>IF(COUNTA(A809:F809)=0,"",IF(OR(C809&lt;0,D809&lt;0,E809&lt;0,F809&lt;0),"ERRO: valor negativo",IF(C809&lt;&gt;SUM(D809:F809),"ERRO: categorias diferem dos respondentes",IF(COUNTIFS($A$5:$A$1200,A809,$B$5:$B$1200,B809)&gt;1,"ERRO: período e curso duplicados","OK"))))</f>
        <v/>
      </c>
    </row>
    <row r="810" ht="15" customHeight="1" s="131">
      <c r="A810" s="320" t="n"/>
      <c r="B810" s="323" t="n"/>
      <c r="C810" s="320" t="n"/>
      <c r="D810" s="320" t="n"/>
      <c r="E810" s="320" t="n"/>
      <c r="F810" s="320" t="n"/>
      <c r="G810" s="284">
        <f>IFERROR((D810-F810)/C810*100,"")</f>
        <v/>
      </c>
      <c r="H810" s="324" t="n"/>
      <c r="I810" s="320" t="n"/>
      <c r="J810" s="325">
        <f>IF(COUNTA(A810:F810)=0,"",IF(OR(C810&lt;0,D810&lt;0,E810&lt;0,F810&lt;0),"ERRO: valor negativo",IF(C810&lt;&gt;SUM(D810:F810),"ERRO: categorias diferem dos respondentes",IF(COUNTIFS($A$5:$A$1200,A810,$B$5:$B$1200,B810)&gt;1,"ERRO: período e curso duplicados","OK"))))</f>
        <v/>
      </c>
    </row>
    <row r="811" ht="15" customHeight="1" s="131">
      <c r="A811" s="320" t="n"/>
      <c r="B811" s="323" t="n"/>
      <c r="C811" s="320" t="n"/>
      <c r="D811" s="320" t="n"/>
      <c r="E811" s="320" t="n"/>
      <c r="F811" s="320" t="n"/>
      <c r="G811" s="284">
        <f>IFERROR((D811-F811)/C811*100,"")</f>
        <v/>
      </c>
      <c r="H811" s="324" t="n"/>
      <c r="I811" s="320" t="n"/>
      <c r="J811" s="325">
        <f>IF(COUNTA(A811:F811)=0,"",IF(OR(C811&lt;0,D811&lt;0,E811&lt;0,F811&lt;0),"ERRO: valor negativo",IF(C811&lt;&gt;SUM(D811:F811),"ERRO: categorias diferem dos respondentes",IF(COUNTIFS($A$5:$A$1200,A811,$B$5:$B$1200,B811)&gt;1,"ERRO: período e curso duplicados","OK"))))</f>
        <v/>
      </c>
    </row>
    <row r="812" ht="15" customHeight="1" s="131">
      <c r="A812" s="320" t="n"/>
      <c r="B812" s="323" t="n"/>
      <c r="C812" s="320" t="n"/>
      <c r="D812" s="320" t="n"/>
      <c r="E812" s="320" t="n"/>
      <c r="F812" s="320" t="n"/>
      <c r="G812" s="284">
        <f>IFERROR((D812-F812)/C812*100,"")</f>
        <v/>
      </c>
      <c r="H812" s="324" t="n"/>
      <c r="I812" s="320" t="n"/>
      <c r="J812" s="325">
        <f>IF(COUNTA(A812:F812)=0,"",IF(OR(C812&lt;0,D812&lt;0,E812&lt;0,F812&lt;0),"ERRO: valor negativo",IF(C812&lt;&gt;SUM(D812:F812),"ERRO: categorias diferem dos respondentes",IF(COUNTIFS($A$5:$A$1200,A812,$B$5:$B$1200,B812)&gt;1,"ERRO: período e curso duplicados","OK"))))</f>
        <v/>
      </c>
    </row>
    <row r="813" ht="15" customHeight="1" s="131">
      <c r="A813" s="320" t="n"/>
      <c r="B813" s="323" t="n"/>
      <c r="C813" s="320" t="n"/>
      <c r="D813" s="320" t="n"/>
      <c r="E813" s="320" t="n"/>
      <c r="F813" s="320" t="n"/>
      <c r="G813" s="284">
        <f>IFERROR((D813-F813)/C813*100,"")</f>
        <v/>
      </c>
      <c r="H813" s="324" t="n"/>
      <c r="I813" s="320" t="n"/>
      <c r="J813" s="325">
        <f>IF(COUNTA(A813:F813)=0,"",IF(OR(C813&lt;0,D813&lt;0,E813&lt;0,F813&lt;0),"ERRO: valor negativo",IF(C813&lt;&gt;SUM(D813:F813),"ERRO: categorias diferem dos respondentes",IF(COUNTIFS($A$5:$A$1200,A813,$B$5:$B$1200,B813)&gt;1,"ERRO: período e curso duplicados","OK"))))</f>
        <v/>
      </c>
    </row>
    <row r="814" ht="15" customHeight="1" s="131">
      <c r="A814" s="320" t="n"/>
      <c r="B814" s="323" t="n"/>
      <c r="C814" s="320" t="n"/>
      <c r="D814" s="320" t="n"/>
      <c r="E814" s="320" t="n"/>
      <c r="F814" s="320" t="n"/>
      <c r="G814" s="284">
        <f>IFERROR((D814-F814)/C814*100,"")</f>
        <v/>
      </c>
      <c r="H814" s="324" t="n"/>
      <c r="I814" s="320" t="n"/>
      <c r="J814" s="325">
        <f>IF(COUNTA(A814:F814)=0,"",IF(OR(C814&lt;0,D814&lt;0,E814&lt;0,F814&lt;0),"ERRO: valor negativo",IF(C814&lt;&gt;SUM(D814:F814),"ERRO: categorias diferem dos respondentes",IF(COUNTIFS($A$5:$A$1200,A814,$B$5:$B$1200,B814)&gt;1,"ERRO: período e curso duplicados","OK"))))</f>
        <v/>
      </c>
    </row>
    <row r="815" ht="15" customHeight="1" s="131">
      <c r="A815" s="320" t="n"/>
      <c r="B815" s="323" t="n"/>
      <c r="C815" s="320" t="n"/>
      <c r="D815" s="320" t="n"/>
      <c r="E815" s="320" t="n"/>
      <c r="F815" s="320" t="n"/>
      <c r="G815" s="284">
        <f>IFERROR((D815-F815)/C815*100,"")</f>
        <v/>
      </c>
      <c r="H815" s="324" t="n"/>
      <c r="I815" s="320" t="n"/>
      <c r="J815" s="325">
        <f>IF(COUNTA(A815:F815)=0,"",IF(OR(C815&lt;0,D815&lt;0,E815&lt;0,F815&lt;0),"ERRO: valor negativo",IF(C815&lt;&gt;SUM(D815:F815),"ERRO: categorias diferem dos respondentes",IF(COUNTIFS($A$5:$A$1200,A815,$B$5:$B$1200,B815)&gt;1,"ERRO: período e curso duplicados","OK"))))</f>
        <v/>
      </c>
    </row>
    <row r="816" ht="15" customHeight="1" s="131">
      <c r="A816" s="320" t="n"/>
      <c r="B816" s="323" t="n"/>
      <c r="C816" s="320" t="n"/>
      <c r="D816" s="320" t="n"/>
      <c r="E816" s="320" t="n"/>
      <c r="F816" s="320" t="n"/>
      <c r="G816" s="284">
        <f>IFERROR((D816-F816)/C816*100,"")</f>
        <v/>
      </c>
      <c r="H816" s="324" t="n"/>
      <c r="I816" s="320" t="n"/>
      <c r="J816" s="325">
        <f>IF(COUNTA(A816:F816)=0,"",IF(OR(C816&lt;0,D816&lt;0,E816&lt;0,F816&lt;0),"ERRO: valor negativo",IF(C816&lt;&gt;SUM(D816:F816),"ERRO: categorias diferem dos respondentes",IF(COUNTIFS($A$5:$A$1200,A816,$B$5:$B$1200,B816)&gt;1,"ERRO: período e curso duplicados","OK"))))</f>
        <v/>
      </c>
    </row>
    <row r="817" ht="15" customHeight="1" s="131">
      <c r="A817" s="320" t="n"/>
      <c r="B817" s="323" t="n"/>
      <c r="C817" s="320" t="n"/>
      <c r="D817" s="320" t="n"/>
      <c r="E817" s="320" t="n"/>
      <c r="F817" s="320" t="n"/>
      <c r="G817" s="284">
        <f>IFERROR((D817-F817)/C817*100,"")</f>
        <v/>
      </c>
      <c r="H817" s="324" t="n"/>
      <c r="I817" s="320" t="n"/>
      <c r="J817" s="325">
        <f>IF(COUNTA(A817:F817)=0,"",IF(OR(C817&lt;0,D817&lt;0,E817&lt;0,F817&lt;0),"ERRO: valor negativo",IF(C817&lt;&gt;SUM(D817:F817),"ERRO: categorias diferem dos respondentes",IF(COUNTIFS($A$5:$A$1200,A817,$B$5:$B$1200,B817)&gt;1,"ERRO: período e curso duplicados","OK"))))</f>
        <v/>
      </c>
    </row>
    <row r="818" ht="15" customHeight="1" s="131">
      <c r="A818" s="320" t="n"/>
      <c r="B818" s="323" t="n"/>
      <c r="C818" s="320" t="n"/>
      <c r="D818" s="320" t="n"/>
      <c r="E818" s="320" t="n"/>
      <c r="F818" s="320" t="n"/>
      <c r="G818" s="284">
        <f>IFERROR((D818-F818)/C818*100,"")</f>
        <v/>
      </c>
      <c r="H818" s="324" t="n"/>
      <c r="I818" s="320" t="n"/>
      <c r="J818" s="325">
        <f>IF(COUNTA(A818:F818)=0,"",IF(OR(C818&lt;0,D818&lt;0,E818&lt;0,F818&lt;0),"ERRO: valor negativo",IF(C818&lt;&gt;SUM(D818:F818),"ERRO: categorias diferem dos respondentes",IF(COUNTIFS($A$5:$A$1200,A818,$B$5:$B$1200,B818)&gt;1,"ERRO: período e curso duplicados","OK"))))</f>
        <v/>
      </c>
    </row>
    <row r="819" ht="15" customHeight="1" s="131">
      <c r="A819" s="320" t="n"/>
      <c r="B819" s="323" t="n"/>
      <c r="C819" s="320" t="n"/>
      <c r="D819" s="320" t="n"/>
      <c r="E819" s="320" t="n"/>
      <c r="F819" s="320" t="n"/>
      <c r="G819" s="284">
        <f>IFERROR((D819-F819)/C819*100,"")</f>
        <v/>
      </c>
      <c r="H819" s="324" t="n"/>
      <c r="I819" s="320" t="n"/>
      <c r="J819" s="325">
        <f>IF(COUNTA(A819:F819)=0,"",IF(OR(C819&lt;0,D819&lt;0,E819&lt;0,F819&lt;0),"ERRO: valor negativo",IF(C819&lt;&gt;SUM(D819:F819),"ERRO: categorias diferem dos respondentes",IF(COUNTIFS($A$5:$A$1200,A819,$B$5:$B$1200,B819)&gt;1,"ERRO: período e curso duplicados","OK"))))</f>
        <v/>
      </c>
    </row>
    <row r="820" ht="15" customHeight="1" s="131">
      <c r="A820" s="320" t="n"/>
      <c r="B820" s="323" t="n"/>
      <c r="C820" s="320" t="n"/>
      <c r="D820" s="320" t="n"/>
      <c r="E820" s="320" t="n"/>
      <c r="F820" s="320" t="n"/>
      <c r="G820" s="284">
        <f>IFERROR((D820-F820)/C820*100,"")</f>
        <v/>
      </c>
      <c r="H820" s="324" t="n"/>
      <c r="I820" s="320" t="n"/>
      <c r="J820" s="325">
        <f>IF(COUNTA(A820:F820)=0,"",IF(OR(C820&lt;0,D820&lt;0,E820&lt;0,F820&lt;0),"ERRO: valor negativo",IF(C820&lt;&gt;SUM(D820:F820),"ERRO: categorias diferem dos respondentes",IF(COUNTIFS($A$5:$A$1200,A820,$B$5:$B$1200,B820)&gt;1,"ERRO: período e curso duplicados","OK"))))</f>
        <v/>
      </c>
    </row>
    <row r="821" ht="15" customHeight="1" s="131">
      <c r="A821" s="320" t="n"/>
      <c r="B821" s="323" t="n"/>
      <c r="C821" s="320" t="n"/>
      <c r="D821" s="320" t="n"/>
      <c r="E821" s="320" t="n"/>
      <c r="F821" s="320" t="n"/>
      <c r="G821" s="284">
        <f>IFERROR((D821-F821)/C821*100,"")</f>
        <v/>
      </c>
      <c r="H821" s="324" t="n"/>
      <c r="I821" s="320" t="n"/>
      <c r="J821" s="325">
        <f>IF(COUNTA(A821:F821)=0,"",IF(OR(C821&lt;0,D821&lt;0,E821&lt;0,F821&lt;0),"ERRO: valor negativo",IF(C821&lt;&gt;SUM(D821:F821),"ERRO: categorias diferem dos respondentes",IF(COUNTIFS($A$5:$A$1200,A821,$B$5:$B$1200,B821)&gt;1,"ERRO: período e curso duplicados","OK"))))</f>
        <v/>
      </c>
    </row>
    <row r="822" ht="15" customHeight="1" s="131">
      <c r="A822" s="320" t="n"/>
      <c r="B822" s="323" t="n"/>
      <c r="C822" s="320" t="n"/>
      <c r="D822" s="320" t="n"/>
      <c r="E822" s="320" t="n"/>
      <c r="F822" s="320" t="n"/>
      <c r="G822" s="284">
        <f>IFERROR((D822-F822)/C822*100,"")</f>
        <v/>
      </c>
      <c r="H822" s="324" t="n"/>
      <c r="I822" s="320" t="n"/>
      <c r="J822" s="325">
        <f>IF(COUNTA(A822:F822)=0,"",IF(OR(C822&lt;0,D822&lt;0,E822&lt;0,F822&lt;0),"ERRO: valor negativo",IF(C822&lt;&gt;SUM(D822:F822),"ERRO: categorias diferem dos respondentes",IF(COUNTIFS($A$5:$A$1200,A822,$B$5:$B$1200,B822)&gt;1,"ERRO: período e curso duplicados","OK"))))</f>
        <v/>
      </c>
    </row>
    <row r="823" ht="15" customHeight="1" s="131">
      <c r="A823" s="320" t="n"/>
      <c r="B823" s="323" t="n"/>
      <c r="C823" s="320" t="n"/>
      <c r="D823" s="320" t="n"/>
      <c r="E823" s="320" t="n"/>
      <c r="F823" s="320" t="n"/>
      <c r="G823" s="284">
        <f>IFERROR((D823-F823)/C823*100,"")</f>
        <v/>
      </c>
      <c r="H823" s="324" t="n"/>
      <c r="I823" s="320" t="n"/>
      <c r="J823" s="325">
        <f>IF(COUNTA(A823:F823)=0,"",IF(OR(C823&lt;0,D823&lt;0,E823&lt;0,F823&lt;0),"ERRO: valor negativo",IF(C823&lt;&gt;SUM(D823:F823),"ERRO: categorias diferem dos respondentes",IF(COUNTIFS($A$5:$A$1200,A823,$B$5:$B$1200,B823)&gt;1,"ERRO: período e curso duplicados","OK"))))</f>
        <v/>
      </c>
    </row>
    <row r="824" ht="15" customHeight="1" s="131">
      <c r="A824" s="320" t="n"/>
      <c r="B824" s="323" t="n"/>
      <c r="C824" s="320" t="n"/>
      <c r="D824" s="320" t="n"/>
      <c r="E824" s="320" t="n"/>
      <c r="F824" s="320" t="n"/>
      <c r="G824" s="284">
        <f>IFERROR((D824-F824)/C824*100,"")</f>
        <v/>
      </c>
      <c r="H824" s="324" t="n"/>
      <c r="I824" s="320" t="n"/>
      <c r="J824" s="325">
        <f>IF(COUNTA(A824:F824)=0,"",IF(OR(C824&lt;0,D824&lt;0,E824&lt;0,F824&lt;0),"ERRO: valor negativo",IF(C824&lt;&gt;SUM(D824:F824),"ERRO: categorias diferem dos respondentes",IF(COUNTIFS($A$5:$A$1200,A824,$B$5:$B$1200,B824)&gt;1,"ERRO: período e curso duplicados","OK"))))</f>
        <v/>
      </c>
    </row>
    <row r="825" ht="15" customHeight="1" s="131">
      <c r="A825" s="320" t="n"/>
      <c r="B825" s="323" t="n"/>
      <c r="C825" s="320" t="n"/>
      <c r="D825" s="320" t="n"/>
      <c r="E825" s="320" t="n"/>
      <c r="F825" s="320" t="n"/>
      <c r="G825" s="284">
        <f>IFERROR((D825-F825)/C825*100,"")</f>
        <v/>
      </c>
      <c r="H825" s="324" t="n"/>
      <c r="I825" s="320" t="n"/>
      <c r="J825" s="325">
        <f>IF(COUNTA(A825:F825)=0,"",IF(OR(C825&lt;0,D825&lt;0,E825&lt;0,F825&lt;0),"ERRO: valor negativo",IF(C825&lt;&gt;SUM(D825:F825),"ERRO: categorias diferem dos respondentes",IF(COUNTIFS($A$5:$A$1200,A825,$B$5:$B$1200,B825)&gt;1,"ERRO: período e curso duplicados","OK"))))</f>
        <v/>
      </c>
    </row>
    <row r="826" ht="15" customHeight="1" s="131">
      <c r="A826" s="320" t="n"/>
      <c r="B826" s="323" t="n"/>
      <c r="C826" s="320" t="n"/>
      <c r="D826" s="320" t="n"/>
      <c r="E826" s="320" t="n"/>
      <c r="F826" s="320" t="n"/>
      <c r="G826" s="284">
        <f>IFERROR((D826-F826)/C826*100,"")</f>
        <v/>
      </c>
      <c r="H826" s="324" t="n"/>
      <c r="I826" s="320" t="n"/>
      <c r="J826" s="325">
        <f>IF(COUNTA(A826:F826)=0,"",IF(OR(C826&lt;0,D826&lt;0,E826&lt;0,F826&lt;0),"ERRO: valor negativo",IF(C826&lt;&gt;SUM(D826:F826),"ERRO: categorias diferem dos respondentes",IF(COUNTIFS($A$5:$A$1200,A826,$B$5:$B$1200,B826)&gt;1,"ERRO: período e curso duplicados","OK"))))</f>
        <v/>
      </c>
    </row>
    <row r="827" ht="15" customHeight="1" s="131">
      <c r="A827" s="320" t="n"/>
      <c r="B827" s="323" t="n"/>
      <c r="C827" s="320" t="n"/>
      <c r="D827" s="320" t="n"/>
      <c r="E827" s="320" t="n"/>
      <c r="F827" s="320" t="n"/>
      <c r="G827" s="284">
        <f>IFERROR((D827-F827)/C827*100,"")</f>
        <v/>
      </c>
      <c r="H827" s="324" t="n"/>
      <c r="I827" s="320" t="n"/>
      <c r="J827" s="325">
        <f>IF(COUNTA(A827:F827)=0,"",IF(OR(C827&lt;0,D827&lt;0,E827&lt;0,F827&lt;0),"ERRO: valor negativo",IF(C827&lt;&gt;SUM(D827:F827),"ERRO: categorias diferem dos respondentes",IF(COUNTIFS($A$5:$A$1200,A827,$B$5:$B$1200,B827)&gt;1,"ERRO: período e curso duplicados","OK"))))</f>
        <v/>
      </c>
    </row>
    <row r="828" ht="15" customHeight="1" s="131">
      <c r="A828" s="320" t="n"/>
      <c r="B828" s="323" t="n"/>
      <c r="C828" s="320" t="n"/>
      <c r="D828" s="320" t="n"/>
      <c r="E828" s="320" t="n"/>
      <c r="F828" s="320" t="n"/>
      <c r="G828" s="284">
        <f>IFERROR((D828-F828)/C828*100,"")</f>
        <v/>
      </c>
      <c r="H828" s="324" t="n"/>
      <c r="I828" s="320" t="n"/>
      <c r="J828" s="325">
        <f>IF(COUNTA(A828:F828)=0,"",IF(OR(C828&lt;0,D828&lt;0,E828&lt;0,F828&lt;0),"ERRO: valor negativo",IF(C828&lt;&gt;SUM(D828:F828),"ERRO: categorias diferem dos respondentes",IF(COUNTIFS($A$5:$A$1200,A828,$B$5:$B$1200,B828)&gt;1,"ERRO: período e curso duplicados","OK"))))</f>
        <v/>
      </c>
    </row>
    <row r="829" ht="15" customHeight="1" s="131">
      <c r="A829" s="320" t="n"/>
      <c r="B829" s="323" t="n"/>
      <c r="C829" s="320" t="n"/>
      <c r="D829" s="320" t="n"/>
      <c r="E829" s="320" t="n"/>
      <c r="F829" s="320" t="n"/>
      <c r="G829" s="284">
        <f>IFERROR((D829-F829)/C829*100,"")</f>
        <v/>
      </c>
      <c r="H829" s="324" t="n"/>
      <c r="I829" s="320" t="n"/>
      <c r="J829" s="325">
        <f>IF(COUNTA(A829:F829)=0,"",IF(OR(C829&lt;0,D829&lt;0,E829&lt;0,F829&lt;0),"ERRO: valor negativo",IF(C829&lt;&gt;SUM(D829:F829),"ERRO: categorias diferem dos respondentes",IF(COUNTIFS($A$5:$A$1200,A829,$B$5:$B$1200,B829)&gt;1,"ERRO: período e curso duplicados","OK"))))</f>
        <v/>
      </c>
    </row>
    <row r="830" ht="15" customHeight="1" s="131">
      <c r="A830" s="320" t="n"/>
      <c r="B830" s="323" t="n"/>
      <c r="C830" s="320" t="n"/>
      <c r="D830" s="320" t="n"/>
      <c r="E830" s="320" t="n"/>
      <c r="F830" s="320" t="n"/>
      <c r="G830" s="284">
        <f>IFERROR((D830-F830)/C830*100,"")</f>
        <v/>
      </c>
      <c r="H830" s="324" t="n"/>
      <c r="I830" s="320" t="n"/>
      <c r="J830" s="325">
        <f>IF(COUNTA(A830:F830)=0,"",IF(OR(C830&lt;0,D830&lt;0,E830&lt;0,F830&lt;0),"ERRO: valor negativo",IF(C830&lt;&gt;SUM(D830:F830),"ERRO: categorias diferem dos respondentes",IF(COUNTIFS($A$5:$A$1200,A830,$B$5:$B$1200,B830)&gt;1,"ERRO: período e curso duplicados","OK"))))</f>
        <v/>
      </c>
    </row>
    <row r="831" ht="15" customHeight="1" s="131">
      <c r="A831" s="320" t="n"/>
      <c r="B831" s="323" t="n"/>
      <c r="C831" s="320" t="n"/>
      <c r="D831" s="320" t="n"/>
      <c r="E831" s="320" t="n"/>
      <c r="F831" s="320" t="n"/>
      <c r="G831" s="284">
        <f>IFERROR((D831-F831)/C831*100,"")</f>
        <v/>
      </c>
      <c r="H831" s="324" t="n"/>
      <c r="I831" s="320" t="n"/>
      <c r="J831" s="325">
        <f>IF(COUNTA(A831:F831)=0,"",IF(OR(C831&lt;0,D831&lt;0,E831&lt;0,F831&lt;0),"ERRO: valor negativo",IF(C831&lt;&gt;SUM(D831:F831),"ERRO: categorias diferem dos respondentes",IF(COUNTIFS($A$5:$A$1200,A831,$B$5:$B$1200,B831)&gt;1,"ERRO: período e curso duplicados","OK"))))</f>
        <v/>
      </c>
    </row>
    <row r="832" ht="15" customHeight="1" s="131">
      <c r="A832" s="320" t="n"/>
      <c r="B832" s="323" t="n"/>
      <c r="C832" s="320" t="n"/>
      <c r="D832" s="320" t="n"/>
      <c r="E832" s="320" t="n"/>
      <c r="F832" s="320" t="n"/>
      <c r="G832" s="284">
        <f>IFERROR((D832-F832)/C832*100,"")</f>
        <v/>
      </c>
      <c r="H832" s="324" t="n"/>
      <c r="I832" s="320" t="n"/>
      <c r="J832" s="325">
        <f>IF(COUNTA(A832:F832)=0,"",IF(OR(C832&lt;0,D832&lt;0,E832&lt;0,F832&lt;0),"ERRO: valor negativo",IF(C832&lt;&gt;SUM(D832:F832),"ERRO: categorias diferem dos respondentes",IF(COUNTIFS($A$5:$A$1200,A832,$B$5:$B$1200,B832)&gt;1,"ERRO: período e curso duplicados","OK"))))</f>
        <v/>
      </c>
    </row>
    <row r="833" ht="15" customHeight="1" s="131">
      <c r="A833" s="320" t="n"/>
      <c r="B833" s="323" t="n"/>
      <c r="C833" s="320" t="n"/>
      <c r="D833" s="320" t="n"/>
      <c r="E833" s="320" t="n"/>
      <c r="F833" s="320" t="n"/>
      <c r="G833" s="284">
        <f>IFERROR((D833-F833)/C833*100,"")</f>
        <v/>
      </c>
      <c r="H833" s="324" t="n"/>
      <c r="I833" s="320" t="n"/>
      <c r="J833" s="325">
        <f>IF(COUNTA(A833:F833)=0,"",IF(OR(C833&lt;0,D833&lt;0,E833&lt;0,F833&lt;0),"ERRO: valor negativo",IF(C833&lt;&gt;SUM(D833:F833),"ERRO: categorias diferem dos respondentes",IF(COUNTIFS($A$5:$A$1200,A833,$B$5:$B$1200,B833)&gt;1,"ERRO: período e curso duplicados","OK"))))</f>
        <v/>
      </c>
    </row>
    <row r="834" ht="15" customHeight="1" s="131">
      <c r="A834" s="320" t="n"/>
      <c r="B834" s="323" t="n"/>
      <c r="C834" s="320" t="n"/>
      <c r="D834" s="320" t="n"/>
      <c r="E834" s="320" t="n"/>
      <c r="F834" s="320" t="n"/>
      <c r="G834" s="284">
        <f>IFERROR((D834-F834)/C834*100,"")</f>
        <v/>
      </c>
      <c r="H834" s="324" t="n"/>
      <c r="I834" s="320" t="n"/>
      <c r="J834" s="325">
        <f>IF(COUNTA(A834:F834)=0,"",IF(OR(C834&lt;0,D834&lt;0,E834&lt;0,F834&lt;0),"ERRO: valor negativo",IF(C834&lt;&gt;SUM(D834:F834),"ERRO: categorias diferem dos respondentes",IF(COUNTIFS($A$5:$A$1200,A834,$B$5:$B$1200,B834)&gt;1,"ERRO: período e curso duplicados","OK"))))</f>
        <v/>
      </c>
    </row>
    <row r="835" ht="15" customHeight="1" s="131">
      <c r="A835" s="320" t="n"/>
      <c r="B835" s="323" t="n"/>
      <c r="C835" s="320" t="n"/>
      <c r="D835" s="320" t="n"/>
      <c r="E835" s="320" t="n"/>
      <c r="F835" s="320" t="n"/>
      <c r="G835" s="284">
        <f>IFERROR((D835-F835)/C835*100,"")</f>
        <v/>
      </c>
      <c r="H835" s="324" t="n"/>
      <c r="I835" s="320" t="n"/>
      <c r="J835" s="325">
        <f>IF(COUNTA(A835:F835)=0,"",IF(OR(C835&lt;0,D835&lt;0,E835&lt;0,F835&lt;0),"ERRO: valor negativo",IF(C835&lt;&gt;SUM(D835:F835),"ERRO: categorias diferem dos respondentes",IF(COUNTIFS($A$5:$A$1200,A835,$B$5:$B$1200,B835)&gt;1,"ERRO: período e curso duplicados","OK"))))</f>
        <v/>
      </c>
    </row>
    <row r="836" ht="15" customHeight="1" s="131">
      <c r="A836" s="320" t="n"/>
      <c r="B836" s="323" t="n"/>
      <c r="C836" s="320" t="n"/>
      <c r="D836" s="320" t="n"/>
      <c r="E836" s="320" t="n"/>
      <c r="F836" s="320" t="n"/>
      <c r="G836" s="284">
        <f>IFERROR((D836-F836)/C836*100,"")</f>
        <v/>
      </c>
      <c r="H836" s="324" t="n"/>
      <c r="I836" s="320" t="n"/>
      <c r="J836" s="325">
        <f>IF(COUNTA(A836:F836)=0,"",IF(OR(C836&lt;0,D836&lt;0,E836&lt;0,F836&lt;0),"ERRO: valor negativo",IF(C836&lt;&gt;SUM(D836:F836),"ERRO: categorias diferem dos respondentes",IF(COUNTIFS($A$5:$A$1200,A836,$B$5:$B$1200,B836)&gt;1,"ERRO: período e curso duplicados","OK"))))</f>
        <v/>
      </c>
    </row>
    <row r="837" ht="15" customHeight="1" s="131">
      <c r="A837" s="320" t="n"/>
      <c r="B837" s="323" t="n"/>
      <c r="C837" s="320" t="n"/>
      <c r="D837" s="320" t="n"/>
      <c r="E837" s="320" t="n"/>
      <c r="F837" s="320" t="n"/>
      <c r="G837" s="284">
        <f>IFERROR((D837-F837)/C837*100,"")</f>
        <v/>
      </c>
      <c r="H837" s="324" t="n"/>
      <c r="I837" s="320" t="n"/>
      <c r="J837" s="325">
        <f>IF(COUNTA(A837:F837)=0,"",IF(OR(C837&lt;0,D837&lt;0,E837&lt;0,F837&lt;0),"ERRO: valor negativo",IF(C837&lt;&gt;SUM(D837:F837),"ERRO: categorias diferem dos respondentes",IF(COUNTIFS($A$5:$A$1200,A837,$B$5:$B$1200,B837)&gt;1,"ERRO: período e curso duplicados","OK"))))</f>
        <v/>
      </c>
    </row>
    <row r="838" ht="15" customHeight="1" s="131">
      <c r="A838" s="320" t="n"/>
      <c r="B838" s="323" t="n"/>
      <c r="C838" s="320" t="n"/>
      <c r="D838" s="320" t="n"/>
      <c r="E838" s="320" t="n"/>
      <c r="F838" s="320" t="n"/>
      <c r="G838" s="284">
        <f>IFERROR((D838-F838)/C838*100,"")</f>
        <v/>
      </c>
      <c r="H838" s="324" t="n"/>
      <c r="I838" s="320" t="n"/>
      <c r="J838" s="325">
        <f>IF(COUNTA(A838:F838)=0,"",IF(OR(C838&lt;0,D838&lt;0,E838&lt;0,F838&lt;0),"ERRO: valor negativo",IF(C838&lt;&gt;SUM(D838:F838),"ERRO: categorias diferem dos respondentes",IF(COUNTIFS($A$5:$A$1200,A838,$B$5:$B$1200,B838)&gt;1,"ERRO: período e curso duplicados","OK"))))</f>
        <v/>
      </c>
    </row>
    <row r="839" ht="15" customHeight="1" s="131">
      <c r="A839" s="320" t="n"/>
      <c r="B839" s="323" t="n"/>
      <c r="C839" s="320" t="n"/>
      <c r="D839" s="320" t="n"/>
      <c r="E839" s="320" t="n"/>
      <c r="F839" s="320" t="n"/>
      <c r="G839" s="284">
        <f>IFERROR((D839-F839)/C839*100,"")</f>
        <v/>
      </c>
      <c r="H839" s="324" t="n"/>
      <c r="I839" s="320" t="n"/>
      <c r="J839" s="325">
        <f>IF(COUNTA(A839:F839)=0,"",IF(OR(C839&lt;0,D839&lt;0,E839&lt;0,F839&lt;0),"ERRO: valor negativo",IF(C839&lt;&gt;SUM(D839:F839),"ERRO: categorias diferem dos respondentes",IF(COUNTIFS($A$5:$A$1200,A839,$B$5:$B$1200,B839)&gt;1,"ERRO: período e curso duplicados","OK"))))</f>
        <v/>
      </c>
    </row>
    <row r="840" ht="15" customHeight="1" s="131">
      <c r="A840" s="320" t="n"/>
      <c r="B840" s="323" t="n"/>
      <c r="C840" s="320" t="n"/>
      <c r="D840" s="320" t="n"/>
      <c r="E840" s="320" t="n"/>
      <c r="F840" s="320" t="n"/>
      <c r="G840" s="284">
        <f>IFERROR((D840-F840)/C840*100,"")</f>
        <v/>
      </c>
      <c r="H840" s="324" t="n"/>
      <c r="I840" s="320" t="n"/>
      <c r="J840" s="325">
        <f>IF(COUNTA(A840:F840)=0,"",IF(OR(C840&lt;0,D840&lt;0,E840&lt;0,F840&lt;0),"ERRO: valor negativo",IF(C840&lt;&gt;SUM(D840:F840),"ERRO: categorias diferem dos respondentes",IF(COUNTIFS($A$5:$A$1200,A840,$B$5:$B$1200,B840)&gt;1,"ERRO: período e curso duplicados","OK"))))</f>
        <v/>
      </c>
    </row>
    <row r="841" ht="15" customHeight="1" s="131">
      <c r="A841" s="320" t="n"/>
      <c r="B841" s="323" t="n"/>
      <c r="C841" s="320" t="n"/>
      <c r="D841" s="320" t="n"/>
      <c r="E841" s="320" t="n"/>
      <c r="F841" s="320" t="n"/>
      <c r="G841" s="284">
        <f>IFERROR((D841-F841)/C841*100,"")</f>
        <v/>
      </c>
      <c r="H841" s="324" t="n"/>
      <c r="I841" s="320" t="n"/>
      <c r="J841" s="325">
        <f>IF(COUNTA(A841:F841)=0,"",IF(OR(C841&lt;0,D841&lt;0,E841&lt;0,F841&lt;0),"ERRO: valor negativo",IF(C841&lt;&gt;SUM(D841:F841),"ERRO: categorias diferem dos respondentes",IF(COUNTIFS($A$5:$A$1200,A841,$B$5:$B$1200,B841)&gt;1,"ERRO: período e curso duplicados","OK"))))</f>
        <v/>
      </c>
    </row>
    <row r="842" ht="15" customHeight="1" s="131">
      <c r="A842" s="320" t="n"/>
      <c r="B842" s="323" t="n"/>
      <c r="C842" s="320" t="n"/>
      <c r="D842" s="320" t="n"/>
      <c r="E842" s="320" t="n"/>
      <c r="F842" s="320" t="n"/>
      <c r="G842" s="284">
        <f>IFERROR((D842-F842)/C842*100,"")</f>
        <v/>
      </c>
      <c r="H842" s="324" t="n"/>
      <c r="I842" s="320" t="n"/>
      <c r="J842" s="325">
        <f>IF(COUNTA(A842:F842)=0,"",IF(OR(C842&lt;0,D842&lt;0,E842&lt;0,F842&lt;0),"ERRO: valor negativo",IF(C842&lt;&gt;SUM(D842:F842),"ERRO: categorias diferem dos respondentes",IF(COUNTIFS($A$5:$A$1200,A842,$B$5:$B$1200,B842)&gt;1,"ERRO: período e curso duplicados","OK"))))</f>
        <v/>
      </c>
    </row>
    <row r="843" ht="15" customHeight="1" s="131">
      <c r="A843" s="320" t="n"/>
      <c r="B843" s="323" t="n"/>
      <c r="C843" s="320" t="n"/>
      <c r="D843" s="320" t="n"/>
      <c r="E843" s="320" t="n"/>
      <c r="F843" s="320" t="n"/>
      <c r="G843" s="284">
        <f>IFERROR((D843-F843)/C843*100,"")</f>
        <v/>
      </c>
      <c r="H843" s="324" t="n"/>
      <c r="I843" s="320" t="n"/>
      <c r="J843" s="325">
        <f>IF(COUNTA(A843:F843)=0,"",IF(OR(C843&lt;0,D843&lt;0,E843&lt;0,F843&lt;0),"ERRO: valor negativo",IF(C843&lt;&gt;SUM(D843:F843),"ERRO: categorias diferem dos respondentes",IF(COUNTIFS($A$5:$A$1200,A843,$B$5:$B$1200,B843)&gt;1,"ERRO: período e curso duplicados","OK"))))</f>
        <v/>
      </c>
    </row>
    <row r="844" ht="15" customHeight="1" s="131">
      <c r="A844" s="320" t="n"/>
      <c r="B844" s="323" t="n"/>
      <c r="C844" s="320" t="n"/>
      <c r="D844" s="320" t="n"/>
      <c r="E844" s="320" t="n"/>
      <c r="F844" s="320" t="n"/>
      <c r="G844" s="284">
        <f>IFERROR((D844-F844)/C844*100,"")</f>
        <v/>
      </c>
      <c r="H844" s="324" t="n"/>
      <c r="I844" s="320" t="n"/>
      <c r="J844" s="325">
        <f>IF(COUNTA(A844:F844)=0,"",IF(OR(C844&lt;0,D844&lt;0,E844&lt;0,F844&lt;0),"ERRO: valor negativo",IF(C844&lt;&gt;SUM(D844:F844),"ERRO: categorias diferem dos respondentes",IF(COUNTIFS($A$5:$A$1200,A844,$B$5:$B$1200,B844)&gt;1,"ERRO: período e curso duplicados","OK"))))</f>
        <v/>
      </c>
    </row>
    <row r="845" ht="15" customHeight="1" s="131">
      <c r="A845" s="320" t="n"/>
      <c r="B845" s="323" t="n"/>
      <c r="C845" s="320" t="n"/>
      <c r="D845" s="320" t="n"/>
      <c r="E845" s="320" t="n"/>
      <c r="F845" s="320" t="n"/>
      <c r="G845" s="284">
        <f>IFERROR((D845-F845)/C845*100,"")</f>
        <v/>
      </c>
      <c r="H845" s="324" t="n"/>
      <c r="I845" s="320" t="n"/>
      <c r="J845" s="325">
        <f>IF(COUNTA(A845:F845)=0,"",IF(OR(C845&lt;0,D845&lt;0,E845&lt;0,F845&lt;0),"ERRO: valor negativo",IF(C845&lt;&gt;SUM(D845:F845),"ERRO: categorias diferem dos respondentes",IF(COUNTIFS($A$5:$A$1200,A845,$B$5:$B$1200,B845)&gt;1,"ERRO: período e curso duplicados","OK"))))</f>
        <v/>
      </c>
    </row>
    <row r="846" ht="15" customHeight="1" s="131">
      <c r="A846" s="320" t="n"/>
      <c r="B846" s="323" t="n"/>
      <c r="C846" s="320" t="n"/>
      <c r="D846" s="320" t="n"/>
      <c r="E846" s="320" t="n"/>
      <c r="F846" s="320" t="n"/>
      <c r="G846" s="284">
        <f>IFERROR((D846-F846)/C846*100,"")</f>
        <v/>
      </c>
      <c r="H846" s="324" t="n"/>
      <c r="I846" s="320" t="n"/>
      <c r="J846" s="325">
        <f>IF(COUNTA(A846:F846)=0,"",IF(OR(C846&lt;0,D846&lt;0,E846&lt;0,F846&lt;0),"ERRO: valor negativo",IF(C846&lt;&gt;SUM(D846:F846),"ERRO: categorias diferem dos respondentes",IF(COUNTIFS($A$5:$A$1200,A846,$B$5:$B$1200,B846)&gt;1,"ERRO: período e curso duplicados","OK"))))</f>
        <v/>
      </c>
    </row>
    <row r="847" ht="15" customHeight="1" s="131">
      <c r="A847" s="320" t="n"/>
      <c r="B847" s="323" t="n"/>
      <c r="C847" s="320" t="n"/>
      <c r="D847" s="320" t="n"/>
      <c r="E847" s="320" t="n"/>
      <c r="F847" s="320" t="n"/>
      <c r="G847" s="284">
        <f>IFERROR((D847-F847)/C847*100,"")</f>
        <v/>
      </c>
      <c r="H847" s="324" t="n"/>
      <c r="I847" s="320" t="n"/>
      <c r="J847" s="325">
        <f>IF(COUNTA(A847:F847)=0,"",IF(OR(C847&lt;0,D847&lt;0,E847&lt;0,F847&lt;0),"ERRO: valor negativo",IF(C847&lt;&gt;SUM(D847:F847),"ERRO: categorias diferem dos respondentes",IF(COUNTIFS($A$5:$A$1200,A847,$B$5:$B$1200,B847)&gt;1,"ERRO: período e curso duplicados","OK"))))</f>
        <v/>
      </c>
    </row>
    <row r="848" ht="15" customHeight="1" s="131">
      <c r="A848" s="320" t="n"/>
      <c r="B848" s="323" t="n"/>
      <c r="C848" s="320" t="n"/>
      <c r="D848" s="320" t="n"/>
      <c r="E848" s="320" t="n"/>
      <c r="F848" s="320" t="n"/>
      <c r="G848" s="284">
        <f>IFERROR((D848-F848)/C848*100,"")</f>
        <v/>
      </c>
      <c r="H848" s="324" t="n"/>
      <c r="I848" s="320" t="n"/>
      <c r="J848" s="325">
        <f>IF(COUNTA(A848:F848)=0,"",IF(OR(C848&lt;0,D848&lt;0,E848&lt;0,F848&lt;0),"ERRO: valor negativo",IF(C848&lt;&gt;SUM(D848:F848),"ERRO: categorias diferem dos respondentes",IF(COUNTIFS($A$5:$A$1200,A848,$B$5:$B$1200,B848)&gt;1,"ERRO: período e curso duplicados","OK"))))</f>
        <v/>
      </c>
    </row>
    <row r="849" ht="15" customHeight="1" s="131">
      <c r="A849" s="320" t="n"/>
      <c r="B849" s="323" t="n"/>
      <c r="C849" s="320" t="n"/>
      <c r="D849" s="320" t="n"/>
      <c r="E849" s="320" t="n"/>
      <c r="F849" s="320" t="n"/>
      <c r="G849" s="284">
        <f>IFERROR((D849-F849)/C849*100,"")</f>
        <v/>
      </c>
      <c r="H849" s="324" t="n"/>
      <c r="I849" s="320" t="n"/>
      <c r="J849" s="325">
        <f>IF(COUNTA(A849:F849)=0,"",IF(OR(C849&lt;0,D849&lt;0,E849&lt;0,F849&lt;0),"ERRO: valor negativo",IF(C849&lt;&gt;SUM(D849:F849),"ERRO: categorias diferem dos respondentes",IF(COUNTIFS($A$5:$A$1200,A849,$B$5:$B$1200,B849)&gt;1,"ERRO: período e curso duplicados","OK"))))</f>
        <v/>
      </c>
    </row>
    <row r="850" ht="15" customHeight="1" s="131">
      <c r="A850" s="320" t="n"/>
      <c r="B850" s="323" t="n"/>
      <c r="C850" s="320" t="n"/>
      <c r="D850" s="320" t="n"/>
      <c r="E850" s="320" t="n"/>
      <c r="F850" s="320" t="n"/>
      <c r="G850" s="284">
        <f>IFERROR((D850-F850)/C850*100,"")</f>
        <v/>
      </c>
      <c r="H850" s="324" t="n"/>
      <c r="I850" s="320" t="n"/>
      <c r="J850" s="325">
        <f>IF(COUNTA(A850:F850)=0,"",IF(OR(C850&lt;0,D850&lt;0,E850&lt;0,F850&lt;0),"ERRO: valor negativo",IF(C850&lt;&gt;SUM(D850:F850),"ERRO: categorias diferem dos respondentes",IF(COUNTIFS($A$5:$A$1200,A850,$B$5:$B$1200,B850)&gt;1,"ERRO: período e curso duplicados","OK"))))</f>
        <v/>
      </c>
    </row>
    <row r="851" ht="15" customHeight="1" s="131">
      <c r="A851" s="320" t="n"/>
      <c r="B851" s="323" t="n"/>
      <c r="C851" s="320" t="n"/>
      <c r="D851" s="320" t="n"/>
      <c r="E851" s="320" t="n"/>
      <c r="F851" s="320" t="n"/>
      <c r="G851" s="284">
        <f>IFERROR((D851-F851)/C851*100,"")</f>
        <v/>
      </c>
      <c r="H851" s="324" t="n"/>
      <c r="I851" s="320" t="n"/>
      <c r="J851" s="325">
        <f>IF(COUNTA(A851:F851)=0,"",IF(OR(C851&lt;0,D851&lt;0,E851&lt;0,F851&lt;0),"ERRO: valor negativo",IF(C851&lt;&gt;SUM(D851:F851),"ERRO: categorias diferem dos respondentes",IF(COUNTIFS($A$5:$A$1200,A851,$B$5:$B$1200,B851)&gt;1,"ERRO: período e curso duplicados","OK"))))</f>
        <v/>
      </c>
    </row>
    <row r="852" ht="15" customHeight="1" s="131">
      <c r="A852" s="320" t="n"/>
      <c r="B852" s="323" t="n"/>
      <c r="C852" s="320" t="n"/>
      <c r="D852" s="320" t="n"/>
      <c r="E852" s="320" t="n"/>
      <c r="F852" s="320" t="n"/>
      <c r="G852" s="284">
        <f>IFERROR((D852-F852)/C852*100,"")</f>
        <v/>
      </c>
      <c r="H852" s="324" t="n"/>
      <c r="I852" s="320" t="n"/>
      <c r="J852" s="325">
        <f>IF(COUNTA(A852:F852)=0,"",IF(OR(C852&lt;0,D852&lt;0,E852&lt;0,F852&lt;0),"ERRO: valor negativo",IF(C852&lt;&gt;SUM(D852:F852),"ERRO: categorias diferem dos respondentes",IF(COUNTIFS($A$5:$A$1200,A852,$B$5:$B$1200,B852)&gt;1,"ERRO: período e curso duplicados","OK"))))</f>
        <v/>
      </c>
    </row>
    <row r="853" ht="15" customHeight="1" s="131">
      <c r="A853" s="320" t="n"/>
      <c r="B853" s="323" t="n"/>
      <c r="C853" s="320" t="n"/>
      <c r="D853" s="320" t="n"/>
      <c r="E853" s="320" t="n"/>
      <c r="F853" s="320" t="n"/>
      <c r="G853" s="284">
        <f>IFERROR((D853-F853)/C853*100,"")</f>
        <v/>
      </c>
      <c r="H853" s="324" t="n"/>
      <c r="I853" s="320" t="n"/>
      <c r="J853" s="325">
        <f>IF(COUNTA(A853:F853)=0,"",IF(OR(C853&lt;0,D853&lt;0,E853&lt;0,F853&lt;0),"ERRO: valor negativo",IF(C853&lt;&gt;SUM(D853:F853),"ERRO: categorias diferem dos respondentes",IF(COUNTIFS($A$5:$A$1200,A853,$B$5:$B$1200,B853)&gt;1,"ERRO: período e curso duplicados","OK"))))</f>
        <v/>
      </c>
    </row>
    <row r="854" ht="15" customHeight="1" s="131">
      <c r="A854" s="320" t="n"/>
      <c r="B854" s="323" t="n"/>
      <c r="C854" s="320" t="n"/>
      <c r="D854" s="320" t="n"/>
      <c r="E854" s="320" t="n"/>
      <c r="F854" s="320" t="n"/>
      <c r="G854" s="284">
        <f>IFERROR((D854-F854)/C854*100,"")</f>
        <v/>
      </c>
      <c r="H854" s="324" t="n"/>
      <c r="I854" s="320" t="n"/>
      <c r="J854" s="325">
        <f>IF(COUNTA(A854:F854)=0,"",IF(OR(C854&lt;0,D854&lt;0,E854&lt;0,F854&lt;0),"ERRO: valor negativo",IF(C854&lt;&gt;SUM(D854:F854),"ERRO: categorias diferem dos respondentes",IF(COUNTIFS($A$5:$A$1200,A854,$B$5:$B$1200,B854)&gt;1,"ERRO: período e curso duplicados","OK"))))</f>
        <v/>
      </c>
    </row>
    <row r="855" ht="15" customHeight="1" s="131">
      <c r="A855" s="320" t="n"/>
      <c r="B855" s="323" t="n"/>
      <c r="C855" s="320" t="n"/>
      <c r="D855" s="320" t="n"/>
      <c r="E855" s="320" t="n"/>
      <c r="F855" s="320" t="n"/>
      <c r="G855" s="284">
        <f>IFERROR((D855-F855)/C855*100,"")</f>
        <v/>
      </c>
      <c r="H855" s="324" t="n"/>
      <c r="I855" s="320" t="n"/>
      <c r="J855" s="325">
        <f>IF(COUNTA(A855:F855)=0,"",IF(OR(C855&lt;0,D855&lt;0,E855&lt;0,F855&lt;0),"ERRO: valor negativo",IF(C855&lt;&gt;SUM(D855:F855),"ERRO: categorias diferem dos respondentes",IF(COUNTIFS($A$5:$A$1200,A855,$B$5:$B$1200,B855)&gt;1,"ERRO: período e curso duplicados","OK"))))</f>
        <v/>
      </c>
    </row>
    <row r="856" ht="15" customHeight="1" s="131">
      <c r="A856" s="320" t="n"/>
      <c r="B856" s="323" t="n"/>
      <c r="C856" s="320" t="n"/>
      <c r="D856" s="320" t="n"/>
      <c r="E856" s="320" t="n"/>
      <c r="F856" s="320" t="n"/>
      <c r="G856" s="284">
        <f>IFERROR((D856-F856)/C856*100,"")</f>
        <v/>
      </c>
      <c r="H856" s="324" t="n"/>
      <c r="I856" s="320" t="n"/>
      <c r="J856" s="325">
        <f>IF(COUNTA(A856:F856)=0,"",IF(OR(C856&lt;0,D856&lt;0,E856&lt;0,F856&lt;0),"ERRO: valor negativo",IF(C856&lt;&gt;SUM(D856:F856),"ERRO: categorias diferem dos respondentes",IF(COUNTIFS($A$5:$A$1200,A856,$B$5:$B$1200,B856)&gt;1,"ERRO: período e curso duplicados","OK"))))</f>
        <v/>
      </c>
    </row>
    <row r="857" ht="15" customHeight="1" s="131">
      <c r="A857" s="320" t="n"/>
      <c r="B857" s="323" t="n"/>
      <c r="C857" s="320" t="n"/>
      <c r="D857" s="320" t="n"/>
      <c r="E857" s="320" t="n"/>
      <c r="F857" s="320" t="n"/>
      <c r="G857" s="284">
        <f>IFERROR((D857-F857)/C857*100,"")</f>
        <v/>
      </c>
      <c r="H857" s="324" t="n"/>
      <c r="I857" s="320" t="n"/>
      <c r="J857" s="325">
        <f>IF(COUNTA(A857:F857)=0,"",IF(OR(C857&lt;0,D857&lt;0,E857&lt;0,F857&lt;0),"ERRO: valor negativo",IF(C857&lt;&gt;SUM(D857:F857),"ERRO: categorias diferem dos respondentes",IF(COUNTIFS($A$5:$A$1200,A857,$B$5:$B$1200,B857)&gt;1,"ERRO: período e curso duplicados","OK"))))</f>
        <v/>
      </c>
    </row>
    <row r="858" ht="15" customHeight="1" s="131">
      <c r="A858" s="320" t="n"/>
      <c r="B858" s="323" t="n"/>
      <c r="C858" s="320" t="n"/>
      <c r="D858" s="320" t="n"/>
      <c r="E858" s="320" t="n"/>
      <c r="F858" s="320" t="n"/>
      <c r="G858" s="284">
        <f>IFERROR((D858-F858)/C858*100,"")</f>
        <v/>
      </c>
      <c r="H858" s="324" t="n"/>
      <c r="I858" s="320" t="n"/>
      <c r="J858" s="325">
        <f>IF(COUNTA(A858:F858)=0,"",IF(OR(C858&lt;0,D858&lt;0,E858&lt;0,F858&lt;0),"ERRO: valor negativo",IF(C858&lt;&gt;SUM(D858:F858),"ERRO: categorias diferem dos respondentes",IF(COUNTIFS($A$5:$A$1200,A858,$B$5:$B$1200,B858)&gt;1,"ERRO: período e curso duplicados","OK"))))</f>
        <v/>
      </c>
    </row>
    <row r="859" ht="15" customHeight="1" s="131">
      <c r="A859" s="320" t="n"/>
      <c r="B859" s="323" t="n"/>
      <c r="C859" s="320" t="n"/>
      <c r="D859" s="320" t="n"/>
      <c r="E859" s="320" t="n"/>
      <c r="F859" s="320" t="n"/>
      <c r="G859" s="284">
        <f>IFERROR((D859-F859)/C859*100,"")</f>
        <v/>
      </c>
      <c r="H859" s="324" t="n"/>
      <c r="I859" s="320" t="n"/>
      <c r="J859" s="325">
        <f>IF(COUNTA(A859:F859)=0,"",IF(OR(C859&lt;0,D859&lt;0,E859&lt;0,F859&lt;0),"ERRO: valor negativo",IF(C859&lt;&gt;SUM(D859:F859),"ERRO: categorias diferem dos respondentes",IF(COUNTIFS($A$5:$A$1200,A859,$B$5:$B$1200,B859)&gt;1,"ERRO: período e curso duplicados","OK"))))</f>
        <v/>
      </c>
    </row>
    <row r="860" ht="15" customHeight="1" s="131">
      <c r="A860" s="320" t="n"/>
      <c r="B860" s="323" t="n"/>
      <c r="C860" s="320" t="n"/>
      <c r="D860" s="320" t="n"/>
      <c r="E860" s="320" t="n"/>
      <c r="F860" s="320" t="n"/>
      <c r="G860" s="284">
        <f>IFERROR((D860-F860)/C860*100,"")</f>
        <v/>
      </c>
      <c r="H860" s="324" t="n"/>
      <c r="I860" s="320" t="n"/>
      <c r="J860" s="325">
        <f>IF(COUNTA(A860:F860)=0,"",IF(OR(C860&lt;0,D860&lt;0,E860&lt;0,F860&lt;0),"ERRO: valor negativo",IF(C860&lt;&gt;SUM(D860:F860),"ERRO: categorias diferem dos respondentes",IF(COUNTIFS($A$5:$A$1200,A860,$B$5:$B$1200,B860)&gt;1,"ERRO: período e curso duplicados","OK"))))</f>
        <v/>
      </c>
    </row>
    <row r="861" ht="15" customHeight="1" s="131">
      <c r="A861" s="320" t="n"/>
      <c r="B861" s="323" t="n"/>
      <c r="C861" s="320" t="n"/>
      <c r="D861" s="320" t="n"/>
      <c r="E861" s="320" t="n"/>
      <c r="F861" s="320" t="n"/>
      <c r="G861" s="284">
        <f>IFERROR((D861-F861)/C861*100,"")</f>
        <v/>
      </c>
      <c r="H861" s="324" t="n"/>
      <c r="I861" s="320" t="n"/>
      <c r="J861" s="325">
        <f>IF(COUNTA(A861:F861)=0,"",IF(OR(C861&lt;0,D861&lt;0,E861&lt;0,F861&lt;0),"ERRO: valor negativo",IF(C861&lt;&gt;SUM(D861:F861),"ERRO: categorias diferem dos respondentes",IF(COUNTIFS($A$5:$A$1200,A861,$B$5:$B$1200,B861)&gt;1,"ERRO: período e curso duplicados","OK"))))</f>
        <v/>
      </c>
    </row>
    <row r="862" ht="15" customHeight="1" s="131">
      <c r="A862" s="320" t="n"/>
      <c r="B862" s="323" t="n"/>
      <c r="C862" s="320" t="n"/>
      <c r="D862" s="320" t="n"/>
      <c r="E862" s="320" t="n"/>
      <c r="F862" s="320" t="n"/>
      <c r="G862" s="284">
        <f>IFERROR((D862-F862)/C862*100,"")</f>
        <v/>
      </c>
      <c r="H862" s="324" t="n"/>
      <c r="I862" s="320" t="n"/>
      <c r="J862" s="325">
        <f>IF(COUNTA(A862:F862)=0,"",IF(OR(C862&lt;0,D862&lt;0,E862&lt;0,F862&lt;0),"ERRO: valor negativo",IF(C862&lt;&gt;SUM(D862:F862),"ERRO: categorias diferem dos respondentes",IF(COUNTIFS($A$5:$A$1200,A862,$B$5:$B$1200,B862)&gt;1,"ERRO: período e curso duplicados","OK"))))</f>
        <v/>
      </c>
    </row>
    <row r="863" ht="15" customHeight="1" s="131">
      <c r="A863" s="320" t="n"/>
      <c r="B863" s="323" t="n"/>
      <c r="C863" s="320" t="n"/>
      <c r="D863" s="320" t="n"/>
      <c r="E863" s="320" t="n"/>
      <c r="F863" s="320" t="n"/>
      <c r="G863" s="284">
        <f>IFERROR((D863-F863)/C863*100,"")</f>
        <v/>
      </c>
      <c r="H863" s="324" t="n"/>
      <c r="I863" s="320" t="n"/>
      <c r="J863" s="325">
        <f>IF(COUNTA(A863:F863)=0,"",IF(OR(C863&lt;0,D863&lt;0,E863&lt;0,F863&lt;0),"ERRO: valor negativo",IF(C863&lt;&gt;SUM(D863:F863),"ERRO: categorias diferem dos respondentes",IF(COUNTIFS($A$5:$A$1200,A863,$B$5:$B$1200,B863)&gt;1,"ERRO: período e curso duplicados","OK"))))</f>
        <v/>
      </c>
    </row>
    <row r="864" ht="15" customHeight="1" s="131">
      <c r="A864" s="320" t="n"/>
      <c r="B864" s="323" t="n"/>
      <c r="C864" s="320" t="n"/>
      <c r="D864" s="320" t="n"/>
      <c r="E864" s="320" t="n"/>
      <c r="F864" s="320" t="n"/>
      <c r="G864" s="284">
        <f>IFERROR((D864-F864)/C864*100,"")</f>
        <v/>
      </c>
      <c r="H864" s="324" t="n"/>
      <c r="I864" s="320" t="n"/>
      <c r="J864" s="325">
        <f>IF(COUNTA(A864:F864)=0,"",IF(OR(C864&lt;0,D864&lt;0,E864&lt;0,F864&lt;0),"ERRO: valor negativo",IF(C864&lt;&gt;SUM(D864:F864),"ERRO: categorias diferem dos respondentes",IF(COUNTIFS($A$5:$A$1200,A864,$B$5:$B$1200,B864)&gt;1,"ERRO: período e curso duplicados","OK"))))</f>
        <v/>
      </c>
    </row>
    <row r="865" ht="15" customHeight="1" s="131">
      <c r="A865" s="320" t="n"/>
      <c r="B865" s="323" t="n"/>
      <c r="C865" s="320" t="n"/>
      <c r="D865" s="320" t="n"/>
      <c r="E865" s="320" t="n"/>
      <c r="F865" s="320" t="n"/>
      <c r="G865" s="284">
        <f>IFERROR((D865-F865)/C865*100,"")</f>
        <v/>
      </c>
      <c r="H865" s="324" t="n"/>
      <c r="I865" s="320" t="n"/>
      <c r="J865" s="325">
        <f>IF(COUNTA(A865:F865)=0,"",IF(OR(C865&lt;0,D865&lt;0,E865&lt;0,F865&lt;0),"ERRO: valor negativo",IF(C865&lt;&gt;SUM(D865:F865),"ERRO: categorias diferem dos respondentes",IF(COUNTIFS($A$5:$A$1200,A865,$B$5:$B$1200,B865)&gt;1,"ERRO: período e curso duplicados","OK"))))</f>
        <v/>
      </c>
    </row>
    <row r="866" ht="15" customHeight="1" s="131">
      <c r="A866" s="320" t="n"/>
      <c r="B866" s="323" t="n"/>
      <c r="C866" s="320" t="n"/>
      <c r="D866" s="320" t="n"/>
      <c r="E866" s="320" t="n"/>
      <c r="F866" s="320" t="n"/>
      <c r="G866" s="284">
        <f>IFERROR((D866-F866)/C866*100,"")</f>
        <v/>
      </c>
      <c r="H866" s="324" t="n"/>
      <c r="I866" s="320" t="n"/>
      <c r="J866" s="325">
        <f>IF(COUNTA(A866:F866)=0,"",IF(OR(C866&lt;0,D866&lt;0,E866&lt;0,F866&lt;0),"ERRO: valor negativo",IF(C866&lt;&gt;SUM(D866:F866),"ERRO: categorias diferem dos respondentes",IF(COUNTIFS($A$5:$A$1200,A866,$B$5:$B$1200,B866)&gt;1,"ERRO: período e curso duplicados","OK"))))</f>
        <v/>
      </c>
    </row>
    <row r="867" ht="15" customHeight="1" s="131">
      <c r="A867" s="320" t="n"/>
      <c r="B867" s="323" t="n"/>
      <c r="C867" s="320" t="n"/>
      <c r="D867" s="320" t="n"/>
      <c r="E867" s="320" t="n"/>
      <c r="F867" s="320" t="n"/>
      <c r="G867" s="284">
        <f>IFERROR((D867-F867)/C867*100,"")</f>
        <v/>
      </c>
      <c r="H867" s="324" t="n"/>
      <c r="I867" s="320" t="n"/>
      <c r="J867" s="325">
        <f>IF(COUNTA(A867:F867)=0,"",IF(OR(C867&lt;0,D867&lt;0,E867&lt;0,F867&lt;0),"ERRO: valor negativo",IF(C867&lt;&gt;SUM(D867:F867),"ERRO: categorias diferem dos respondentes",IF(COUNTIFS($A$5:$A$1200,A867,$B$5:$B$1200,B867)&gt;1,"ERRO: período e curso duplicados","OK"))))</f>
        <v/>
      </c>
    </row>
    <row r="868" ht="15" customHeight="1" s="131">
      <c r="A868" s="320" t="n"/>
      <c r="B868" s="323" t="n"/>
      <c r="C868" s="320" t="n"/>
      <c r="D868" s="320" t="n"/>
      <c r="E868" s="320" t="n"/>
      <c r="F868" s="320" t="n"/>
      <c r="G868" s="284">
        <f>IFERROR((D868-F868)/C868*100,"")</f>
        <v/>
      </c>
      <c r="H868" s="324" t="n"/>
      <c r="I868" s="320" t="n"/>
      <c r="J868" s="325">
        <f>IF(COUNTA(A868:F868)=0,"",IF(OR(C868&lt;0,D868&lt;0,E868&lt;0,F868&lt;0),"ERRO: valor negativo",IF(C868&lt;&gt;SUM(D868:F868),"ERRO: categorias diferem dos respondentes",IF(COUNTIFS($A$5:$A$1200,A868,$B$5:$B$1200,B868)&gt;1,"ERRO: período e curso duplicados","OK"))))</f>
        <v/>
      </c>
    </row>
    <row r="869" ht="15" customHeight="1" s="131">
      <c r="A869" s="320" t="n"/>
      <c r="B869" s="323" t="n"/>
      <c r="C869" s="320" t="n"/>
      <c r="D869" s="320" t="n"/>
      <c r="E869" s="320" t="n"/>
      <c r="F869" s="320" t="n"/>
      <c r="G869" s="284">
        <f>IFERROR((D869-F869)/C869*100,"")</f>
        <v/>
      </c>
      <c r="H869" s="324" t="n"/>
      <c r="I869" s="320" t="n"/>
      <c r="J869" s="325">
        <f>IF(COUNTA(A869:F869)=0,"",IF(OR(C869&lt;0,D869&lt;0,E869&lt;0,F869&lt;0),"ERRO: valor negativo",IF(C869&lt;&gt;SUM(D869:F869),"ERRO: categorias diferem dos respondentes",IF(COUNTIFS($A$5:$A$1200,A869,$B$5:$B$1200,B869)&gt;1,"ERRO: período e curso duplicados","OK"))))</f>
        <v/>
      </c>
    </row>
    <row r="870" ht="15" customHeight="1" s="131">
      <c r="A870" s="320" t="n"/>
      <c r="B870" s="323" t="n"/>
      <c r="C870" s="320" t="n"/>
      <c r="D870" s="320" t="n"/>
      <c r="E870" s="320" t="n"/>
      <c r="F870" s="320" t="n"/>
      <c r="G870" s="284">
        <f>IFERROR((D870-F870)/C870*100,"")</f>
        <v/>
      </c>
      <c r="H870" s="324" t="n"/>
      <c r="I870" s="320" t="n"/>
      <c r="J870" s="325">
        <f>IF(COUNTA(A870:F870)=0,"",IF(OR(C870&lt;0,D870&lt;0,E870&lt;0,F870&lt;0),"ERRO: valor negativo",IF(C870&lt;&gt;SUM(D870:F870),"ERRO: categorias diferem dos respondentes",IF(COUNTIFS($A$5:$A$1200,A870,$B$5:$B$1200,B870)&gt;1,"ERRO: período e curso duplicados","OK"))))</f>
        <v/>
      </c>
    </row>
    <row r="871" ht="15" customHeight="1" s="131">
      <c r="A871" s="320" t="n"/>
      <c r="B871" s="323" t="n"/>
      <c r="C871" s="320" t="n"/>
      <c r="D871" s="320" t="n"/>
      <c r="E871" s="320" t="n"/>
      <c r="F871" s="320" t="n"/>
      <c r="G871" s="284">
        <f>IFERROR((D871-F871)/C871*100,"")</f>
        <v/>
      </c>
      <c r="H871" s="324" t="n"/>
      <c r="I871" s="320" t="n"/>
      <c r="J871" s="325">
        <f>IF(COUNTA(A871:F871)=0,"",IF(OR(C871&lt;0,D871&lt;0,E871&lt;0,F871&lt;0),"ERRO: valor negativo",IF(C871&lt;&gt;SUM(D871:F871),"ERRO: categorias diferem dos respondentes",IF(COUNTIFS($A$5:$A$1200,A871,$B$5:$B$1200,B871)&gt;1,"ERRO: período e curso duplicados","OK"))))</f>
        <v/>
      </c>
    </row>
    <row r="872" ht="15" customHeight="1" s="131">
      <c r="A872" s="320" t="n"/>
      <c r="B872" s="323" t="n"/>
      <c r="C872" s="320" t="n"/>
      <c r="D872" s="320" t="n"/>
      <c r="E872" s="320" t="n"/>
      <c r="F872" s="320" t="n"/>
      <c r="G872" s="284">
        <f>IFERROR((D872-F872)/C872*100,"")</f>
        <v/>
      </c>
      <c r="H872" s="324" t="n"/>
      <c r="I872" s="320" t="n"/>
      <c r="J872" s="325">
        <f>IF(COUNTA(A872:F872)=0,"",IF(OR(C872&lt;0,D872&lt;0,E872&lt;0,F872&lt;0),"ERRO: valor negativo",IF(C872&lt;&gt;SUM(D872:F872),"ERRO: categorias diferem dos respondentes",IF(COUNTIFS($A$5:$A$1200,A872,$B$5:$B$1200,B872)&gt;1,"ERRO: período e curso duplicados","OK"))))</f>
        <v/>
      </c>
    </row>
    <row r="873" ht="15" customHeight="1" s="131">
      <c r="A873" s="320" t="n"/>
      <c r="B873" s="323" t="n"/>
      <c r="C873" s="320" t="n"/>
      <c r="D873" s="320" t="n"/>
      <c r="E873" s="320" t="n"/>
      <c r="F873" s="320" t="n"/>
      <c r="G873" s="284">
        <f>IFERROR((D873-F873)/C873*100,"")</f>
        <v/>
      </c>
      <c r="H873" s="324" t="n"/>
      <c r="I873" s="320" t="n"/>
      <c r="J873" s="325">
        <f>IF(COUNTA(A873:F873)=0,"",IF(OR(C873&lt;0,D873&lt;0,E873&lt;0,F873&lt;0),"ERRO: valor negativo",IF(C873&lt;&gt;SUM(D873:F873),"ERRO: categorias diferem dos respondentes",IF(COUNTIFS($A$5:$A$1200,A873,$B$5:$B$1200,B873)&gt;1,"ERRO: período e curso duplicados","OK"))))</f>
        <v/>
      </c>
    </row>
    <row r="874" ht="15" customHeight="1" s="131">
      <c r="A874" s="320" t="n"/>
      <c r="B874" s="323" t="n"/>
      <c r="C874" s="320" t="n"/>
      <c r="D874" s="320" t="n"/>
      <c r="E874" s="320" t="n"/>
      <c r="F874" s="320" t="n"/>
      <c r="G874" s="284">
        <f>IFERROR((D874-F874)/C874*100,"")</f>
        <v/>
      </c>
      <c r="H874" s="324" t="n"/>
      <c r="I874" s="320" t="n"/>
      <c r="J874" s="325">
        <f>IF(COUNTA(A874:F874)=0,"",IF(OR(C874&lt;0,D874&lt;0,E874&lt;0,F874&lt;0),"ERRO: valor negativo",IF(C874&lt;&gt;SUM(D874:F874),"ERRO: categorias diferem dos respondentes",IF(COUNTIFS($A$5:$A$1200,A874,$B$5:$B$1200,B874)&gt;1,"ERRO: período e curso duplicados","OK"))))</f>
        <v/>
      </c>
    </row>
    <row r="875" ht="15" customHeight="1" s="131">
      <c r="A875" s="320" t="n"/>
      <c r="B875" s="323" t="n"/>
      <c r="C875" s="320" t="n"/>
      <c r="D875" s="320" t="n"/>
      <c r="E875" s="320" t="n"/>
      <c r="F875" s="320" t="n"/>
      <c r="G875" s="284">
        <f>IFERROR((D875-F875)/C875*100,"")</f>
        <v/>
      </c>
      <c r="H875" s="324" t="n"/>
      <c r="I875" s="320" t="n"/>
      <c r="J875" s="325">
        <f>IF(COUNTA(A875:F875)=0,"",IF(OR(C875&lt;0,D875&lt;0,E875&lt;0,F875&lt;0),"ERRO: valor negativo",IF(C875&lt;&gt;SUM(D875:F875),"ERRO: categorias diferem dos respondentes",IF(COUNTIFS($A$5:$A$1200,A875,$B$5:$B$1200,B875)&gt;1,"ERRO: período e curso duplicados","OK"))))</f>
        <v/>
      </c>
    </row>
    <row r="876" ht="15" customHeight="1" s="131">
      <c r="A876" s="320" t="n"/>
      <c r="B876" s="323" t="n"/>
      <c r="C876" s="320" t="n"/>
      <c r="D876" s="320" t="n"/>
      <c r="E876" s="320" t="n"/>
      <c r="F876" s="320" t="n"/>
      <c r="G876" s="284">
        <f>IFERROR((D876-F876)/C876*100,"")</f>
        <v/>
      </c>
      <c r="H876" s="324" t="n"/>
      <c r="I876" s="320" t="n"/>
      <c r="J876" s="325">
        <f>IF(COUNTA(A876:F876)=0,"",IF(OR(C876&lt;0,D876&lt;0,E876&lt;0,F876&lt;0),"ERRO: valor negativo",IF(C876&lt;&gt;SUM(D876:F876),"ERRO: categorias diferem dos respondentes",IF(COUNTIFS($A$5:$A$1200,A876,$B$5:$B$1200,B876)&gt;1,"ERRO: período e curso duplicados","OK"))))</f>
        <v/>
      </c>
    </row>
    <row r="877" ht="15" customHeight="1" s="131">
      <c r="A877" s="320" t="n"/>
      <c r="B877" s="323" t="n"/>
      <c r="C877" s="320" t="n"/>
      <c r="D877" s="320" t="n"/>
      <c r="E877" s="320" t="n"/>
      <c r="F877" s="320" t="n"/>
      <c r="G877" s="284">
        <f>IFERROR((D877-F877)/C877*100,"")</f>
        <v/>
      </c>
      <c r="H877" s="324" t="n"/>
      <c r="I877" s="320" t="n"/>
      <c r="J877" s="325">
        <f>IF(COUNTA(A877:F877)=0,"",IF(OR(C877&lt;0,D877&lt;0,E877&lt;0,F877&lt;0),"ERRO: valor negativo",IF(C877&lt;&gt;SUM(D877:F877),"ERRO: categorias diferem dos respondentes",IF(COUNTIFS($A$5:$A$1200,A877,$B$5:$B$1200,B877)&gt;1,"ERRO: período e curso duplicados","OK"))))</f>
        <v/>
      </c>
    </row>
    <row r="878" ht="15" customHeight="1" s="131">
      <c r="A878" s="320" t="n"/>
      <c r="B878" s="323" t="n"/>
      <c r="C878" s="320" t="n"/>
      <c r="D878" s="320" t="n"/>
      <c r="E878" s="320" t="n"/>
      <c r="F878" s="320" t="n"/>
      <c r="G878" s="284">
        <f>IFERROR((D878-F878)/C878*100,"")</f>
        <v/>
      </c>
      <c r="H878" s="324" t="n"/>
      <c r="I878" s="320" t="n"/>
      <c r="J878" s="325">
        <f>IF(COUNTA(A878:F878)=0,"",IF(OR(C878&lt;0,D878&lt;0,E878&lt;0,F878&lt;0),"ERRO: valor negativo",IF(C878&lt;&gt;SUM(D878:F878),"ERRO: categorias diferem dos respondentes",IF(COUNTIFS($A$5:$A$1200,A878,$B$5:$B$1200,B878)&gt;1,"ERRO: período e curso duplicados","OK"))))</f>
        <v/>
      </c>
    </row>
    <row r="879" ht="15" customHeight="1" s="131">
      <c r="A879" s="320" t="n"/>
      <c r="B879" s="323" t="n"/>
      <c r="C879" s="320" t="n"/>
      <c r="D879" s="320" t="n"/>
      <c r="E879" s="320" t="n"/>
      <c r="F879" s="320" t="n"/>
      <c r="G879" s="284">
        <f>IFERROR((D879-F879)/C879*100,"")</f>
        <v/>
      </c>
      <c r="H879" s="324" t="n"/>
      <c r="I879" s="320" t="n"/>
      <c r="J879" s="325">
        <f>IF(COUNTA(A879:F879)=0,"",IF(OR(C879&lt;0,D879&lt;0,E879&lt;0,F879&lt;0),"ERRO: valor negativo",IF(C879&lt;&gt;SUM(D879:F879),"ERRO: categorias diferem dos respondentes",IF(COUNTIFS($A$5:$A$1200,A879,$B$5:$B$1200,B879)&gt;1,"ERRO: período e curso duplicados","OK"))))</f>
        <v/>
      </c>
    </row>
    <row r="880" ht="15" customHeight="1" s="131">
      <c r="A880" s="320" t="n"/>
      <c r="B880" s="323" t="n"/>
      <c r="C880" s="320" t="n"/>
      <c r="D880" s="320" t="n"/>
      <c r="E880" s="320" t="n"/>
      <c r="F880" s="320" t="n"/>
      <c r="G880" s="284">
        <f>IFERROR((D880-F880)/C880*100,"")</f>
        <v/>
      </c>
      <c r="H880" s="324" t="n"/>
      <c r="I880" s="320" t="n"/>
      <c r="J880" s="325">
        <f>IF(COUNTA(A880:F880)=0,"",IF(OR(C880&lt;0,D880&lt;0,E880&lt;0,F880&lt;0),"ERRO: valor negativo",IF(C880&lt;&gt;SUM(D880:F880),"ERRO: categorias diferem dos respondentes",IF(COUNTIFS($A$5:$A$1200,A880,$B$5:$B$1200,B880)&gt;1,"ERRO: período e curso duplicados","OK"))))</f>
        <v/>
      </c>
    </row>
    <row r="881" ht="15" customHeight="1" s="131">
      <c r="A881" s="320" t="n"/>
      <c r="B881" s="323" t="n"/>
      <c r="C881" s="320" t="n"/>
      <c r="D881" s="320" t="n"/>
      <c r="E881" s="320" t="n"/>
      <c r="F881" s="320" t="n"/>
      <c r="G881" s="284">
        <f>IFERROR((D881-F881)/C881*100,"")</f>
        <v/>
      </c>
      <c r="H881" s="324" t="n"/>
      <c r="I881" s="320" t="n"/>
      <c r="J881" s="325">
        <f>IF(COUNTA(A881:F881)=0,"",IF(OR(C881&lt;0,D881&lt;0,E881&lt;0,F881&lt;0),"ERRO: valor negativo",IF(C881&lt;&gt;SUM(D881:F881),"ERRO: categorias diferem dos respondentes",IF(COUNTIFS($A$5:$A$1200,A881,$B$5:$B$1200,B881)&gt;1,"ERRO: período e curso duplicados","OK"))))</f>
        <v/>
      </c>
    </row>
    <row r="882" ht="15" customHeight="1" s="131">
      <c r="A882" s="320" t="n"/>
      <c r="B882" s="323" t="n"/>
      <c r="C882" s="320" t="n"/>
      <c r="D882" s="320" t="n"/>
      <c r="E882" s="320" t="n"/>
      <c r="F882" s="320" t="n"/>
      <c r="G882" s="284">
        <f>IFERROR((D882-F882)/C882*100,"")</f>
        <v/>
      </c>
      <c r="H882" s="324" t="n"/>
      <c r="I882" s="320" t="n"/>
      <c r="J882" s="325">
        <f>IF(COUNTA(A882:F882)=0,"",IF(OR(C882&lt;0,D882&lt;0,E882&lt;0,F882&lt;0),"ERRO: valor negativo",IF(C882&lt;&gt;SUM(D882:F882),"ERRO: categorias diferem dos respondentes",IF(COUNTIFS($A$5:$A$1200,A882,$B$5:$B$1200,B882)&gt;1,"ERRO: período e curso duplicados","OK"))))</f>
        <v/>
      </c>
    </row>
    <row r="883" ht="15" customHeight="1" s="131">
      <c r="A883" s="320" t="n"/>
      <c r="B883" s="323" t="n"/>
      <c r="C883" s="320" t="n"/>
      <c r="D883" s="320" t="n"/>
      <c r="E883" s="320" t="n"/>
      <c r="F883" s="320" t="n"/>
      <c r="G883" s="284">
        <f>IFERROR((D883-F883)/C883*100,"")</f>
        <v/>
      </c>
      <c r="H883" s="324" t="n"/>
      <c r="I883" s="320" t="n"/>
      <c r="J883" s="325">
        <f>IF(COUNTA(A883:F883)=0,"",IF(OR(C883&lt;0,D883&lt;0,E883&lt;0,F883&lt;0),"ERRO: valor negativo",IF(C883&lt;&gt;SUM(D883:F883),"ERRO: categorias diferem dos respondentes",IF(COUNTIFS($A$5:$A$1200,A883,$B$5:$B$1200,B883)&gt;1,"ERRO: período e curso duplicados","OK"))))</f>
        <v/>
      </c>
    </row>
    <row r="884" ht="15" customHeight="1" s="131">
      <c r="A884" s="320" t="n"/>
      <c r="B884" s="323" t="n"/>
      <c r="C884" s="320" t="n"/>
      <c r="D884" s="320" t="n"/>
      <c r="E884" s="320" t="n"/>
      <c r="F884" s="320" t="n"/>
      <c r="G884" s="284">
        <f>IFERROR((D884-F884)/C884*100,"")</f>
        <v/>
      </c>
      <c r="H884" s="324" t="n"/>
      <c r="I884" s="320" t="n"/>
      <c r="J884" s="325">
        <f>IF(COUNTA(A884:F884)=0,"",IF(OR(C884&lt;0,D884&lt;0,E884&lt;0,F884&lt;0),"ERRO: valor negativo",IF(C884&lt;&gt;SUM(D884:F884),"ERRO: categorias diferem dos respondentes",IF(COUNTIFS($A$5:$A$1200,A884,$B$5:$B$1200,B884)&gt;1,"ERRO: período e curso duplicados","OK"))))</f>
        <v/>
      </c>
    </row>
    <row r="885" ht="15" customHeight="1" s="131">
      <c r="A885" s="320" t="n"/>
      <c r="B885" s="323" t="n"/>
      <c r="C885" s="320" t="n"/>
      <c r="D885" s="320" t="n"/>
      <c r="E885" s="320" t="n"/>
      <c r="F885" s="320" t="n"/>
      <c r="G885" s="284">
        <f>IFERROR((D885-F885)/C885*100,"")</f>
        <v/>
      </c>
      <c r="H885" s="324" t="n"/>
      <c r="I885" s="320" t="n"/>
      <c r="J885" s="325">
        <f>IF(COUNTA(A885:F885)=0,"",IF(OR(C885&lt;0,D885&lt;0,E885&lt;0,F885&lt;0),"ERRO: valor negativo",IF(C885&lt;&gt;SUM(D885:F885),"ERRO: categorias diferem dos respondentes",IF(COUNTIFS($A$5:$A$1200,A885,$B$5:$B$1200,B885)&gt;1,"ERRO: período e curso duplicados","OK"))))</f>
        <v/>
      </c>
    </row>
    <row r="886" ht="15" customHeight="1" s="131">
      <c r="A886" s="320" t="n"/>
      <c r="B886" s="323" t="n"/>
      <c r="C886" s="320" t="n"/>
      <c r="D886" s="320" t="n"/>
      <c r="E886" s="320" t="n"/>
      <c r="F886" s="320" t="n"/>
      <c r="G886" s="284">
        <f>IFERROR((D886-F886)/C886*100,"")</f>
        <v/>
      </c>
      <c r="H886" s="324" t="n"/>
      <c r="I886" s="320" t="n"/>
      <c r="J886" s="325">
        <f>IF(COUNTA(A886:F886)=0,"",IF(OR(C886&lt;0,D886&lt;0,E886&lt;0,F886&lt;0),"ERRO: valor negativo",IF(C886&lt;&gt;SUM(D886:F886),"ERRO: categorias diferem dos respondentes",IF(COUNTIFS($A$5:$A$1200,A886,$B$5:$B$1200,B886)&gt;1,"ERRO: período e curso duplicados","OK"))))</f>
        <v/>
      </c>
    </row>
    <row r="887" ht="15" customHeight="1" s="131">
      <c r="A887" s="320" t="n"/>
      <c r="B887" s="323" t="n"/>
      <c r="C887" s="320" t="n"/>
      <c r="D887" s="320" t="n"/>
      <c r="E887" s="320" t="n"/>
      <c r="F887" s="320" t="n"/>
      <c r="G887" s="284">
        <f>IFERROR((D887-F887)/C887*100,"")</f>
        <v/>
      </c>
      <c r="H887" s="324" t="n"/>
      <c r="I887" s="320" t="n"/>
      <c r="J887" s="325">
        <f>IF(COUNTA(A887:F887)=0,"",IF(OR(C887&lt;0,D887&lt;0,E887&lt;0,F887&lt;0),"ERRO: valor negativo",IF(C887&lt;&gt;SUM(D887:F887),"ERRO: categorias diferem dos respondentes",IF(COUNTIFS($A$5:$A$1200,A887,$B$5:$B$1200,B887)&gt;1,"ERRO: período e curso duplicados","OK"))))</f>
        <v/>
      </c>
    </row>
    <row r="888" ht="15" customHeight="1" s="131">
      <c r="A888" s="320" t="n"/>
      <c r="B888" s="323" t="n"/>
      <c r="C888" s="320" t="n"/>
      <c r="D888" s="320" t="n"/>
      <c r="E888" s="320" t="n"/>
      <c r="F888" s="320" t="n"/>
      <c r="G888" s="284">
        <f>IFERROR((D888-F888)/C888*100,"")</f>
        <v/>
      </c>
      <c r="H888" s="324" t="n"/>
      <c r="I888" s="320" t="n"/>
      <c r="J888" s="325">
        <f>IF(COUNTA(A888:F888)=0,"",IF(OR(C888&lt;0,D888&lt;0,E888&lt;0,F888&lt;0),"ERRO: valor negativo",IF(C888&lt;&gt;SUM(D888:F888),"ERRO: categorias diferem dos respondentes",IF(COUNTIFS($A$5:$A$1200,A888,$B$5:$B$1200,B888)&gt;1,"ERRO: período e curso duplicados","OK"))))</f>
        <v/>
      </c>
    </row>
    <row r="889" ht="15" customHeight="1" s="131">
      <c r="A889" s="320" t="n"/>
      <c r="B889" s="323" t="n"/>
      <c r="C889" s="320" t="n"/>
      <c r="D889" s="320" t="n"/>
      <c r="E889" s="320" t="n"/>
      <c r="F889" s="320" t="n"/>
      <c r="G889" s="284">
        <f>IFERROR((D889-F889)/C889*100,"")</f>
        <v/>
      </c>
      <c r="H889" s="324" t="n"/>
      <c r="I889" s="320" t="n"/>
      <c r="J889" s="325">
        <f>IF(COUNTA(A889:F889)=0,"",IF(OR(C889&lt;0,D889&lt;0,E889&lt;0,F889&lt;0),"ERRO: valor negativo",IF(C889&lt;&gt;SUM(D889:F889),"ERRO: categorias diferem dos respondentes",IF(COUNTIFS($A$5:$A$1200,A889,$B$5:$B$1200,B889)&gt;1,"ERRO: período e curso duplicados","OK"))))</f>
        <v/>
      </c>
    </row>
    <row r="890" ht="15" customHeight="1" s="131">
      <c r="A890" s="320" t="n"/>
      <c r="B890" s="323" t="n"/>
      <c r="C890" s="320" t="n"/>
      <c r="D890" s="320" t="n"/>
      <c r="E890" s="320" t="n"/>
      <c r="F890" s="320" t="n"/>
      <c r="G890" s="284">
        <f>IFERROR((D890-F890)/C890*100,"")</f>
        <v/>
      </c>
      <c r="H890" s="324" t="n"/>
      <c r="I890" s="320" t="n"/>
      <c r="J890" s="325">
        <f>IF(COUNTA(A890:F890)=0,"",IF(OR(C890&lt;0,D890&lt;0,E890&lt;0,F890&lt;0),"ERRO: valor negativo",IF(C890&lt;&gt;SUM(D890:F890),"ERRO: categorias diferem dos respondentes",IF(COUNTIFS($A$5:$A$1200,A890,$B$5:$B$1200,B890)&gt;1,"ERRO: período e curso duplicados","OK"))))</f>
        <v/>
      </c>
    </row>
    <row r="891" ht="15" customHeight="1" s="131">
      <c r="A891" s="320" t="n"/>
      <c r="B891" s="323" t="n"/>
      <c r="C891" s="320" t="n"/>
      <c r="D891" s="320" t="n"/>
      <c r="E891" s="320" t="n"/>
      <c r="F891" s="320" t="n"/>
      <c r="G891" s="284">
        <f>IFERROR((D891-F891)/C891*100,"")</f>
        <v/>
      </c>
      <c r="H891" s="324" t="n"/>
      <c r="I891" s="320" t="n"/>
      <c r="J891" s="325">
        <f>IF(COUNTA(A891:F891)=0,"",IF(OR(C891&lt;0,D891&lt;0,E891&lt;0,F891&lt;0),"ERRO: valor negativo",IF(C891&lt;&gt;SUM(D891:F891),"ERRO: categorias diferem dos respondentes",IF(COUNTIFS($A$5:$A$1200,A891,$B$5:$B$1200,B891)&gt;1,"ERRO: período e curso duplicados","OK"))))</f>
        <v/>
      </c>
    </row>
    <row r="892" ht="15" customHeight="1" s="131">
      <c r="A892" s="320" t="n"/>
      <c r="B892" s="323" t="n"/>
      <c r="C892" s="320" t="n"/>
      <c r="D892" s="320" t="n"/>
      <c r="E892" s="320" t="n"/>
      <c r="F892" s="320" t="n"/>
      <c r="G892" s="284">
        <f>IFERROR((D892-F892)/C892*100,"")</f>
        <v/>
      </c>
      <c r="H892" s="324" t="n"/>
      <c r="I892" s="320" t="n"/>
      <c r="J892" s="325">
        <f>IF(COUNTA(A892:F892)=0,"",IF(OR(C892&lt;0,D892&lt;0,E892&lt;0,F892&lt;0),"ERRO: valor negativo",IF(C892&lt;&gt;SUM(D892:F892),"ERRO: categorias diferem dos respondentes",IF(COUNTIFS($A$5:$A$1200,A892,$B$5:$B$1200,B892)&gt;1,"ERRO: período e curso duplicados","OK"))))</f>
        <v/>
      </c>
    </row>
    <row r="893" ht="15" customHeight="1" s="131">
      <c r="A893" s="320" t="n"/>
      <c r="B893" s="323" t="n"/>
      <c r="C893" s="320" t="n"/>
      <c r="D893" s="320" t="n"/>
      <c r="E893" s="320" t="n"/>
      <c r="F893" s="320" t="n"/>
      <c r="G893" s="284">
        <f>IFERROR((D893-F893)/C893*100,"")</f>
        <v/>
      </c>
      <c r="H893" s="324" t="n"/>
      <c r="I893" s="320" t="n"/>
      <c r="J893" s="325">
        <f>IF(COUNTA(A893:F893)=0,"",IF(OR(C893&lt;0,D893&lt;0,E893&lt;0,F893&lt;0),"ERRO: valor negativo",IF(C893&lt;&gt;SUM(D893:F893),"ERRO: categorias diferem dos respondentes",IF(COUNTIFS($A$5:$A$1200,A893,$B$5:$B$1200,B893)&gt;1,"ERRO: período e curso duplicados","OK"))))</f>
        <v/>
      </c>
    </row>
    <row r="894" ht="15" customHeight="1" s="131">
      <c r="A894" s="320" t="n"/>
      <c r="B894" s="323" t="n"/>
      <c r="C894" s="320" t="n"/>
      <c r="D894" s="320" t="n"/>
      <c r="E894" s="320" t="n"/>
      <c r="F894" s="320" t="n"/>
      <c r="G894" s="284">
        <f>IFERROR((D894-F894)/C894*100,"")</f>
        <v/>
      </c>
      <c r="H894" s="324" t="n"/>
      <c r="I894" s="320" t="n"/>
      <c r="J894" s="325">
        <f>IF(COUNTA(A894:F894)=0,"",IF(OR(C894&lt;0,D894&lt;0,E894&lt;0,F894&lt;0),"ERRO: valor negativo",IF(C894&lt;&gt;SUM(D894:F894),"ERRO: categorias diferem dos respondentes",IF(COUNTIFS($A$5:$A$1200,A894,$B$5:$B$1200,B894)&gt;1,"ERRO: período e curso duplicados","OK"))))</f>
        <v/>
      </c>
    </row>
    <row r="895" ht="15" customHeight="1" s="131">
      <c r="A895" s="320" t="n"/>
      <c r="B895" s="323" t="n"/>
      <c r="C895" s="320" t="n"/>
      <c r="D895" s="320" t="n"/>
      <c r="E895" s="320" t="n"/>
      <c r="F895" s="320" t="n"/>
      <c r="G895" s="284">
        <f>IFERROR((D895-F895)/C895*100,"")</f>
        <v/>
      </c>
      <c r="H895" s="324" t="n"/>
      <c r="I895" s="320" t="n"/>
      <c r="J895" s="325">
        <f>IF(COUNTA(A895:F895)=0,"",IF(OR(C895&lt;0,D895&lt;0,E895&lt;0,F895&lt;0),"ERRO: valor negativo",IF(C895&lt;&gt;SUM(D895:F895),"ERRO: categorias diferem dos respondentes",IF(COUNTIFS($A$5:$A$1200,A895,$B$5:$B$1200,B895)&gt;1,"ERRO: período e curso duplicados","OK"))))</f>
        <v/>
      </c>
    </row>
    <row r="896" ht="15" customHeight="1" s="131">
      <c r="A896" s="320" t="n"/>
      <c r="B896" s="323" t="n"/>
      <c r="C896" s="320" t="n"/>
      <c r="D896" s="320" t="n"/>
      <c r="E896" s="320" t="n"/>
      <c r="F896" s="320" t="n"/>
      <c r="G896" s="284">
        <f>IFERROR((D896-F896)/C896*100,"")</f>
        <v/>
      </c>
      <c r="H896" s="324" t="n"/>
      <c r="I896" s="320" t="n"/>
      <c r="J896" s="325">
        <f>IF(COUNTA(A896:F896)=0,"",IF(OR(C896&lt;0,D896&lt;0,E896&lt;0,F896&lt;0),"ERRO: valor negativo",IF(C896&lt;&gt;SUM(D896:F896),"ERRO: categorias diferem dos respondentes",IF(COUNTIFS($A$5:$A$1200,A896,$B$5:$B$1200,B896)&gt;1,"ERRO: período e curso duplicados","OK"))))</f>
        <v/>
      </c>
    </row>
    <row r="897" ht="15" customHeight="1" s="131">
      <c r="A897" s="320" t="n"/>
      <c r="B897" s="323" t="n"/>
      <c r="C897" s="320" t="n"/>
      <c r="D897" s="320" t="n"/>
      <c r="E897" s="320" t="n"/>
      <c r="F897" s="320" t="n"/>
      <c r="G897" s="284">
        <f>IFERROR((D897-F897)/C897*100,"")</f>
        <v/>
      </c>
      <c r="H897" s="324" t="n"/>
      <c r="I897" s="320" t="n"/>
      <c r="J897" s="325">
        <f>IF(COUNTA(A897:F897)=0,"",IF(OR(C897&lt;0,D897&lt;0,E897&lt;0,F897&lt;0),"ERRO: valor negativo",IF(C897&lt;&gt;SUM(D897:F897),"ERRO: categorias diferem dos respondentes",IF(COUNTIFS($A$5:$A$1200,A897,$B$5:$B$1200,B897)&gt;1,"ERRO: período e curso duplicados","OK"))))</f>
        <v/>
      </c>
    </row>
    <row r="898" ht="15" customHeight="1" s="131">
      <c r="A898" s="320" t="n"/>
      <c r="B898" s="323" t="n"/>
      <c r="C898" s="320" t="n"/>
      <c r="D898" s="320" t="n"/>
      <c r="E898" s="320" t="n"/>
      <c r="F898" s="320" t="n"/>
      <c r="G898" s="284">
        <f>IFERROR((D898-F898)/C898*100,"")</f>
        <v/>
      </c>
      <c r="H898" s="324" t="n"/>
      <c r="I898" s="320" t="n"/>
      <c r="J898" s="325">
        <f>IF(COUNTA(A898:F898)=0,"",IF(OR(C898&lt;0,D898&lt;0,E898&lt;0,F898&lt;0),"ERRO: valor negativo",IF(C898&lt;&gt;SUM(D898:F898),"ERRO: categorias diferem dos respondentes",IF(COUNTIFS($A$5:$A$1200,A898,$B$5:$B$1200,B898)&gt;1,"ERRO: período e curso duplicados","OK"))))</f>
        <v/>
      </c>
    </row>
    <row r="899" ht="15" customHeight="1" s="131">
      <c r="A899" s="320" t="n"/>
      <c r="B899" s="323" t="n"/>
      <c r="C899" s="320" t="n"/>
      <c r="D899" s="320" t="n"/>
      <c r="E899" s="320" t="n"/>
      <c r="F899" s="320" t="n"/>
      <c r="G899" s="284">
        <f>IFERROR((D899-F899)/C899*100,"")</f>
        <v/>
      </c>
      <c r="H899" s="324" t="n"/>
      <c r="I899" s="320" t="n"/>
      <c r="J899" s="325">
        <f>IF(COUNTA(A899:F899)=0,"",IF(OR(C899&lt;0,D899&lt;0,E899&lt;0,F899&lt;0),"ERRO: valor negativo",IF(C899&lt;&gt;SUM(D899:F899),"ERRO: categorias diferem dos respondentes",IF(COUNTIFS($A$5:$A$1200,A899,$B$5:$B$1200,B899)&gt;1,"ERRO: período e curso duplicados","OK"))))</f>
        <v/>
      </c>
    </row>
    <row r="900" ht="15" customHeight="1" s="131">
      <c r="A900" s="320" t="n"/>
      <c r="B900" s="323" t="n"/>
      <c r="C900" s="320" t="n"/>
      <c r="D900" s="320" t="n"/>
      <c r="E900" s="320" t="n"/>
      <c r="F900" s="320" t="n"/>
      <c r="G900" s="284">
        <f>IFERROR((D900-F900)/C900*100,"")</f>
        <v/>
      </c>
      <c r="H900" s="324" t="n"/>
      <c r="I900" s="320" t="n"/>
      <c r="J900" s="325">
        <f>IF(COUNTA(A900:F900)=0,"",IF(OR(C900&lt;0,D900&lt;0,E900&lt;0,F900&lt;0),"ERRO: valor negativo",IF(C900&lt;&gt;SUM(D900:F900),"ERRO: categorias diferem dos respondentes",IF(COUNTIFS($A$5:$A$1200,A900,$B$5:$B$1200,B900)&gt;1,"ERRO: período e curso duplicados","OK"))))</f>
        <v/>
      </c>
    </row>
    <row r="901" ht="15" customHeight="1" s="131">
      <c r="A901" s="320" t="n"/>
      <c r="B901" s="323" t="n"/>
      <c r="C901" s="320" t="n"/>
      <c r="D901" s="320" t="n"/>
      <c r="E901" s="320" t="n"/>
      <c r="F901" s="320" t="n"/>
      <c r="G901" s="284">
        <f>IFERROR((D901-F901)/C901*100,"")</f>
        <v/>
      </c>
      <c r="H901" s="324" t="n"/>
      <c r="I901" s="320" t="n"/>
      <c r="J901" s="325">
        <f>IF(COUNTA(A901:F901)=0,"",IF(OR(C901&lt;0,D901&lt;0,E901&lt;0,F901&lt;0),"ERRO: valor negativo",IF(C901&lt;&gt;SUM(D901:F901),"ERRO: categorias diferem dos respondentes",IF(COUNTIFS($A$5:$A$1200,A901,$B$5:$B$1200,B901)&gt;1,"ERRO: período e curso duplicados","OK"))))</f>
        <v/>
      </c>
    </row>
    <row r="902" ht="15" customHeight="1" s="131">
      <c r="A902" s="320" t="n"/>
      <c r="B902" s="323" t="n"/>
      <c r="C902" s="320" t="n"/>
      <c r="D902" s="320" t="n"/>
      <c r="E902" s="320" t="n"/>
      <c r="F902" s="320" t="n"/>
      <c r="G902" s="284">
        <f>IFERROR((D902-F902)/C902*100,"")</f>
        <v/>
      </c>
      <c r="H902" s="324" t="n"/>
      <c r="I902" s="320" t="n"/>
      <c r="J902" s="325">
        <f>IF(COUNTA(A902:F902)=0,"",IF(OR(C902&lt;0,D902&lt;0,E902&lt;0,F902&lt;0),"ERRO: valor negativo",IF(C902&lt;&gt;SUM(D902:F902),"ERRO: categorias diferem dos respondentes",IF(COUNTIFS($A$5:$A$1200,A902,$B$5:$B$1200,B902)&gt;1,"ERRO: período e curso duplicados","OK"))))</f>
        <v/>
      </c>
    </row>
    <row r="903" ht="15" customHeight="1" s="131">
      <c r="A903" s="320" t="n"/>
      <c r="B903" s="323" t="n"/>
      <c r="C903" s="320" t="n"/>
      <c r="D903" s="320" t="n"/>
      <c r="E903" s="320" t="n"/>
      <c r="F903" s="320" t="n"/>
      <c r="G903" s="284">
        <f>IFERROR((D903-F903)/C903*100,"")</f>
        <v/>
      </c>
      <c r="H903" s="324" t="n"/>
      <c r="I903" s="320" t="n"/>
      <c r="J903" s="325">
        <f>IF(COUNTA(A903:F903)=0,"",IF(OR(C903&lt;0,D903&lt;0,E903&lt;0,F903&lt;0),"ERRO: valor negativo",IF(C903&lt;&gt;SUM(D903:F903),"ERRO: categorias diferem dos respondentes",IF(COUNTIFS($A$5:$A$1200,A903,$B$5:$B$1200,B903)&gt;1,"ERRO: período e curso duplicados","OK"))))</f>
        <v/>
      </c>
    </row>
    <row r="904" ht="15" customHeight="1" s="131">
      <c r="A904" s="320" t="n"/>
      <c r="B904" s="323" t="n"/>
      <c r="C904" s="320" t="n"/>
      <c r="D904" s="320" t="n"/>
      <c r="E904" s="320" t="n"/>
      <c r="F904" s="320" t="n"/>
      <c r="G904" s="284">
        <f>IFERROR((D904-F904)/C904*100,"")</f>
        <v/>
      </c>
      <c r="H904" s="324" t="n"/>
      <c r="I904" s="320" t="n"/>
      <c r="J904" s="325">
        <f>IF(COUNTA(A904:F904)=0,"",IF(OR(C904&lt;0,D904&lt;0,E904&lt;0,F904&lt;0),"ERRO: valor negativo",IF(C904&lt;&gt;SUM(D904:F904),"ERRO: categorias diferem dos respondentes",IF(COUNTIFS($A$5:$A$1200,A904,$B$5:$B$1200,B904)&gt;1,"ERRO: período e curso duplicados","OK"))))</f>
        <v/>
      </c>
    </row>
    <row r="905" ht="15" customHeight="1" s="131">
      <c r="A905" s="320" t="n"/>
      <c r="B905" s="323" t="n"/>
      <c r="C905" s="320" t="n"/>
      <c r="D905" s="320" t="n"/>
      <c r="E905" s="320" t="n"/>
      <c r="F905" s="320" t="n"/>
      <c r="G905" s="284">
        <f>IFERROR((D905-F905)/C905*100,"")</f>
        <v/>
      </c>
      <c r="H905" s="324" t="n"/>
      <c r="I905" s="320" t="n"/>
      <c r="J905" s="325">
        <f>IF(COUNTA(A905:F905)=0,"",IF(OR(C905&lt;0,D905&lt;0,E905&lt;0,F905&lt;0),"ERRO: valor negativo",IF(C905&lt;&gt;SUM(D905:F905),"ERRO: categorias diferem dos respondentes",IF(COUNTIFS($A$5:$A$1200,A905,$B$5:$B$1200,B905)&gt;1,"ERRO: período e curso duplicados","OK"))))</f>
        <v/>
      </c>
    </row>
    <row r="906" ht="15" customHeight="1" s="131">
      <c r="A906" s="320" t="n"/>
      <c r="B906" s="323" t="n"/>
      <c r="C906" s="320" t="n"/>
      <c r="D906" s="320" t="n"/>
      <c r="E906" s="320" t="n"/>
      <c r="F906" s="320" t="n"/>
      <c r="G906" s="284">
        <f>IFERROR((D906-F906)/C906*100,"")</f>
        <v/>
      </c>
      <c r="H906" s="324" t="n"/>
      <c r="I906" s="320" t="n"/>
      <c r="J906" s="325">
        <f>IF(COUNTA(A906:F906)=0,"",IF(OR(C906&lt;0,D906&lt;0,E906&lt;0,F906&lt;0),"ERRO: valor negativo",IF(C906&lt;&gt;SUM(D906:F906),"ERRO: categorias diferem dos respondentes",IF(COUNTIFS($A$5:$A$1200,A906,$B$5:$B$1200,B906)&gt;1,"ERRO: período e curso duplicados","OK"))))</f>
        <v/>
      </c>
    </row>
    <row r="907" ht="15" customHeight="1" s="131">
      <c r="A907" s="320" t="n"/>
      <c r="B907" s="323" t="n"/>
      <c r="C907" s="320" t="n"/>
      <c r="D907" s="320" t="n"/>
      <c r="E907" s="320" t="n"/>
      <c r="F907" s="320" t="n"/>
      <c r="G907" s="284">
        <f>IFERROR((D907-F907)/C907*100,"")</f>
        <v/>
      </c>
      <c r="H907" s="324" t="n"/>
      <c r="I907" s="320" t="n"/>
      <c r="J907" s="325">
        <f>IF(COUNTA(A907:F907)=0,"",IF(OR(C907&lt;0,D907&lt;0,E907&lt;0,F907&lt;0),"ERRO: valor negativo",IF(C907&lt;&gt;SUM(D907:F907),"ERRO: categorias diferem dos respondentes",IF(COUNTIFS($A$5:$A$1200,A907,$B$5:$B$1200,B907)&gt;1,"ERRO: período e curso duplicados","OK"))))</f>
        <v/>
      </c>
    </row>
    <row r="908" ht="15" customHeight="1" s="131">
      <c r="A908" s="320" t="n"/>
      <c r="B908" s="323" t="n"/>
      <c r="C908" s="320" t="n"/>
      <c r="D908" s="320" t="n"/>
      <c r="E908" s="320" t="n"/>
      <c r="F908" s="320" t="n"/>
      <c r="G908" s="284">
        <f>IFERROR((D908-F908)/C908*100,"")</f>
        <v/>
      </c>
      <c r="H908" s="324" t="n"/>
      <c r="I908" s="320" t="n"/>
      <c r="J908" s="325">
        <f>IF(COUNTA(A908:F908)=0,"",IF(OR(C908&lt;0,D908&lt;0,E908&lt;0,F908&lt;0),"ERRO: valor negativo",IF(C908&lt;&gt;SUM(D908:F908),"ERRO: categorias diferem dos respondentes",IF(COUNTIFS($A$5:$A$1200,A908,$B$5:$B$1200,B908)&gt;1,"ERRO: período e curso duplicados","OK"))))</f>
        <v/>
      </c>
    </row>
    <row r="909" ht="15" customHeight="1" s="131">
      <c r="A909" s="320" t="n"/>
      <c r="B909" s="323" t="n"/>
      <c r="C909" s="320" t="n"/>
      <c r="D909" s="320" t="n"/>
      <c r="E909" s="320" t="n"/>
      <c r="F909" s="320" t="n"/>
      <c r="G909" s="284">
        <f>IFERROR((D909-F909)/C909*100,"")</f>
        <v/>
      </c>
      <c r="H909" s="324" t="n"/>
      <c r="I909" s="320" t="n"/>
      <c r="J909" s="325">
        <f>IF(COUNTA(A909:F909)=0,"",IF(OR(C909&lt;0,D909&lt;0,E909&lt;0,F909&lt;0),"ERRO: valor negativo",IF(C909&lt;&gt;SUM(D909:F909),"ERRO: categorias diferem dos respondentes",IF(COUNTIFS($A$5:$A$1200,A909,$B$5:$B$1200,B909)&gt;1,"ERRO: período e curso duplicados","OK"))))</f>
        <v/>
      </c>
    </row>
    <row r="910" ht="15" customHeight="1" s="131">
      <c r="A910" s="320" t="n"/>
      <c r="B910" s="323" t="n"/>
      <c r="C910" s="320" t="n"/>
      <c r="D910" s="320" t="n"/>
      <c r="E910" s="320" t="n"/>
      <c r="F910" s="320" t="n"/>
      <c r="G910" s="284">
        <f>IFERROR((D910-F910)/C910*100,"")</f>
        <v/>
      </c>
      <c r="H910" s="324" t="n"/>
      <c r="I910" s="320" t="n"/>
      <c r="J910" s="325">
        <f>IF(COUNTA(A910:F910)=0,"",IF(OR(C910&lt;0,D910&lt;0,E910&lt;0,F910&lt;0),"ERRO: valor negativo",IF(C910&lt;&gt;SUM(D910:F910),"ERRO: categorias diferem dos respondentes",IF(COUNTIFS($A$5:$A$1200,A910,$B$5:$B$1200,B910)&gt;1,"ERRO: período e curso duplicados","OK"))))</f>
        <v/>
      </c>
    </row>
    <row r="911" ht="15" customHeight="1" s="131">
      <c r="A911" s="320" t="n"/>
      <c r="B911" s="323" t="n"/>
      <c r="C911" s="320" t="n"/>
      <c r="D911" s="320" t="n"/>
      <c r="E911" s="320" t="n"/>
      <c r="F911" s="320" t="n"/>
      <c r="G911" s="284">
        <f>IFERROR((D911-F911)/C911*100,"")</f>
        <v/>
      </c>
      <c r="H911" s="324" t="n"/>
      <c r="I911" s="320" t="n"/>
      <c r="J911" s="325">
        <f>IF(COUNTA(A911:F911)=0,"",IF(OR(C911&lt;0,D911&lt;0,E911&lt;0,F911&lt;0),"ERRO: valor negativo",IF(C911&lt;&gt;SUM(D911:F911),"ERRO: categorias diferem dos respondentes",IF(COUNTIFS($A$5:$A$1200,A911,$B$5:$B$1200,B911)&gt;1,"ERRO: período e curso duplicados","OK"))))</f>
        <v/>
      </c>
    </row>
    <row r="912" ht="15" customHeight="1" s="131">
      <c r="A912" s="320" t="n"/>
      <c r="B912" s="323" t="n"/>
      <c r="C912" s="320" t="n"/>
      <c r="D912" s="320" t="n"/>
      <c r="E912" s="320" t="n"/>
      <c r="F912" s="320" t="n"/>
      <c r="G912" s="284">
        <f>IFERROR((D912-F912)/C912*100,"")</f>
        <v/>
      </c>
      <c r="H912" s="324" t="n"/>
      <c r="I912" s="320" t="n"/>
      <c r="J912" s="325">
        <f>IF(COUNTA(A912:F912)=0,"",IF(OR(C912&lt;0,D912&lt;0,E912&lt;0,F912&lt;0),"ERRO: valor negativo",IF(C912&lt;&gt;SUM(D912:F912),"ERRO: categorias diferem dos respondentes",IF(COUNTIFS($A$5:$A$1200,A912,$B$5:$B$1200,B912)&gt;1,"ERRO: período e curso duplicados","OK"))))</f>
        <v/>
      </c>
    </row>
    <row r="913" ht="15" customHeight="1" s="131">
      <c r="A913" s="320" t="n"/>
      <c r="B913" s="323" t="n"/>
      <c r="C913" s="320" t="n"/>
      <c r="D913" s="320" t="n"/>
      <c r="E913" s="320" t="n"/>
      <c r="F913" s="320" t="n"/>
      <c r="G913" s="284">
        <f>IFERROR((D913-F913)/C913*100,"")</f>
        <v/>
      </c>
      <c r="H913" s="324" t="n"/>
      <c r="I913" s="320" t="n"/>
      <c r="J913" s="325">
        <f>IF(COUNTA(A913:F913)=0,"",IF(OR(C913&lt;0,D913&lt;0,E913&lt;0,F913&lt;0),"ERRO: valor negativo",IF(C913&lt;&gt;SUM(D913:F913),"ERRO: categorias diferem dos respondentes",IF(COUNTIFS($A$5:$A$1200,A913,$B$5:$B$1200,B913)&gt;1,"ERRO: período e curso duplicados","OK"))))</f>
        <v/>
      </c>
    </row>
    <row r="914" ht="15" customHeight="1" s="131">
      <c r="A914" s="320" t="n"/>
      <c r="B914" s="323" t="n"/>
      <c r="C914" s="320" t="n"/>
      <c r="D914" s="320" t="n"/>
      <c r="E914" s="320" t="n"/>
      <c r="F914" s="320" t="n"/>
      <c r="G914" s="284">
        <f>IFERROR((D914-F914)/C914*100,"")</f>
        <v/>
      </c>
      <c r="H914" s="324" t="n"/>
      <c r="I914" s="320" t="n"/>
      <c r="J914" s="325">
        <f>IF(COUNTA(A914:F914)=0,"",IF(OR(C914&lt;0,D914&lt;0,E914&lt;0,F914&lt;0),"ERRO: valor negativo",IF(C914&lt;&gt;SUM(D914:F914),"ERRO: categorias diferem dos respondentes",IF(COUNTIFS($A$5:$A$1200,A914,$B$5:$B$1200,B914)&gt;1,"ERRO: período e curso duplicados","OK"))))</f>
        <v/>
      </c>
    </row>
    <row r="915" ht="15" customHeight="1" s="131">
      <c r="A915" s="320" t="n"/>
      <c r="B915" s="323" t="n"/>
      <c r="C915" s="320" t="n"/>
      <c r="D915" s="320" t="n"/>
      <c r="E915" s="320" t="n"/>
      <c r="F915" s="320" t="n"/>
      <c r="G915" s="284">
        <f>IFERROR((D915-F915)/C915*100,"")</f>
        <v/>
      </c>
      <c r="H915" s="324" t="n"/>
      <c r="I915" s="320" t="n"/>
      <c r="J915" s="325">
        <f>IF(COUNTA(A915:F915)=0,"",IF(OR(C915&lt;0,D915&lt;0,E915&lt;0,F915&lt;0),"ERRO: valor negativo",IF(C915&lt;&gt;SUM(D915:F915),"ERRO: categorias diferem dos respondentes",IF(COUNTIFS($A$5:$A$1200,A915,$B$5:$B$1200,B915)&gt;1,"ERRO: período e curso duplicados","OK"))))</f>
        <v/>
      </c>
    </row>
    <row r="916" ht="15" customHeight="1" s="131">
      <c r="A916" s="320" t="n"/>
      <c r="B916" s="323" t="n"/>
      <c r="C916" s="320" t="n"/>
      <c r="D916" s="320" t="n"/>
      <c r="E916" s="320" t="n"/>
      <c r="F916" s="320" t="n"/>
      <c r="G916" s="284">
        <f>IFERROR((D916-F916)/C916*100,"")</f>
        <v/>
      </c>
      <c r="H916" s="324" t="n"/>
      <c r="I916" s="320" t="n"/>
      <c r="J916" s="325">
        <f>IF(COUNTA(A916:F916)=0,"",IF(OR(C916&lt;0,D916&lt;0,E916&lt;0,F916&lt;0),"ERRO: valor negativo",IF(C916&lt;&gt;SUM(D916:F916),"ERRO: categorias diferem dos respondentes",IF(COUNTIFS($A$5:$A$1200,A916,$B$5:$B$1200,B916)&gt;1,"ERRO: período e curso duplicados","OK"))))</f>
        <v/>
      </c>
    </row>
    <row r="917" ht="15" customHeight="1" s="131">
      <c r="A917" s="320" t="n"/>
      <c r="B917" s="323" t="n"/>
      <c r="C917" s="320" t="n"/>
      <c r="D917" s="320" t="n"/>
      <c r="E917" s="320" t="n"/>
      <c r="F917" s="320" t="n"/>
      <c r="G917" s="284">
        <f>IFERROR((D917-F917)/C917*100,"")</f>
        <v/>
      </c>
      <c r="H917" s="324" t="n"/>
      <c r="I917" s="320" t="n"/>
      <c r="J917" s="325">
        <f>IF(COUNTA(A917:F917)=0,"",IF(OR(C917&lt;0,D917&lt;0,E917&lt;0,F917&lt;0),"ERRO: valor negativo",IF(C917&lt;&gt;SUM(D917:F917),"ERRO: categorias diferem dos respondentes",IF(COUNTIFS($A$5:$A$1200,A917,$B$5:$B$1200,B917)&gt;1,"ERRO: período e curso duplicados","OK"))))</f>
        <v/>
      </c>
    </row>
    <row r="918" ht="15" customHeight="1" s="131">
      <c r="A918" s="320" t="n"/>
      <c r="B918" s="323" t="n"/>
      <c r="C918" s="320" t="n"/>
      <c r="D918" s="320" t="n"/>
      <c r="E918" s="320" t="n"/>
      <c r="F918" s="320" t="n"/>
      <c r="G918" s="284">
        <f>IFERROR((D918-F918)/C918*100,"")</f>
        <v/>
      </c>
      <c r="H918" s="324" t="n"/>
      <c r="I918" s="320" t="n"/>
      <c r="J918" s="325">
        <f>IF(COUNTA(A918:F918)=0,"",IF(OR(C918&lt;0,D918&lt;0,E918&lt;0,F918&lt;0),"ERRO: valor negativo",IF(C918&lt;&gt;SUM(D918:F918),"ERRO: categorias diferem dos respondentes",IF(COUNTIFS($A$5:$A$1200,A918,$B$5:$B$1200,B918)&gt;1,"ERRO: período e curso duplicados","OK"))))</f>
        <v/>
      </c>
    </row>
    <row r="919" ht="15" customHeight="1" s="131">
      <c r="A919" s="320" t="n"/>
      <c r="B919" s="323" t="n"/>
      <c r="C919" s="320" t="n"/>
      <c r="D919" s="320" t="n"/>
      <c r="E919" s="320" t="n"/>
      <c r="F919" s="320" t="n"/>
      <c r="G919" s="284">
        <f>IFERROR((D919-F919)/C919*100,"")</f>
        <v/>
      </c>
      <c r="H919" s="324" t="n"/>
      <c r="I919" s="320" t="n"/>
      <c r="J919" s="325">
        <f>IF(COUNTA(A919:F919)=0,"",IF(OR(C919&lt;0,D919&lt;0,E919&lt;0,F919&lt;0),"ERRO: valor negativo",IF(C919&lt;&gt;SUM(D919:F919),"ERRO: categorias diferem dos respondentes",IF(COUNTIFS($A$5:$A$1200,A919,$B$5:$B$1200,B919)&gt;1,"ERRO: período e curso duplicados","OK"))))</f>
        <v/>
      </c>
    </row>
    <row r="920" ht="15" customHeight="1" s="131">
      <c r="A920" s="320" t="n"/>
      <c r="B920" s="323" t="n"/>
      <c r="C920" s="320" t="n"/>
      <c r="D920" s="320" t="n"/>
      <c r="E920" s="320" t="n"/>
      <c r="F920" s="320" t="n"/>
      <c r="G920" s="284">
        <f>IFERROR((D920-F920)/C920*100,"")</f>
        <v/>
      </c>
      <c r="H920" s="324" t="n"/>
      <c r="I920" s="320" t="n"/>
      <c r="J920" s="325">
        <f>IF(COUNTA(A920:F920)=0,"",IF(OR(C920&lt;0,D920&lt;0,E920&lt;0,F920&lt;0),"ERRO: valor negativo",IF(C920&lt;&gt;SUM(D920:F920),"ERRO: categorias diferem dos respondentes",IF(COUNTIFS($A$5:$A$1200,A920,$B$5:$B$1200,B920)&gt;1,"ERRO: período e curso duplicados","OK"))))</f>
        <v/>
      </c>
    </row>
    <row r="921" ht="15" customHeight="1" s="131">
      <c r="A921" s="320" t="n"/>
      <c r="B921" s="323" t="n"/>
      <c r="C921" s="320" t="n"/>
      <c r="D921" s="320" t="n"/>
      <c r="E921" s="320" t="n"/>
      <c r="F921" s="320" t="n"/>
      <c r="G921" s="284">
        <f>IFERROR((D921-F921)/C921*100,"")</f>
        <v/>
      </c>
      <c r="H921" s="324" t="n"/>
      <c r="I921" s="320" t="n"/>
      <c r="J921" s="325">
        <f>IF(COUNTA(A921:F921)=0,"",IF(OR(C921&lt;0,D921&lt;0,E921&lt;0,F921&lt;0),"ERRO: valor negativo",IF(C921&lt;&gt;SUM(D921:F921),"ERRO: categorias diferem dos respondentes",IF(COUNTIFS($A$5:$A$1200,A921,$B$5:$B$1200,B921)&gt;1,"ERRO: período e curso duplicados","OK"))))</f>
        <v/>
      </c>
    </row>
    <row r="922" ht="15" customHeight="1" s="131">
      <c r="A922" s="320" t="n"/>
      <c r="B922" s="323" t="n"/>
      <c r="C922" s="320" t="n"/>
      <c r="D922" s="320" t="n"/>
      <c r="E922" s="320" t="n"/>
      <c r="F922" s="320" t="n"/>
      <c r="G922" s="284">
        <f>IFERROR((D922-F922)/C922*100,"")</f>
        <v/>
      </c>
      <c r="H922" s="324" t="n"/>
      <c r="I922" s="320" t="n"/>
      <c r="J922" s="325">
        <f>IF(COUNTA(A922:F922)=0,"",IF(OR(C922&lt;0,D922&lt;0,E922&lt;0,F922&lt;0),"ERRO: valor negativo",IF(C922&lt;&gt;SUM(D922:F922),"ERRO: categorias diferem dos respondentes",IF(COUNTIFS($A$5:$A$1200,A922,$B$5:$B$1200,B922)&gt;1,"ERRO: período e curso duplicados","OK"))))</f>
        <v/>
      </c>
    </row>
    <row r="923" ht="15" customHeight="1" s="131">
      <c r="A923" s="320" t="n"/>
      <c r="B923" s="323" t="n"/>
      <c r="C923" s="320" t="n"/>
      <c r="D923" s="320" t="n"/>
      <c r="E923" s="320" t="n"/>
      <c r="F923" s="320" t="n"/>
      <c r="G923" s="284">
        <f>IFERROR((D923-F923)/C923*100,"")</f>
        <v/>
      </c>
      <c r="H923" s="324" t="n"/>
      <c r="I923" s="320" t="n"/>
      <c r="J923" s="325">
        <f>IF(COUNTA(A923:F923)=0,"",IF(OR(C923&lt;0,D923&lt;0,E923&lt;0,F923&lt;0),"ERRO: valor negativo",IF(C923&lt;&gt;SUM(D923:F923),"ERRO: categorias diferem dos respondentes",IF(COUNTIFS($A$5:$A$1200,A923,$B$5:$B$1200,B923)&gt;1,"ERRO: período e curso duplicados","OK"))))</f>
        <v/>
      </c>
    </row>
    <row r="924" ht="15" customHeight="1" s="131">
      <c r="A924" s="320" t="n"/>
      <c r="B924" s="323" t="n"/>
      <c r="C924" s="320" t="n"/>
      <c r="D924" s="320" t="n"/>
      <c r="E924" s="320" t="n"/>
      <c r="F924" s="320" t="n"/>
      <c r="G924" s="284">
        <f>IFERROR((D924-F924)/C924*100,"")</f>
        <v/>
      </c>
      <c r="H924" s="324" t="n"/>
      <c r="I924" s="320" t="n"/>
      <c r="J924" s="325">
        <f>IF(COUNTA(A924:F924)=0,"",IF(OR(C924&lt;0,D924&lt;0,E924&lt;0,F924&lt;0),"ERRO: valor negativo",IF(C924&lt;&gt;SUM(D924:F924),"ERRO: categorias diferem dos respondentes",IF(COUNTIFS($A$5:$A$1200,A924,$B$5:$B$1200,B924)&gt;1,"ERRO: período e curso duplicados","OK"))))</f>
        <v/>
      </c>
    </row>
    <row r="925" ht="15" customHeight="1" s="131">
      <c r="A925" s="320" t="n"/>
      <c r="B925" s="323" t="n"/>
      <c r="C925" s="320" t="n"/>
      <c r="D925" s="320" t="n"/>
      <c r="E925" s="320" t="n"/>
      <c r="F925" s="320" t="n"/>
      <c r="G925" s="284">
        <f>IFERROR((D925-F925)/C925*100,"")</f>
        <v/>
      </c>
      <c r="H925" s="324" t="n"/>
      <c r="I925" s="320" t="n"/>
      <c r="J925" s="325">
        <f>IF(COUNTA(A925:F925)=0,"",IF(OR(C925&lt;0,D925&lt;0,E925&lt;0,F925&lt;0),"ERRO: valor negativo",IF(C925&lt;&gt;SUM(D925:F925),"ERRO: categorias diferem dos respondentes",IF(COUNTIFS($A$5:$A$1200,A925,$B$5:$B$1200,B925)&gt;1,"ERRO: período e curso duplicados","OK"))))</f>
        <v/>
      </c>
    </row>
    <row r="926" ht="15" customHeight="1" s="131">
      <c r="A926" s="320" t="n"/>
      <c r="B926" s="323" t="n"/>
      <c r="C926" s="320" t="n"/>
      <c r="D926" s="320" t="n"/>
      <c r="E926" s="320" t="n"/>
      <c r="F926" s="320" t="n"/>
      <c r="G926" s="284">
        <f>IFERROR((D926-F926)/C926*100,"")</f>
        <v/>
      </c>
      <c r="H926" s="324" t="n"/>
      <c r="I926" s="320" t="n"/>
      <c r="J926" s="325">
        <f>IF(COUNTA(A926:F926)=0,"",IF(OR(C926&lt;0,D926&lt;0,E926&lt;0,F926&lt;0),"ERRO: valor negativo",IF(C926&lt;&gt;SUM(D926:F926),"ERRO: categorias diferem dos respondentes",IF(COUNTIFS($A$5:$A$1200,A926,$B$5:$B$1200,B926)&gt;1,"ERRO: período e curso duplicados","OK"))))</f>
        <v/>
      </c>
    </row>
    <row r="927" ht="15" customHeight="1" s="131">
      <c r="A927" s="320" t="n"/>
      <c r="B927" s="323" t="n"/>
      <c r="C927" s="320" t="n"/>
      <c r="D927" s="320" t="n"/>
      <c r="E927" s="320" t="n"/>
      <c r="F927" s="320" t="n"/>
      <c r="G927" s="284">
        <f>IFERROR((D927-F927)/C927*100,"")</f>
        <v/>
      </c>
      <c r="H927" s="324" t="n"/>
      <c r="I927" s="320" t="n"/>
      <c r="J927" s="325">
        <f>IF(COUNTA(A927:F927)=0,"",IF(OR(C927&lt;0,D927&lt;0,E927&lt;0,F927&lt;0),"ERRO: valor negativo",IF(C927&lt;&gt;SUM(D927:F927),"ERRO: categorias diferem dos respondentes",IF(COUNTIFS($A$5:$A$1200,A927,$B$5:$B$1200,B927)&gt;1,"ERRO: período e curso duplicados","OK"))))</f>
        <v/>
      </c>
    </row>
    <row r="928" ht="15" customHeight="1" s="131">
      <c r="A928" s="320" t="n"/>
      <c r="B928" s="323" t="n"/>
      <c r="C928" s="320" t="n"/>
      <c r="D928" s="320" t="n"/>
      <c r="E928" s="320" t="n"/>
      <c r="F928" s="320" t="n"/>
      <c r="G928" s="284">
        <f>IFERROR((D928-F928)/C928*100,"")</f>
        <v/>
      </c>
      <c r="H928" s="324" t="n"/>
      <c r="I928" s="320" t="n"/>
      <c r="J928" s="325">
        <f>IF(COUNTA(A928:F928)=0,"",IF(OR(C928&lt;0,D928&lt;0,E928&lt;0,F928&lt;0),"ERRO: valor negativo",IF(C928&lt;&gt;SUM(D928:F928),"ERRO: categorias diferem dos respondentes",IF(COUNTIFS($A$5:$A$1200,A928,$B$5:$B$1200,B928)&gt;1,"ERRO: período e curso duplicados","OK"))))</f>
        <v/>
      </c>
    </row>
    <row r="929" ht="15" customHeight="1" s="131">
      <c r="A929" s="320" t="n"/>
      <c r="B929" s="323" t="n"/>
      <c r="C929" s="320" t="n"/>
      <c r="D929" s="320" t="n"/>
      <c r="E929" s="320" t="n"/>
      <c r="F929" s="320" t="n"/>
      <c r="G929" s="284">
        <f>IFERROR((D929-F929)/C929*100,"")</f>
        <v/>
      </c>
      <c r="H929" s="324" t="n"/>
      <c r="I929" s="320" t="n"/>
      <c r="J929" s="325">
        <f>IF(COUNTA(A929:F929)=0,"",IF(OR(C929&lt;0,D929&lt;0,E929&lt;0,F929&lt;0),"ERRO: valor negativo",IF(C929&lt;&gt;SUM(D929:F929),"ERRO: categorias diferem dos respondentes",IF(COUNTIFS($A$5:$A$1200,A929,$B$5:$B$1200,B929)&gt;1,"ERRO: período e curso duplicados","OK"))))</f>
        <v/>
      </c>
    </row>
    <row r="930" ht="15" customHeight="1" s="131">
      <c r="A930" s="320" t="n"/>
      <c r="B930" s="323" t="n"/>
      <c r="C930" s="320" t="n"/>
      <c r="D930" s="320" t="n"/>
      <c r="E930" s="320" t="n"/>
      <c r="F930" s="320" t="n"/>
      <c r="G930" s="284">
        <f>IFERROR((D930-F930)/C930*100,"")</f>
        <v/>
      </c>
      <c r="H930" s="324" t="n"/>
      <c r="I930" s="320" t="n"/>
      <c r="J930" s="325">
        <f>IF(COUNTA(A930:F930)=0,"",IF(OR(C930&lt;0,D930&lt;0,E930&lt;0,F930&lt;0),"ERRO: valor negativo",IF(C930&lt;&gt;SUM(D930:F930),"ERRO: categorias diferem dos respondentes",IF(COUNTIFS($A$5:$A$1200,A930,$B$5:$B$1200,B930)&gt;1,"ERRO: período e curso duplicados","OK"))))</f>
        <v/>
      </c>
    </row>
    <row r="931" ht="15" customHeight="1" s="131">
      <c r="A931" s="320" t="n"/>
      <c r="B931" s="323" t="n"/>
      <c r="C931" s="320" t="n"/>
      <c r="D931" s="320" t="n"/>
      <c r="E931" s="320" t="n"/>
      <c r="F931" s="320" t="n"/>
      <c r="G931" s="284">
        <f>IFERROR((D931-F931)/C931*100,"")</f>
        <v/>
      </c>
      <c r="H931" s="324" t="n"/>
      <c r="I931" s="320" t="n"/>
      <c r="J931" s="325">
        <f>IF(COUNTA(A931:F931)=0,"",IF(OR(C931&lt;0,D931&lt;0,E931&lt;0,F931&lt;0),"ERRO: valor negativo",IF(C931&lt;&gt;SUM(D931:F931),"ERRO: categorias diferem dos respondentes",IF(COUNTIFS($A$5:$A$1200,A931,$B$5:$B$1200,B931)&gt;1,"ERRO: período e curso duplicados","OK"))))</f>
        <v/>
      </c>
    </row>
    <row r="932" ht="15" customHeight="1" s="131">
      <c r="A932" s="320" t="n"/>
      <c r="B932" s="323" t="n"/>
      <c r="C932" s="320" t="n"/>
      <c r="D932" s="320" t="n"/>
      <c r="E932" s="320" t="n"/>
      <c r="F932" s="320" t="n"/>
      <c r="G932" s="284">
        <f>IFERROR((D932-F932)/C932*100,"")</f>
        <v/>
      </c>
      <c r="H932" s="324" t="n"/>
      <c r="I932" s="320" t="n"/>
      <c r="J932" s="325">
        <f>IF(COUNTA(A932:F932)=0,"",IF(OR(C932&lt;0,D932&lt;0,E932&lt;0,F932&lt;0),"ERRO: valor negativo",IF(C932&lt;&gt;SUM(D932:F932),"ERRO: categorias diferem dos respondentes",IF(COUNTIFS($A$5:$A$1200,A932,$B$5:$B$1200,B932)&gt;1,"ERRO: período e curso duplicados","OK"))))</f>
        <v/>
      </c>
    </row>
    <row r="933" ht="15" customHeight="1" s="131">
      <c r="A933" s="320" t="n"/>
      <c r="B933" s="323" t="n"/>
      <c r="C933" s="320" t="n"/>
      <c r="D933" s="320" t="n"/>
      <c r="E933" s="320" t="n"/>
      <c r="F933" s="320" t="n"/>
      <c r="G933" s="284">
        <f>IFERROR((D933-F933)/C933*100,"")</f>
        <v/>
      </c>
      <c r="H933" s="324" t="n"/>
      <c r="I933" s="320" t="n"/>
      <c r="J933" s="325">
        <f>IF(COUNTA(A933:F933)=0,"",IF(OR(C933&lt;0,D933&lt;0,E933&lt;0,F933&lt;0),"ERRO: valor negativo",IF(C933&lt;&gt;SUM(D933:F933),"ERRO: categorias diferem dos respondentes",IF(COUNTIFS($A$5:$A$1200,A933,$B$5:$B$1200,B933)&gt;1,"ERRO: período e curso duplicados","OK"))))</f>
        <v/>
      </c>
    </row>
    <row r="934" ht="15" customHeight="1" s="131">
      <c r="A934" s="320" t="n"/>
      <c r="B934" s="323" t="n"/>
      <c r="C934" s="320" t="n"/>
      <c r="D934" s="320" t="n"/>
      <c r="E934" s="320" t="n"/>
      <c r="F934" s="320" t="n"/>
      <c r="G934" s="284">
        <f>IFERROR((D934-F934)/C934*100,"")</f>
        <v/>
      </c>
      <c r="H934" s="324" t="n"/>
      <c r="I934" s="320" t="n"/>
      <c r="J934" s="325">
        <f>IF(COUNTA(A934:F934)=0,"",IF(OR(C934&lt;0,D934&lt;0,E934&lt;0,F934&lt;0),"ERRO: valor negativo",IF(C934&lt;&gt;SUM(D934:F934),"ERRO: categorias diferem dos respondentes",IF(COUNTIFS($A$5:$A$1200,A934,$B$5:$B$1200,B934)&gt;1,"ERRO: período e curso duplicados","OK"))))</f>
        <v/>
      </c>
    </row>
    <row r="935" ht="15" customHeight="1" s="131">
      <c r="A935" s="320" t="n"/>
      <c r="B935" s="323" t="n"/>
      <c r="C935" s="320" t="n"/>
      <c r="D935" s="320" t="n"/>
      <c r="E935" s="320" t="n"/>
      <c r="F935" s="320" t="n"/>
      <c r="G935" s="284">
        <f>IFERROR((D935-F935)/C935*100,"")</f>
        <v/>
      </c>
      <c r="H935" s="324" t="n"/>
      <c r="I935" s="320" t="n"/>
      <c r="J935" s="325">
        <f>IF(COUNTA(A935:F935)=0,"",IF(OR(C935&lt;0,D935&lt;0,E935&lt;0,F935&lt;0),"ERRO: valor negativo",IF(C935&lt;&gt;SUM(D935:F935),"ERRO: categorias diferem dos respondentes",IF(COUNTIFS($A$5:$A$1200,A935,$B$5:$B$1200,B935)&gt;1,"ERRO: período e curso duplicados","OK"))))</f>
        <v/>
      </c>
    </row>
    <row r="936" ht="15" customHeight="1" s="131">
      <c r="A936" s="320" t="n"/>
      <c r="B936" s="323" t="n"/>
      <c r="C936" s="320" t="n"/>
      <c r="D936" s="320" t="n"/>
      <c r="E936" s="320" t="n"/>
      <c r="F936" s="320" t="n"/>
      <c r="G936" s="284">
        <f>IFERROR((D936-F936)/C936*100,"")</f>
        <v/>
      </c>
      <c r="H936" s="324" t="n"/>
      <c r="I936" s="320" t="n"/>
      <c r="J936" s="325">
        <f>IF(COUNTA(A936:F936)=0,"",IF(OR(C936&lt;0,D936&lt;0,E936&lt;0,F936&lt;0),"ERRO: valor negativo",IF(C936&lt;&gt;SUM(D936:F936),"ERRO: categorias diferem dos respondentes",IF(COUNTIFS($A$5:$A$1200,A936,$B$5:$B$1200,B936)&gt;1,"ERRO: período e curso duplicados","OK"))))</f>
        <v/>
      </c>
    </row>
    <row r="937" ht="15" customHeight="1" s="131">
      <c r="A937" s="320" t="n"/>
      <c r="B937" s="323" t="n"/>
      <c r="C937" s="320" t="n"/>
      <c r="D937" s="320" t="n"/>
      <c r="E937" s="320" t="n"/>
      <c r="F937" s="320" t="n"/>
      <c r="G937" s="284">
        <f>IFERROR((D937-F937)/C937*100,"")</f>
        <v/>
      </c>
      <c r="H937" s="324" t="n"/>
      <c r="I937" s="320" t="n"/>
      <c r="J937" s="325">
        <f>IF(COUNTA(A937:F937)=0,"",IF(OR(C937&lt;0,D937&lt;0,E937&lt;0,F937&lt;0),"ERRO: valor negativo",IF(C937&lt;&gt;SUM(D937:F937),"ERRO: categorias diferem dos respondentes",IF(COUNTIFS($A$5:$A$1200,A937,$B$5:$B$1200,B937)&gt;1,"ERRO: período e curso duplicados","OK"))))</f>
        <v/>
      </c>
    </row>
    <row r="938" ht="15" customHeight="1" s="131">
      <c r="A938" s="320" t="n"/>
      <c r="B938" s="323" t="n"/>
      <c r="C938" s="320" t="n"/>
      <c r="D938" s="320" t="n"/>
      <c r="E938" s="320" t="n"/>
      <c r="F938" s="320" t="n"/>
      <c r="G938" s="284">
        <f>IFERROR((D938-F938)/C938*100,"")</f>
        <v/>
      </c>
      <c r="H938" s="324" t="n"/>
      <c r="I938" s="320" t="n"/>
      <c r="J938" s="325">
        <f>IF(COUNTA(A938:F938)=0,"",IF(OR(C938&lt;0,D938&lt;0,E938&lt;0,F938&lt;0),"ERRO: valor negativo",IF(C938&lt;&gt;SUM(D938:F938),"ERRO: categorias diferem dos respondentes",IF(COUNTIFS($A$5:$A$1200,A938,$B$5:$B$1200,B938)&gt;1,"ERRO: período e curso duplicados","OK"))))</f>
        <v/>
      </c>
    </row>
    <row r="939" ht="15" customHeight="1" s="131">
      <c r="A939" s="320" t="n"/>
      <c r="B939" s="323" t="n"/>
      <c r="C939" s="320" t="n"/>
      <c r="D939" s="320" t="n"/>
      <c r="E939" s="320" t="n"/>
      <c r="F939" s="320" t="n"/>
      <c r="G939" s="284">
        <f>IFERROR((D939-F939)/C939*100,"")</f>
        <v/>
      </c>
      <c r="H939" s="324" t="n"/>
      <c r="I939" s="320" t="n"/>
      <c r="J939" s="325">
        <f>IF(COUNTA(A939:F939)=0,"",IF(OR(C939&lt;0,D939&lt;0,E939&lt;0,F939&lt;0),"ERRO: valor negativo",IF(C939&lt;&gt;SUM(D939:F939),"ERRO: categorias diferem dos respondentes",IF(COUNTIFS($A$5:$A$1200,A939,$B$5:$B$1200,B939)&gt;1,"ERRO: período e curso duplicados","OK"))))</f>
        <v/>
      </c>
    </row>
    <row r="940" ht="15" customHeight="1" s="131">
      <c r="A940" s="320" t="n"/>
      <c r="B940" s="323" t="n"/>
      <c r="C940" s="320" t="n"/>
      <c r="D940" s="320" t="n"/>
      <c r="E940" s="320" t="n"/>
      <c r="F940" s="320" t="n"/>
      <c r="G940" s="284">
        <f>IFERROR((D940-F940)/C940*100,"")</f>
        <v/>
      </c>
      <c r="H940" s="324" t="n"/>
      <c r="I940" s="320" t="n"/>
      <c r="J940" s="325">
        <f>IF(COUNTA(A940:F940)=0,"",IF(OR(C940&lt;0,D940&lt;0,E940&lt;0,F940&lt;0),"ERRO: valor negativo",IF(C940&lt;&gt;SUM(D940:F940),"ERRO: categorias diferem dos respondentes",IF(COUNTIFS($A$5:$A$1200,A940,$B$5:$B$1200,B940)&gt;1,"ERRO: período e curso duplicados","OK"))))</f>
        <v/>
      </c>
    </row>
    <row r="941" ht="15" customHeight="1" s="131">
      <c r="A941" s="320" t="n"/>
      <c r="B941" s="323" t="n"/>
      <c r="C941" s="320" t="n"/>
      <c r="D941" s="320" t="n"/>
      <c r="E941" s="320" t="n"/>
      <c r="F941" s="320" t="n"/>
      <c r="G941" s="284">
        <f>IFERROR((D941-F941)/C941*100,"")</f>
        <v/>
      </c>
      <c r="H941" s="324" t="n"/>
      <c r="I941" s="320" t="n"/>
      <c r="J941" s="325">
        <f>IF(COUNTA(A941:F941)=0,"",IF(OR(C941&lt;0,D941&lt;0,E941&lt;0,F941&lt;0),"ERRO: valor negativo",IF(C941&lt;&gt;SUM(D941:F941),"ERRO: categorias diferem dos respondentes",IF(COUNTIFS($A$5:$A$1200,A941,$B$5:$B$1200,B941)&gt;1,"ERRO: período e curso duplicados","OK"))))</f>
        <v/>
      </c>
    </row>
    <row r="942" ht="15" customHeight="1" s="131">
      <c r="A942" s="320" t="n"/>
      <c r="B942" s="323" t="n"/>
      <c r="C942" s="320" t="n"/>
      <c r="D942" s="320" t="n"/>
      <c r="E942" s="320" t="n"/>
      <c r="F942" s="320" t="n"/>
      <c r="G942" s="284">
        <f>IFERROR((D942-F942)/C942*100,"")</f>
        <v/>
      </c>
      <c r="H942" s="324" t="n"/>
      <c r="I942" s="320" t="n"/>
      <c r="J942" s="325">
        <f>IF(COUNTA(A942:F942)=0,"",IF(OR(C942&lt;0,D942&lt;0,E942&lt;0,F942&lt;0),"ERRO: valor negativo",IF(C942&lt;&gt;SUM(D942:F942),"ERRO: categorias diferem dos respondentes",IF(COUNTIFS($A$5:$A$1200,A942,$B$5:$B$1200,B942)&gt;1,"ERRO: período e curso duplicados","OK"))))</f>
        <v/>
      </c>
    </row>
    <row r="943" ht="15" customHeight="1" s="131">
      <c r="A943" s="320" t="n"/>
      <c r="B943" s="323" t="n"/>
      <c r="C943" s="320" t="n"/>
      <c r="D943" s="320" t="n"/>
      <c r="E943" s="320" t="n"/>
      <c r="F943" s="320" t="n"/>
      <c r="G943" s="284">
        <f>IFERROR((D943-F943)/C943*100,"")</f>
        <v/>
      </c>
      <c r="H943" s="324" t="n"/>
      <c r="I943" s="320" t="n"/>
      <c r="J943" s="325">
        <f>IF(COUNTA(A943:F943)=0,"",IF(OR(C943&lt;0,D943&lt;0,E943&lt;0,F943&lt;0),"ERRO: valor negativo",IF(C943&lt;&gt;SUM(D943:F943),"ERRO: categorias diferem dos respondentes",IF(COUNTIFS($A$5:$A$1200,A943,$B$5:$B$1200,B943)&gt;1,"ERRO: período e curso duplicados","OK"))))</f>
        <v/>
      </c>
    </row>
    <row r="944" ht="15" customHeight="1" s="131">
      <c r="A944" s="320" t="n"/>
      <c r="B944" s="323" t="n"/>
      <c r="C944" s="320" t="n"/>
      <c r="D944" s="320" t="n"/>
      <c r="E944" s="320" t="n"/>
      <c r="F944" s="320" t="n"/>
      <c r="G944" s="284">
        <f>IFERROR((D944-F944)/C944*100,"")</f>
        <v/>
      </c>
      <c r="H944" s="324" t="n"/>
      <c r="I944" s="320" t="n"/>
      <c r="J944" s="325">
        <f>IF(COUNTA(A944:F944)=0,"",IF(OR(C944&lt;0,D944&lt;0,E944&lt;0,F944&lt;0),"ERRO: valor negativo",IF(C944&lt;&gt;SUM(D944:F944),"ERRO: categorias diferem dos respondentes",IF(COUNTIFS($A$5:$A$1200,A944,$B$5:$B$1200,B944)&gt;1,"ERRO: período e curso duplicados","OK"))))</f>
        <v/>
      </c>
    </row>
    <row r="945" ht="15" customHeight="1" s="131">
      <c r="A945" s="320" t="n"/>
      <c r="B945" s="323" t="n"/>
      <c r="C945" s="320" t="n"/>
      <c r="D945" s="320" t="n"/>
      <c r="E945" s="320" t="n"/>
      <c r="F945" s="320" t="n"/>
      <c r="G945" s="284">
        <f>IFERROR((D945-F945)/C945*100,"")</f>
        <v/>
      </c>
      <c r="H945" s="324" t="n"/>
      <c r="I945" s="320" t="n"/>
      <c r="J945" s="325">
        <f>IF(COUNTA(A945:F945)=0,"",IF(OR(C945&lt;0,D945&lt;0,E945&lt;0,F945&lt;0),"ERRO: valor negativo",IF(C945&lt;&gt;SUM(D945:F945),"ERRO: categorias diferem dos respondentes",IF(COUNTIFS($A$5:$A$1200,A945,$B$5:$B$1200,B945)&gt;1,"ERRO: período e curso duplicados","OK"))))</f>
        <v/>
      </c>
    </row>
    <row r="946" ht="15" customHeight="1" s="131">
      <c r="A946" s="320" t="n"/>
      <c r="B946" s="323" t="n"/>
      <c r="C946" s="320" t="n"/>
      <c r="D946" s="320" t="n"/>
      <c r="E946" s="320" t="n"/>
      <c r="F946" s="320" t="n"/>
      <c r="G946" s="284">
        <f>IFERROR((D946-F946)/C946*100,"")</f>
        <v/>
      </c>
      <c r="H946" s="324" t="n"/>
      <c r="I946" s="320" t="n"/>
      <c r="J946" s="325">
        <f>IF(COUNTA(A946:F946)=0,"",IF(OR(C946&lt;0,D946&lt;0,E946&lt;0,F946&lt;0),"ERRO: valor negativo",IF(C946&lt;&gt;SUM(D946:F946),"ERRO: categorias diferem dos respondentes",IF(COUNTIFS($A$5:$A$1200,A946,$B$5:$B$1200,B946)&gt;1,"ERRO: período e curso duplicados","OK"))))</f>
        <v/>
      </c>
    </row>
    <row r="947" ht="15" customHeight="1" s="131">
      <c r="A947" s="320" t="n"/>
      <c r="B947" s="323" t="n"/>
      <c r="C947" s="320" t="n"/>
      <c r="D947" s="320" t="n"/>
      <c r="E947" s="320" t="n"/>
      <c r="F947" s="320" t="n"/>
      <c r="G947" s="284">
        <f>IFERROR((D947-F947)/C947*100,"")</f>
        <v/>
      </c>
      <c r="H947" s="324" t="n"/>
      <c r="I947" s="320" t="n"/>
      <c r="J947" s="325">
        <f>IF(COUNTA(A947:F947)=0,"",IF(OR(C947&lt;0,D947&lt;0,E947&lt;0,F947&lt;0),"ERRO: valor negativo",IF(C947&lt;&gt;SUM(D947:F947),"ERRO: categorias diferem dos respondentes",IF(COUNTIFS($A$5:$A$1200,A947,$B$5:$B$1200,B947)&gt;1,"ERRO: período e curso duplicados","OK"))))</f>
        <v/>
      </c>
    </row>
    <row r="948" ht="15" customHeight="1" s="131">
      <c r="A948" s="320" t="n"/>
      <c r="B948" s="323" t="n"/>
      <c r="C948" s="320" t="n"/>
      <c r="D948" s="320" t="n"/>
      <c r="E948" s="320" t="n"/>
      <c r="F948" s="320" t="n"/>
      <c r="G948" s="284">
        <f>IFERROR((D948-F948)/C948*100,"")</f>
        <v/>
      </c>
      <c r="H948" s="324" t="n"/>
      <c r="I948" s="320" t="n"/>
      <c r="J948" s="325">
        <f>IF(COUNTA(A948:F948)=0,"",IF(OR(C948&lt;0,D948&lt;0,E948&lt;0,F948&lt;0),"ERRO: valor negativo",IF(C948&lt;&gt;SUM(D948:F948),"ERRO: categorias diferem dos respondentes",IF(COUNTIFS($A$5:$A$1200,A948,$B$5:$B$1200,B948)&gt;1,"ERRO: período e curso duplicados","OK"))))</f>
        <v/>
      </c>
    </row>
    <row r="949" ht="15" customHeight="1" s="131">
      <c r="A949" s="320" t="n"/>
      <c r="B949" s="323" t="n"/>
      <c r="C949" s="320" t="n"/>
      <c r="D949" s="320" t="n"/>
      <c r="E949" s="320" t="n"/>
      <c r="F949" s="320" t="n"/>
      <c r="G949" s="284">
        <f>IFERROR((D949-F949)/C949*100,"")</f>
        <v/>
      </c>
      <c r="H949" s="324" t="n"/>
      <c r="I949" s="320" t="n"/>
      <c r="J949" s="325">
        <f>IF(COUNTA(A949:F949)=0,"",IF(OR(C949&lt;0,D949&lt;0,E949&lt;0,F949&lt;0),"ERRO: valor negativo",IF(C949&lt;&gt;SUM(D949:F949),"ERRO: categorias diferem dos respondentes",IF(COUNTIFS($A$5:$A$1200,A949,$B$5:$B$1200,B949)&gt;1,"ERRO: período e curso duplicados","OK"))))</f>
        <v/>
      </c>
    </row>
    <row r="950" ht="15" customHeight="1" s="131">
      <c r="A950" s="320" t="n"/>
      <c r="B950" s="323" t="n"/>
      <c r="C950" s="320" t="n"/>
      <c r="D950" s="320" t="n"/>
      <c r="E950" s="320" t="n"/>
      <c r="F950" s="320" t="n"/>
      <c r="G950" s="284">
        <f>IFERROR((D950-F950)/C950*100,"")</f>
        <v/>
      </c>
      <c r="H950" s="324" t="n"/>
      <c r="I950" s="320" t="n"/>
      <c r="J950" s="325">
        <f>IF(COUNTA(A950:F950)=0,"",IF(OR(C950&lt;0,D950&lt;0,E950&lt;0,F950&lt;0),"ERRO: valor negativo",IF(C950&lt;&gt;SUM(D950:F950),"ERRO: categorias diferem dos respondentes",IF(COUNTIFS($A$5:$A$1200,A950,$B$5:$B$1200,B950)&gt;1,"ERRO: período e curso duplicados","OK"))))</f>
        <v/>
      </c>
    </row>
    <row r="951" ht="15" customHeight="1" s="131">
      <c r="A951" s="320" t="n"/>
      <c r="B951" s="323" t="n"/>
      <c r="C951" s="320" t="n"/>
      <c r="D951" s="320" t="n"/>
      <c r="E951" s="320" t="n"/>
      <c r="F951" s="320" t="n"/>
      <c r="G951" s="284">
        <f>IFERROR((D951-F951)/C951*100,"")</f>
        <v/>
      </c>
      <c r="H951" s="324" t="n"/>
      <c r="I951" s="320" t="n"/>
      <c r="J951" s="325">
        <f>IF(COUNTA(A951:F951)=0,"",IF(OR(C951&lt;0,D951&lt;0,E951&lt;0,F951&lt;0),"ERRO: valor negativo",IF(C951&lt;&gt;SUM(D951:F951),"ERRO: categorias diferem dos respondentes",IF(COUNTIFS($A$5:$A$1200,A951,$B$5:$B$1200,B951)&gt;1,"ERRO: período e curso duplicados","OK"))))</f>
        <v/>
      </c>
    </row>
    <row r="952" ht="15" customHeight="1" s="131">
      <c r="A952" s="320" t="n"/>
      <c r="B952" s="323" t="n"/>
      <c r="C952" s="320" t="n"/>
      <c r="D952" s="320" t="n"/>
      <c r="E952" s="320" t="n"/>
      <c r="F952" s="320" t="n"/>
      <c r="G952" s="284">
        <f>IFERROR((D952-F952)/C952*100,"")</f>
        <v/>
      </c>
      <c r="H952" s="324" t="n"/>
      <c r="I952" s="320" t="n"/>
      <c r="J952" s="325">
        <f>IF(COUNTA(A952:F952)=0,"",IF(OR(C952&lt;0,D952&lt;0,E952&lt;0,F952&lt;0),"ERRO: valor negativo",IF(C952&lt;&gt;SUM(D952:F952),"ERRO: categorias diferem dos respondentes",IF(COUNTIFS($A$5:$A$1200,A952,$B$5:$B$1200,B952)&gt;1,"ERRO: período e curso duplicados","OK"))))</f>
        <v/>
      </c>
    </row>
    <row r="953" ht="15" customHeight="1" s="131">
      <c r="A953" s="320" t="n"/>
      <c r="B953" s="323" t="n"/>
      <c r="C953" s="320" t="n"/>
      <c r="D953" s="320" t="n"/>
      <c r="E953" s="320" t="n"/>
      <c r="F953" s="320" t="n"/>
      <c r="G953" s="284">
        <f>IFERROR((D953-F953)/C953*100,"")</f>
        <v/>
      </c>
      <c r="H953" s="324" t="n"/>
      <c r="I953" s="320" t="n"/>
      <c r="J953" s="325">
        <f>IF(COUNTA(A953:F953)=0,"",IF(OR(C953&lt;0,D953&lt;0,E953&lt;0,F953&lt;0),"ERRO: valor negativo",IF(C953&lt;&gt;SUM(D953:F953),"ERRO: categorias diferem dos respondentes",IF(COUNTIFS($A$5:$A$1200,A953,$B$5:$B$1200,B953)&gt;1,"ERRO: período e curso duplicados","OK"))))</f>
        <v/>
      </c>
    </row>
    <row r="954" ht="15" customHeight="1" s="131">
      <c r="A954" s="320" t="n"/>
      <c r="B954" s="323" t="n"/>
      <c r="C954" s="320" t="n"/>
      <c r="D954" s="320" t="n"/>
      <c r="E954" s="320" t="n"/>
      <c r="F954" s="320" t="n"/>
      <c r="G954" s="284">
        <f>IFERROR((D954-F954)/C954*100,"")</f>
        <v/>
      </c>
      <c r="H954" s="324" t="n"/>
      <c r="I954" s="320" t="n"/>
      <c r="J954" s="325">
        <f>IF(COUNTA(A954:F954)=0,"",IF(OR(C954&lt;0,D954&lt;0,E954&lt;0,F954&lt;0),"ERRO: valor negativo",IF(C954&lt;&gt;SUM(D954:F954),"ERRO: categorias diferem dos respondentes",IF(COUNTIFS($A$5:$A$1200,A954,$B$5:$B$1200,B954)&gt;1,"ERRO: período e curso duplicados","OK"))))</f>
        <v/>
      </c>
    </row>
    <row r="955" ht="15" customHeight="1" s="131">
      <c r="A955" s="320" t="n"/>
      <c r="B955" s="323" t="n"/>
      <c r="C955" s="320" t="n"/>
      <c r="D955" s="320" t="n"/>
      <c r="E955" s="320" t="n"/>
      <c r="F955" s="320" t="n"/>
      <c r="G955" s="284">
        <f>IFERROR((D955-F955)/C955*100,"")</f>
        <v/>
      </c>
      <c r="H955" s="324" t="n"/>
      <c r="I955" s="320" t="n"/>
      <c r="J955" s="325">
        <f>IF(COUNTA(A955:F955)=0,"",IF(OR(C955&lt;0,D955&lt;0,E955&lt;0,F955&lt;0),"ERRO: valor negativo",IF(C955&lt;&gt;SUM(D955:F955),"ERRO: categorias diferem dos respondentes",IF(COUNTIFS($A$5:$A$1200,A955,$B$5:$B$1200,B955)&gt;1,"ERRO: período e curso duplicados","OK"))))</f>
        <v/>
      </c>
    </row>
    <row r="956" ht="15" customHeight="1" s="131">
      <c r="A956" s="320" t="n"/>
      <c r="B956" s="323" t="n"/>
      <c r="C956" s="320" t="n"/>
      <c r="D956" s="320" t="n"/>
      <c r="E956" s="320" t="n"/>
      <c r="F956" s="320" t="n"/>
      <c r="G956" s="284">
        <f>IFERROR((D956-F956)/C956*100,"")</f>
        <v/>
      </c>
      <c r="H956" s="324" t="n"/>
      <c r="I956" s="320" t="n"/>
      <c r="J956" s="325">
        <f>IF(COUNTA(A956:F956)=0,"",IF(OR(C956&lt;0,D956&lt;0,E956&lt;0,F956&lt;0),"ERRO: valor negativo",IF(C956&lt;&gt;SUM(D956:F956),"ERRO: categorias diferem dos respondentes",IF(COUNTIFS($A$5:$A$1200,A956,$B$5:$B$1200,B956)&gt;1,"ERRO: período e curso duplicados","OK"))))</f>
        <v/>
      </c>
    </row>
    <row r="957" ht="15" customHeight="1" s="131">
      <c r="A957" s="320" t="n"/>
      <c r="B957" s="323" t="n"/>
      <c r="C957" s="320" t="n"/>
      <c r="D957" s="320" t="n"/>
      <c r="E957" s="320" t="n"/>
      <c r="F957" s="320" t="n"/>
      <c r="G957" s="284">
        <f>IFERROR((D957-F957)/C957*100,"")</f>
        <v/>
      </c>
      <c r="H957" s="324" t="n"/>
      <c r="I957" s="320" t="n"/>
      <c r="J957" s="325">
        <f>IF(COUNTA(A957:F957)=0,"",IF(OR(C957&lt;0,D957&lt;0,E957&lt;0,F957&lt;0),"ERRO: valor negativo",IF(C957&lt;&gt;SUM(D957:F957),"ERRO: categorias diferem dos respondentes",IF(COUNTIFS($A$5:$A$1200,A957,$B$5:$B$1200,B957)&gt;1,"ERRO: período e curso duplicados","OK"))))</f>
        <v/>
      </c>
    </row>
    <row r="958" ht="15" customHeight="1" s="131">
      <c r="A958" s="320" t="n"/>
      <c r="B958" s="323" t="n"/>
      <c r="C958" s="320" t="n"/>
      <c r="D958" s="320" t="n"/>
      <c r="E958" s="320" t="n"/>
      <c r="F958" s="320" t="n"/>
      <c r="G958" s="284">
        <f>IFERROR((D958-F958)/C958*100,"")</f>
        <v/>
      </c>
      <c r="H958" s="324" t="n"/>
      <c r="I958" s="320" t="n"/>
      <c r="J958" s="325">
        <f>IF(COUNTA(A958:F958)=0,"",IF(OR(C958&lt;0,D958&lt;0,E958&lt;0,F958&lt;0),"ERRO: valor negativo",IF(C958&lt;&gt;SUM(D958:F958),"ERRO: categorias diferem dos respondentes",IF(COUNTIFS($A$5:$A$1200,A958,$B$5:$B$1200,B958)&gt;1,"ERRO: período e curso duplicados","OK"))))</f>
        <v/>
      </c>
    </row>
    <row r="959" ht="15" customHeight="1" s="131">
      <c r="A959" s="320" t="n"/>
      <c r="B959" s="323" t="n"/>
      <c r="C959" s="320" t="n"/>
      <c r="D959" s="320" t="n"/>
      <c r="E959" s="320" t="n"/>
      <c r="F959" s="320" t="n"/>
      <c r="G959" s="284">
        <f>IFERROR((D959-F959)/C959*100,"")</f>
        <v/>
      </c>
      <c r="H959" s="324" t="n"/>
      <c r="I959" s="320" t="n"/>
      <c r="J959" s="325">
        <f>IF(COUNTA(A959:F959)=0,"",IF(OR(C959&lt;0,D959&lt;0,E959&lt;0,F959&lt;0),"ERRO: valor negativo",IF(C959&lt;&gt;SUM(D959:F959),"ERRO: categorias diferem dos respondentes",IF(COUNTIFS($A$5:$A$1200,A959,$B$5:$B$1200,B959)&gt;1,"ERRO: período e curso duplicados","OK"))))</f>
        <v/>
      </c>
    </row>
    <row r="960" ht="15" customHeight="1" s="131">
      <c r="A960" s="320" t="n"/>
      <c r="B960" s="323" t="n"/>
      <c r="C960" s="320" t="n"/>
      <c r="D960" s="320" t="n"/>
      <c r="E960" s="320" t="n"/>
      <c r="F960" s="320" t="n"/>
      <c r="G960" s="284">
        <f>IFERROR((D960-F960)/C960*100,"")</f>
        <v/>
      </c>
      <c r="H960" s="324" t="n"/>
      <c r="I960" s="320" t="n"/>
      <c r="J960" s="325">
        <f>IF(COUNTA(A960:F960)=0,"",IF(OR(C960&lt;0,D960&lt;0,E960&lt;0,F960&lt;0),"ERRO: valor negativo",IF(C960&lt;&gt;SUM(D960:F960),"ERRO: categorias diferem dos respondentes",IF(COUNTIFS($A$5:$A$1200,A960,$B$5:$B$1200,B960)&gt;1,"ERRO: período e curso duplicados","OK"))))</f>
        <v/>
      </c>
    </row>
    <row r="961" ht="15" customHeight="1" s="131">
      <c r="A961" s="320" t="n"/>
      <c r="B961" s="323" t="n"/>
      <c r="C961" s="320" t="n"/>
      <c r="D961" s="320" t="n"/>
      <c r="E961" s="320" t="n"/>
      <c r="F961" s="320" t="n"/>
      <c r="G961" s="284">
        <f>IFERROR((D961-F961)/C961*100,"")</f>
        <v/>
      </c>
      <c r="H961" s="324" t="n"/>
      <c r="I961" s="320" t="n"/>
      <c r="J961" s="325">
        <f>IF(COUNTA(A961:F961)=0,"",IF(OR(C961&lt;0,D961&lt;0,E961&lt;0,F961&lt;0),"ERRO: valor negativo",IF(C961&lt;&gt;SUM(D961:F961),"ERRO: categorias diferem dos respondentes",IF(COUNTIFS($A$5:$A$1200,A961,$B$5:$B$1200,B961)&gt;1,"ERRO: período e curso duplicados","OK"))))</f>
        <v/>
      </c>
    </row>
    <row r="962" ht="15" customHeight="1" s="131">
      <c r="A962" s="320" t="n"/>
      <c r="B962" s="323" t="n"/>
      <c r="C962" s="320" t="n"/>
      <c r="D962" s="320" t="n"/>
      <c r="E962" s="320" t="n"/>
      <c r="F962" s="320" t="n"/>
      <c r="G962" s="284">
        <f>IFERROR((D962-F962)/C962*100,"")</f>
        <v/>
      </c>
      <c r="H962" s="324" t="n"/>
      <c r="I962" s="320" t="n"/>
      <c r="J962" s="325">
        <f>IF(COUNTA(A962:F962)=0,"",IF(OR(C962&lt;0,D962&lt;0,E962&lt;0,F962&lt;0),"ERRO: valor negativo",IF(C962&lt;&gt;SUM(D962:F962),"ERRO: categorias diferem dos respondentes",IF(COUNTIFS($A$5:$A$1200,A962,$B$5:$B$1200,B962)&gt;1,"ERRO: período e curso duplicados","OK"))))</f>
        <v/>
      </c>
    </row>
    <row r="963" ht="15" customHeight="1" s="131">
      <c r="A963" s="320" t="n"/>
      <c r="B963" s="323" t="n"/>
      <c r="C963" s="320" t="n"/>
      <c r="D963" s="320" t="n"/>
      <c r="E963" s="320" t="n"/>
      <c r="F963" s="320" t="n"/>
      <c r="G963" s="284">
        <f>IFERROR((D963-F963)/C963*100,"")</f>
        <v/>
      </c>
      <c r="H963" s="324" t="n"/>
      <c r="I963" s="320" t="n"/>
      <c r="J963" s="325">
        <f>IF(COUNTA(A963:F963)=0,"",IF(OR(C963&lt;0,D963&lt;0,E963&lt;0,F963&lt;0),"ERRO: valor negativo",IF(C963&lt;&gt;SUM(D963:F963),"ERRO: categorias diferem dos respondentes",IF(COUNTIFS($A$5:$A$1200,A963,$B$5:$B$1200,B963)&gt;1,"ERRO: período e curso duplicados","OK"))))</f>
        <v/>
      </c>
    </row>
    <row r="964" ht="15" customHeight="1" s="131">
      <c r="A964" s="320" t="n"/>
      <c r="B964" s="323" t="n"/>
      <c r="C964" s="320" t="n"/>
      <c r="D964" s="320" t="n"/>
      <c r="E964" s="320" t="n"/>
      <c r="F964" s="320" t="n"/>
      <c r="G964" s="284">
        <f>IFERROR((D964-F964)/C964*100,"")</f>
        <v/>
      </c>
      <c r="H964" s="324" t="n"/>
      <c r="I964" s="320" t="n"/>
      <c r="J964" s="325">
        <f>IF(COUNTA(A964:F964)=0,"",IF(OR(C964&lt;0,D964&lt;0,E964&lt;0,F964&lt;0),"ERRO: valor negativo",IF(C964&lt;&gt;SUM(D964:F964),"ERRO: categorias diferem dos respondentes",IF(COUNTIFS($A$5:$A$1200,A964,$B$5:$B$1200,B964)&gt;1,"ERRO: período e curso duplicados","OK"))))</f>
        <v/>
      </c>
    </row>
    <row r="965" ht="15" customHeight="1" s="131">
      <c r="A965" s="320" t="n"/>
      <c r="B965" s="323" t="n"/>
      <c r="C965" s="320" t="n"/>
      <c r="D965" s="320" t="n"/>
      <c r="E965" s="320" t="n"/>
      <c r="F965" s="320" t="n"/>
      <c r="G965" s="284">
        <f>IFERROR((D965-F965)/C965*100,"")</f>
        <v/>
      </c>
      <c r="H965" s="324" t="n"/>
      <c r="I965" s="320" t="n"/>
      <c r="J965" s="325">
        <f>IF(COUNTA(A965:F965)=0,"",IF(OR(C965&lt;0,D965&lt;0,E965&lt;0,F965&lt;0),"ERRO: valor negativo",IF(C965&lt;&gt;SUM(D965:F965),"ERRO: categorias diferem dos respondentes",IF(COUNTIFS($A$5:$A$1200,A965,$B$5:$B$1200,B965)&gt;1,"ERRO: período e curso duplicados","OK"))))</f>
        <v/>
      </c>
    </row>
    <row r="966" ht="15" customHeight="1" s="131">
      <c r="A966" s="320" t="n"/>
      <c r="B966" s="323" t="n"/>
      <c r="C966" s="320" t="n"/>
      <c r="D966" s="320" t="n"/>
      <c r="E966" s="320" t="n"/>
      <c r="F966" s="320" t="n"/>
      <c r="G966" s="284">
        <f>IFERROR((D966-F966)/C966*100,"")</f>
        <v/>
      </c>
      <c r="H966" s="324" t="n"/>
      <c r="I966" s="320" t="n"/>
      <c r="J966" s="325">
        <f>IF(COUNTA(A966:F966)=0,"",IF(OR(C966&lt;0,D966&lt;0,E966&lt;0,F966&lt;0),"ERRO: valor negativo",IF(C966&lt;&gt;SUM(D966:F966),"ERRO: categorias diferem dos respondentes",IF(COUNTIFS($A$5:$A$1200,A966,$B$5:$B$1200,B966)&gt;1,"ERRO: período e curso duplicados","OK"))))</f>
        <v/>
      </c>
    </row>
    <row r="967" ht="15" customHeight="1" s="131">
      <c r="A967" s="320" t="n"/>
      <c r="B967" s="323" t="n"/>
      <c r="C967" s="320" t="n"/>
      <c r="D967" s="320" t="n"/>
      <c r="E967" s="320" t="n"/>
      <c r="F967" s="320" t="n"/>
      <c r="G967" s="284">
        <f>IFERROR((D967-F967)/C967*100,"")</f>
        <v/>
      </c>
      <c r="H967" s="324" t="n"/>
      <c r="I967" s="320" t="n"/>
      <c r="J967" s="325">
        <f>IF(COUNTA(A967:F967)=0,"",IF(OR(C967&lt;0,D967&lt;0,E967&lt;0,F967&lt;0),"ERRO: valor negativo",IF(C967&lt;&gt;SUM(D967:F967),"ERRO: categorias diferem dos respondentes",IF(COUNTIFS($A$5:$A$1200,A967,$B$5:$B$1200,B967)&gt;1,"ERRO: período e curso duplicados","OK"))))</f>
        <v/>
      </c>
    </row>
    <row r="968" ht="15" customHeight="1" s="131">
      <c r="A968" s="320" t="n"/>
      <c r="B968" s="323" t="n"/>
      <c r="C968" s="320" t="n"/>
      <c r="D968" s="320" t="n"/>
      <c r="E968" s="320" t="n"/>
      <c r="F968" s="320" t="n"/>
      <c r="G968" s="284">
        <f>IFERROR((D968-F968)/C968*100,"")</f>
        <v/>
      </c>
      <c r="H968" s="324" t="n"/>
      <c r="I968" s="320" t="n"/>
      <c r="J968" s="325">
        <f>IF(COUNTA(A968:F968)=0,"",IF(OR(C968&lt;0,D968&lt;0,E968&lt;0,F968&lt;0),"ERRO: valor negativo",IF(C968&lt;&gt;SUM(D968:F968),"ERRO: categorias diferem dos respondentes",IF(COUNTIFS($A$5:$A$1200,A968,$B$5:$B$1200,B968)&gt;1,"ERRO: período e curso duplicados","OK"))))</f>
        <v/>
      </c>
    </row>
    <row r="969" ht="15" customHeight="1" s="131">
      <c r="A969" s="320" t="n"/>
      <c r="B969" s="323" t="n"/>
      <c r="C969" s="320" t="n"/>
      <c r="D969" s="320" t="n"/>
      <c r="E969" s="320" t="n"/>
      <c r="F969" s="320" t="n"/>
      <c r="G969" s="284">
        <f>IFERROR((D969-F969)/C969*100,"")</f>
        <v/>
      </c>
      <c r="H969" s="324" t="n"/>
      <c r="I969" s="320" t="n"/>
      <c r="J969" s="325">
        <f>IF(COUNTA(A969:F969)=0,"",IF(OR(C969&lt;0,D969&lt;0,E969&lt;0,F969&lt;0),"ERRO: valor negativo",IF(C969&lt;&gt;SUM(D969:F969),"ERRO: categorias diferem dos respondentes",IF(COUNTIFS($A$5:$A$1200,A969,$B$5:$B$1200,B969)&gt;1,"ERRO: período e curso duplicados","OK"))))</f>
        <v/>
      </c>
    </row>
    <row r="970" ht="15" customHeight="1" s="131">
      <c r="A970" s="320" t="n"/>
      <c r="B970" s="323" t="n"/>
      <c r="C970" s="320" t="n"/>
      <c r="D970" s="320" t="n"/>
      <c r="E970" s="320" t="n"/>
      <c r="F970" s="320" t="n"/>
      <c r="G970" s="284">
        <f>IFERROR((D970-F970)/C970*100,"")</f>
        <v/>
      </c>
      <c r="H970" s="324" t="n"/>
      <c r="I970" s="320" t="n"/>
      <c r="J970" s="325">
        <f>IF(COUNTA(A970:F970)=0,"",IF(OR(C970&lt;0,D970&lt;0,E970&lt;0,F970&lt;0),"ERRO: valor negativo",IF(C970&lt;&gt;SUM(D970:F970),"ERRO: categorias diferem dos respondentes",IF(COUNTIFS($A$5:$A$1200,A970,$B$5:$B$1200,B970)&gt;1,"ERRO: período e curso duplicados","OK"))))</f>
        <v/>
      </c>
    </row>
    <row r="971" ht="15" customHeight="1" s="131">
      <c r="A971" s="320" t="n"/>
      <c r="B971" s="323" t="n"/>
      <c r="C971" s="320" t="n"/>
      <c r="D971" s="320" t="n"/>
      <c r="E971" s="320" t="n"/>
      <c r="F971" s="320" t="n"/>
      <c r="G971" s="284">
        <f>IFERROR((D971-F971)/C971*100,"")</f>
        <v/>
      </c>
      <c r="H971" s="324" t="n"/>
      <c r="I971" s="320" t="n"/>
      <c r="J971" s="325">
        <f>IF(COUNTA(A971:F971)=0,"",IF(OR(C971&lt;0,D971&lt;0,E971&lt;0,F971&lt;0),"ERRO: valor negativo",IF(C971&lt;&gt;SUM(D971:F971),"ERRO: categorias diferem dos respondentes",IF(COUNTIFS($A$5:$A$1200,A971,$B$5:$B$1200,B971)&gt;1,"ERRO: período e curso duplicados","OK"))))</f>
        <v/>
      </c>
    </row>
    <row r="972" ht="15" customHeight="1" s="131">
      <c r="A972" s="320" t="n"/>
      <c r="B972" s="323" t="n"/>
      <c r="C972" s="320" t="n"/>
      <c r="D972" s="320" t="n"/>
      <c r="E972" s="320" t="n"/>
      <c r="F972" s="320" t="n"/>
      <c r="G972" s="284">
        <f>IFERROR((D972-F972)/C972*100,"")</f>
        <v/>
      </c>
      <c r="H972" s="324" t="n"/>
      <c r="I972" s="320" t="n"/>
      <c r="J972" s="325">
        <f>IF(COUNTA(A972:F972)=0,"",IF(OR(C972&lt;0,D972&lt;0,E972&lt;0,F972&lt;0),"ERRO: valor negativo",IF(C972&lt;&gt;SUM(D972:F972),"ERRO: categorias diferem dos respondentes",IF(COUNTIFS($A$5:$A$1200,A972,$B$5:$B$1200,B972)&gt;1,"ERRO: período e curso duplicados","OK"))))</f>
        <v/>
      </c>
    </row>
    <row r="973" ht="15" customHeight="1" s="131">
      <c r="A973" s="320" t="n"/>
      <c r="B973" s="323" t="n"/>
      <c r="C973" s="320" t="n"/>
      <c r="D973" s="320" t="n"/>
      <c r="E973" s="320" t="n"/>
      <c r="F973" s="320" t="n"/>
      <c r="G973" s="284">
        <f>IFERROR((D973-F973)/C973*100,"")</f>
        <v/>
      </c>
      <c r="H973" s="324" t="n"/>
      <c r="I973" s="320" t="n"/>
      <c r="J973" s="325">
        <f>IF(COUNTA(A973:F973)=0,"",IF(OR(C973&lt;0,D973&lt;0,E973&lt;0,F973&lt;0),"ERRO: valor negativo",IF(C973&lt;&gt;SUM(D973:F973),"ERRO: categorias diferem dos respondentes",IF(COUNTIFS($A$5:$A$1200,A973,$B$5:$B$1200,B973)&gt;1,"ERRO: período e curso duplicados","OK"))))</f>
        <v/>
      </c>
    </row>
    <row r="974" ht="15" customHeight="1" s="131">
      <c r="A974" s="320" t="n"/>
      <c r="B974" s="323" t="n"/>
      <c r="C974" s="320" t="n"/>
      <c r="D974" s="320" t="n"/>
      <c r="E974" s="320" t="n"/>
      <c r="F974" s="320" t="n"/>
      <c r="G974" s="284">
        <f>IFERROR((D974-F974)/C974*100,"")</f>
        <v/>
      </c>
      <c r="H974" s="324" t="n"/>
      <c r="I974" s="320" t="n"/>
      <c r="J974" s="325">
        <f>IF(COUNTA(A974:F974)=0,"",IF(OR(C974&lt;0,D974&lt;0,E974&lt;0,F974&lt;0),"ERRO: valor negativo",IF(C974&lt;&gt;SUM(D974:F974),"ERRO: categorias diferem dos respondentes",IF(COUNTIFS($A$5:$A$1200,A974,$B$5:$B$1200,B974)&gt;1,"ERRO: período e curso duplicados","OK"))))</f>
        <v/>
      </c>
    </row>
    <row r="975" ht="15" customHeight="1" s="131">
      <c r="A975" s="320" t="n"/>
      <c r="B975" s="323" t="n"/>
      <c r="C975" s="320" t="n"/>
      <c r="D975" s="320" t="n"/>
      <c r="E975" s="320" t="n"/>
      <c r="F975" s="320" t="n"/>
      <c r="G975" s="284">
        <f>IFERROR((D975-F975)/C975*100,"")</f>
        <v/>
      </c>
      <c r="H975" s="324" t="n"/>
      <c r="I975" s="320" t="n"/>
      <c r="J975" s="325">
        <f>IF(COUNTA(A975:F975)=0,"",IF(OR(C975&lt;0,D975&lt;0,E975&lt;0,F975&lt;0),"ERRO: valor negativo",IF(C975&lt;&gt;SUM(D975:F975),"ERRO: categorias diferem dos respondentes",IF(COUNTIFS($A$5:$A$1200,A975,$B$5:$B$1200,B975)&gt;1,"ERRO: período e curso duplicados","OK"))))</f>
        <v/>
      </c>
    </row>
    <row r="976" ht="15" customHeight="1" s="131">
      <c r="A976" s="320" t="n"/>
      <c r="B976" s="323" t="n"/>
      <c r="C976" s="320" t="n"/>
      <c r="D976" s="320" t="n"/>
      <c r="E976" s="320" t="n"/>
      <c r="F976" s="320" t="n"/>
      <c r="G976" s="284">
        <f>IFERROR((D976-F976)/C976*100,"")</f>
        <v/>
      </c>
      <c r="H976" s="324" t="n"/>
      <c r="I976" s="320" t="n"/>
      <c r="J976" s="325">
        <f>IF(COUNTA(A976:F976)=0,"",IF(OR(C976&lt;0,D976&lt;0,E976&lt;0,F976&lt;0),"ERRO: valor negativo",IF(C976&lt;&gt;SUM(D976:F976),"ERRO: categorias diferem dos respondentes",IF(COUNTIFS($A$5:$A$1200,A976,$B$5:$B$1200,B976)&gt;1,"ERRO: período e curso duplicados","OK"))))</f>
        <v/>
      </c>
    </row>
    <row r="977" ht="15" customHeight="1" s="131">
      <c r="A977" s="320" t="n"/>
      <c r="B977" s="323" t="n"/>
      <c r="C977" s="320" t="n"/>
      <c r="D977" s="320" t="n"/>
      <c r="E977" s="320" t="n"/>
      <c r="F977" s="320" t="n"/>
      <c r="G977" s="284">
        <f>IFERROR((D977-F977)/C977*100,"")</f>
        <v/>
      </c>
      <c r="H977" s="324" t="n"/>
      <c r="I977" s="320" t="n"/>
      <c r="J977" s="325">
        <f>IF(COUNTA(A977:F977)=0,"",IF(OR(C977&lt;0,D977&lt;0,E977&lt;0,F977&lt;0),"ERRO: valor negativo",IF(C977&lt;&gt;SUM(D977:F977),"ERRO: categorias diferem dos respondentes",IF(COUNTIFS($A$5:$A$1200,A977,$B$5:$B$1200,B977)&gt;1,"ERRO: período e curso duplicados","OK"))))</f>
        <v/>
      </c>
    </row>
    <row r="978" ht="15" customHeight="1" s="131">
      <c r="A978" s="320" t="n"/>
      <c r="B978" s="323" t="n"/>
      <c r="C978" s="320" t="n"/>
      <c r="D978" s="320" t="n"/>
      <c r="E978" s="320" t="n"/>
      <c r="F978" s="320" t="n"/>
      <c r="G978" s="284">
        <f>IFERROR((D978-F978)/C978*100,"")</f>
        <v/>
      </c>
      <c r="H978" s="324" t="n"/>
      <c r="I978" s="320" t="n"/>
      <c r="J978" s="325">
        <f>IF(COUNTA(A978:F978)=0,"",IF(OR(C978&lt;0,D978&lt;0,E978&lt;0,F978&lt;0),"ERRO: valor negativo",IF(C978&lt;&gt;SUM(D978:F978),"ERRO: categorias diferem dos respondentes",IF(COUNTIFS($A$5:$A$1200,A978,$B$5:$B$1200,B978)&gt;1,"ERRO: período e curso duplicados","OK"))))</f>
        <v/>
      </c>
    </row>
    <row r="979" ht="15" customHeight="1" s="131">
      <c r="A979" s="320" t="n"/>
      <c r="B979" s="323" t="n"/>
      <c r="C979" s="320" t="n"/>
      <c r="D979" s="320" t="n"/>
      <c r="E979" s="320" t="n"/>
      <c r="F979" s="320" t="n"/>
      <c r="G979" s="284">
        <f>IFERROR((D979-F979)/C979*100,"")</f>
        <v/>
      </c>
      <c r="H979" s="324" t="n"/>
      <c r="I979" s="320" t="n"/>
      <c r="J979" s="325">
        <f>IF(COUNTA(A979:F979)=0,"",IF(OR(C979&lt;0,D979&lt;0,E979&lt;0,F979&lt;0),"ERRO: valor negativo",IF(C979&lt;&gt;SUM(D979:F979),"ERRO: categorias diferem dos respondentes",IF(COUNTIFS($A$5:$A$1200,A979,$B$5:$B$1200,B979)&gt;1,"ERRO: período e curso duplicados","OK"))))</f>
        <v/>
      </c>
    </row>
    <row r="980" ht="15" customHeight="1" s="131">
      <c r="A980" s="320" t="n"/>
      <c r="B980" s="323" t="n"/>
      <c r="C980" s="320" t="n"/>
      <c r="D980" s="320" t="n"/>
      <c r="E980" s="320" t="n"/>
      <c r="F980" s="320" t="n"/>
      <c r="G980" s="284">
        <f>IFERROR((D980-F980)/C980*100,"")</f>
        <v/>
      </c>
      <c r="H980" s="324" t="n"/>
      <c r="I980" s="320" t="n"/>
      <c r="J980" s="325">
        <f>IF(COUNTA(A980:F980)=0,"",IF(OR(C980&lt;0,D980&lt;0,E980&lt;0,F980&lt;0),"ERRO: valor negativo",IF(C980&lt;&gt;SUM(D980:F980),"ERRO: categorias diferem dos respondentes",IF(COUNTIFS($A$5:$A$1200,A980,$B$5:$B$1200,B980)&gt;1,"ERRO: período e curso duplicados","OK"))))</f>
        <v/>
      </c>
    </row>
    <row r="981" ht="15" customHeight="1" s="131">
      <c r="A981" s="320" t="n"/>
      <c r="B981" s="323" t="n"/>
      <c r="C981" s="320" t="n"/>
      <c r="D981" s="320" t="n"/>
      <c r="E981" s="320" t="n"/>
      <c r="F981" s="320" t="n"/>
      <c r="G981" s="284">
        <f>IFERROR((D981-F981)/C981*100,"")</f>
        <v/>
      </c>
      <c r="H981" s="324" t="n"/>
      <c r="I981" s="320" t="n"/>
      <c r="J981" s="325">
        <f>IF(COUNTA(A981:F981)=0,"",IF(OR(C981&lt;0,D981&lt;0,E981&lt;0,F981&lt;0),"ERRO: valor negativo",IF(C981&lt;&gt;SUM(D981:F981),"ERRO: categorias diferem dos respondentes",IF(COUNTIFS($A$5:$A$1200,A981,$B$5:$B$1200,B981)&gt;1,"ERRO: período e curso duplicados","OK"))))</f>
        <v/>
      </c>
    </row>
    <row r="982" ht="15" customHeight="1" s="131">
      <c r="A982" s="320" t="n"/>
      <c r="B982" s="323" t="n"/>
      <c r="C982" s="320" t="n"/>
      <c r="D982" s="320" t="n"/>
      <c r="E982" s="320" t="n"/>
      <c r="F982" s="320" t="n"/>
      <c r="G982" s="284">
        <f>IFERROR((D982-F982)/C982*100,"")</f>
        <v/>
      </c>
      <c r="H982" s="324" t="n"/>
      <c r="I982" s="320" t="n"/>
      <c r="J982" s="325">
        <f>IF(COUNTA(A982:F982)=0,"",IF(OR(C982&lt;0,D982&lt;0,E982&lt;0,F982&lt;0),"ERRO: valor negativo",IF(C982&lt;&gt;SUM(D982:F982),"ERRO: categorias diferem dos respondentes",IF(COUNTIFS($A$5:$A$1200,A982,$B$5:$B$1200,B982)&gt;1,"ERRO: período e curso duplicados","OK"))))</f>
        <v/>
      </c>
    </row>
    <row r="983" ht="15" customHeight="1" s="131">
      <c r="A983" s="320" t="n"/>
      <c r="B983" s="323" t="n"/>
      <c r="C983" s="320" t="n"/>
      <c r="D983" s="320" t="n"/>
      <c r="E983" s="320" t="n"/>
      <c r="F983" s="320" t="n"/>
      <c r="G983" s="284">
        <f>IFERROR((D983-F983)/C983*100,"")</f>
        <v/>
      </c>
      <c r="H983" s="324" t="n"/>
      <c r="I983" s="320" t="n"/>
      <c r="J983" s="325">
        <f>IF(COUNTA(A983:F983)=0,"",IF(OR(C983&lt;0,D983&lt;0,E983&lt;0,F983&lt;0),"ERRO: valor negativo",IF(C983&lt;&gt;SUM(D983:F983),"ERRO: categorias diferem dos respondentes",IF(COUNTIFS($A$5:$A$1200,A983,$B$5:$B$1200,B983)&gt;1,"ERRO: período e curso duplicados","OK"))))</f>
        <v/>
      </c>
    </row>
    <row r="984" ht="15" customHeight="1" s="131">
      <c r="A984" s="320" t="n"/>
      <c r="B984" s="323" t="n"/>
      <c r="C984" s="320" t="n"/>
      <c r="D984" s="320" t="n"/>
      <c r="E984" s="320" t="n"/>
      <c r="F984" s="320" t="n"/>
      <c r="G984" s="284">
        <f>IFERROR((D984-F984)/C984*100,"")</f>
        <v/>
      </c>
      <c r="H984" s="324" t="n"/>
      <c r="I984" s="320" t="n"/>
      <c r="J984" s="325">
        <f>IF(COUNTA(A984:F984)=0,"",IF(OR(C984&lt;0,D984&lt;0,E984&lt;0,F984&lt;0),"ERRO: valor negativo",IF(C984&lt;&gt;SUM(D984:F984),"ERRO: categorias diferem dos respondentes",IF(COUNTIFS($A$5:$A$1200,A984,$B$5:$B$1200,B984)&gt;1,"ERRO: período e curso duplicados","OK"))))</f>
        <v/>
      </c>
    </row>
    <row r="985" ht="15" customHeight="1" s="131">
      <c r="A985" s="320" t="n"/>
      <c r="B985" s="323" t="n"/>
      <c r="C985" s="320" t="n"/>
      <c r="D985" s="320" t="n"/>
      <c r="E985" s="320" t="n"/>
      <c r="F985" s="320" t="n"/>
      <c r="G985" s="284">
        <f>IFERROR((D985-F985)/C985*100,"")</f>
        <v/>
      </c>
      <c r="H985" s="324" t="n"/>
      <c r="I985" s="320" t="n"/>
      <c r="J985" s="325">
        <f>IF(COUNTA(A985:F985)=0,"",IF(OR(C985&lt;0,D985&lt;0,E985&lt;0,F985&lt;0),"ERRO: valor negativo",IF(C985&lt;&gt;SUM(D985:F985),"ERRO: categorias diferem dos respondentes",IF(COUNTIFS($A$5:$A$1200,A985,$B$5:$B$1200,B985)&gt;1,"ERRO: período e curso duplicados","OK"))))</f>
        <v/>
      </c>
    </row>
    <row r="986" ht="15" customHeight="1" s="131">
      <c r="A986" s="320" t="n"/>
      <c r="B986" s="323" t="n"/>
      <c r="C986" s="320" t="n"/>
      <c r="D986" s="320" t="n"/>
      <c r="E986" s="320" t="n"/>
      <c r="F986" s="320" t="n"/>
      <c r="G986" s="284">
        <f>IFERROR((D986-F986)/C986*100,"")</f>
        <v/>
      </c>
      <c r="H986" s="324" t="n"/>
      <c r="I986" s="320" t="n"/>
      <c r="J986" s="325">
        <f>IF(COUNTA(A986:F986)=0,"",IF(OR(C986&lt;0,D986&lt;0,E986&lt;0,F986&lt;0),"ERRO: valor negativo",IF(C986&lt;&gt;SUM(D986:F986),"ERRO: categorias diferem dos respondentes",IF(COUNTIFS($A$5:$A$1200,A986,$B$5:$B$1200,B986)&gt;1,"ERRO: período e curso duplicados","OK"))))</f>
        <v/>
      </c>
    </row>
    <row r="987" ht="15" customHeight="1" s="131">
      <c r="A987" s="320" t="n"/>
      <c r="B987" s="323" t="n"/>
      <c r="C987" s="320" t="n"/>
      <c r="D987" s="320" t="n"/>
      <c r="E987" s="320" t="n"/>
      <c r="F987" s="320" t="n"/>
      <c r="G987" s="284">
        <f>IFERROR((D987-F987)/C987*100,"")</f>
        <v/>
      </c>
      <c r="H987" s="324" t="n"/>
      <c r="I987" s="320" t="n"/>
      <c r="J987" s="325">
        <f>IF(COUNTA(A987:F987)=0,"",IF(OR(C987&lt;0,D987&lt;0,E987&lt;0,F987&lt;0),"ERRO: valor negativo",IF(C987&lt;&gt;SUM(D987:F987),"ERRO: categorias diferem dos respondentes",IF(COUNTIFS($A$5:$A$1200,A987,$B$5:$B$1200,B987)&gt;1,"ERRO: período e curso duplicados","OK"))))</f>
        <v/>
      </c>
    </row>
    <row r="988" ht="15" customHeight="1" s="131">
      <c r="A988" s="320" t="n"/>
      <c r="B988" s="323" t="n"/>
      <c r="C988" s="320" t="n"/>
      <c r="D988" s="320" t="n"/>
      <c r="E988" s="320" t="n"/>
      <c r="F988" s="320" t="n"/>
      <c r="G988" s="284">
        <f>IFERROR((D988-F988)/C988*100,"")</f>
        <v/>
      </c>
      <c r="H988" s="324" t="n"/>
      <c r="I988" s="320" t="n"/>
      <c r="J988" s="325">
        <f>IF(COUNTA(A988:F988)=0,"",IF(OR(C988&lt;0,D988&lt;0,E988&lt;0,F988&lt;0),"ERRO: valor negativo",IF(C988&lt;&gt;SUM(D988:F988),"ERRO: categorias diferem dos respondentes",IF(COUNTIFS($A$5:$A$1200,A988,$B$5:$B$1200,B988)&gt;1,"ERRO: período e curso duplicados","OK"))))</f>
        <v/>
      </c>
    </row>
    <row r="989" ht="15" customHeight="1" s="131">
      <c r="A989" s="320" t="n"/>
      <c r="B989" s="323" t="n"/>
      <c r="C989" s="320" t="n"/>
      <c r="D989" s="320" t="n"/>
      <c r="E989" s="320" t="n"/>
      <c r="F989" s="320" t="n"/>
      <c r="G989" s="284">
        <f>IFERROR((D989-F989)/C989*100,"")</f>
        <v/>
      </c>
      <c r="H989" s="324" t="n"/>
      <c r="I989" s="320" t="n"/>
      <c r="J989" s="325">
        <f>IF(COUNTA(A989:F989)=0,"",IF(OR(C989&lt;0,D989&lt;0,E989&lt;0,F989&lt;0),"ERRO: valor negativo",IF(C989&lt;&gt;SUM(D989:F989),"ERRO: categorias diferem dos respondentes",IF(COUNTIFS($A$5:$A$1200,A989,$B$5:$B$1200,B989)&gt;1,"ERRO: período e curso duplicados","OK"))))</f>
        <v/>
      </c>
    </row>
    <row r="990" ht="15" customHeight="1" s="131">
      <c r="A990" s="320" t="n"/>
      <c r="B990" s="323" t="n"/>
      <c r="C990" s="320" t="n"/>
      <c r="D990" s="320" t="n"/>
      <c r="E990" s="320" t="n"/>
      <c r="F990" s="320" t="n"/>
      <c r="G990" s="284">
        <f>IFERROR((D990-F990)/C990*100,"")</f>
        <v/>
      </c>
      <c r="H990" s="324" t="n"/>
      <c r="I990" s="320" t="n"/>
      <c r="J990" s="325">
        <f>IF(COUNTA(A990:F990)=0,"",IF(OR(C990&lt;0,D990&lt;0,E990&lt;0,F990&lt;0),"ERRO: valor negativo",IF(C990&lt;&gt;SUM(D990:F990),"ERRO: categorias diferem dos respondentes",IF(COUNTIFS($A$5:$A$1200,A990,$B$5:$B$1200,B990)&gt;1,"ERRO: período e curso duplicados","OK"))))</f>
        <v/>
      </c>
    </row>
    <row r="991" ht="15" customHeight="1" s="131">
      <c r="A991" s="320" t="n"/>
      <c r="B991" s="323" t="n"/>
      <c r="C991" s="320" t="n"/>
      <c r="D991" s="320" t="n"/>
      <c r="E991" s="320" t="n"/>
      <c r="F991" s="320" t="n"/>
      <c r="G991" s="284">
        <f>IFERROR((D991-F991)/C991*100,"")</f>
        <v/>
      </c>
      <c r="H991" s="324" t="n"/>
      <c r="I991" s="320" t="n"/>
      <c r="J991" s="325">
        <f>IF(COUNTA(A991:F991)=0,"",IF(OR(C991&lt;0,D991&lt;0,E991&lt;0,F991&lt;0),"ERRO: valor negativo",IF(C991&lt;&gt;SUM(D991:F991),"ERRO: categorias diferem dos respondentes",IF(COUNTIFS($A$5:$A$1200,A991,$B$5:$B$1200,B991)&gt;1,"ERRO: período e curso duplicados","OK"))))</f>
        <v/>
      </c>
    </row>
    <row r="992" ht="15" customHeight="1" s="131">
      <c r="A992" s="320" t="n"/>
      <c r="B992" s="323" t="n"/>
      <c r="C992" s="320" t="n"/>
      <c r="D992" s="320" t="n"/>
      <c r="E992" s="320" t="n"/>
      <c r="F992" s="320" t="n"/>
      <c r="G992" s="284">
        <f>IFERROR((D992-F992)/C992*100,"")</f>
        <v/>
      </c>
      <c r="H992" s="324" t="n"/>
      <c r="I992" s="320" t="n"/>
      <c r="J992" s="325">
        <f>IF(COUNTA(A992:F992)=0,"",IF(OR(C992&lt;0,D992&lt;0,E992&lt;0,F992&lt;0),"ERRO: valor negativo",IF(C992&lt;&gt;SUM(D992:F992),"ERRO: categorias diferem dos respondentes",IF(COUNTIFS($A$5:$A$1200,A992,$B$5:$B$1200,B992)&gt;1,"ERRO: período e curso duplicados","OK"))))</f>
        <v/>
      </c>
    </row>
    <row r="993" ht="15" customHeight="1" s="131">
      <c r="A993" s="320" t="n"/>
      <c r="B993" s="323" t="n"/>
      <c r="C993" s="320" t="n"/>
      <c r="D993" s="320" t="n"/>
      <c r="E993" s="320" t="n"/>
      <c r="F993" s="320" t="n"/>
      <c r="G993" s="284">
        <f>IFERROR((D993-F993)/C993*100,"")</f>
        <v/>
      </c>
      <c r="H993" s="324" t="n"/>
      <c r="I993" s="320" t="n"/>
      <c r="J993" s="325">
        <f>IF(COUNTA(A993:F993)=0,"",IF(OR(C993&lt;0,D993&lt;0,E993&lt;0,F993&lt;0),"ERRO: valor negativo",IF(C993&lt;&gt;SUM(D993:F993),"ERRO: categorias diferem dos respondentes",IF(COUNTIFS($A$5:$A$1200,A993,$B$5:$B$1200,B993)&gt;1,"ERRO: período e curso duplicados","OK"))))</f>
        <v/>
      </c>
    </row>
    <row r="994" ht="15" customHeight="1" s="131">
      <c r="A994" s="320" t="n"/>
      <c r="B994" s="323" t="n"/>
      <c r="C994" s="320" t="n"/>
      <c r="D994" s="320" t="n"/>
      <c r="E994" s="320" t="n"/>
      <c r="F994" s="320" t="n"/>
      <c r="G994" s="284">
        <f>IFERROR((D994-F994)/C994*100,"")</f>
        <v/>
      </c>
      <c r="H994" s="324" t="n"/>
      <c r="I994" s="320" t="n"/>
      <c r="J994" s="325">
        <f>IF(COUNTA(A994:F994)=0,"",IF(OR(C994&lt;0,D994&lt;0,E994&lt;0,F994&lt;0),"ERRO: valor negativo",IF(C994&lt;&gt;SUM(D994:F994),"ERRO: categorias diferem dos respondentes",IF(COUNTIFS($A$5:$A$1200,A994,$B$5:$B$1200,B994)&gt;1,"ERRO: período e curso duplicados","OK"))))</f>
        <v/>
      </c>
    </row>
    <row r="995" ht="15" customHeight="1" s="131">
      <c r="A995" s="320" t="n"/>
      <c r="B995" s="323" t="n"/>
      <c r="C995" s="320" t="n"/>
      <c r="D995" s="320" t="n"/>
      <c r="E995" s="320" t="n"/>
      <c r="F995" s="320" t="n"/>
      <c r="G995" s="284">
        <f>IFERROR((D995-F995)/C995*100,"")</f>
        <v/>
      </c>
      <c r="H995" s="324" t="n"/>
      <c r="I995" s="320" t="n"/>
      <c r="J995" s="325">
        <f>IF(COUNTA(A995:F995)=0,"",IF(OR(C995&lt;0,D995&lt;0,E995&lt;0,F995&lt;0),"ERRO: valor negativo",IF(C995&lt;&gt;SUM(D995:F995),"ERRO: categorias diferem dos respondentes",IF(COUNTIFS($A$5:$A$1200,A995,$B$5:$B$1200,B995)&gt;1,"ERRO: período e curso duplicados","OK"))))</f>
        <v/>
      </c>
    </row>
    <row r="996" ht="15" customHeight="1" s="131">
      <c r="A996" s="320" t="n"/>
      <c r="B996" s="323" t="n"/>
      <c r="C996" s="320" t="n"/>
      <c r="D996" s="320" t="n"/>
      <c r="E996" s="320" t="n"/>
      <c r="F996" s="320" t="n"/>
      <c r="G996" s="284">
        <f>IFERROR((D996-F996)/C996*100,"")</f>
        <v/>
      </c>
      <c r="H996" s="324" t="n"/>
      <c r="I996" s="320" t="n"/>
      <c r="J996" s="325">
        <f>IF(COUNTA(A996:F996)=0,"",IF(OR(C996&lt;0,D996&lt;0,E996&lt;0,F996&lt;0),"ERRO: valor negativo",IF(C996&lt;&gt;SUM(D996:F996),"ERRO: categorias diferem dos respondentes",IF(COUNTIFS($A$5:$A$1200,A996,$B$5:$B$1200,B996)&gt;1,"ERRO: período e curso duplicados","OK"))))</f>
        <v/>
      </c>
    </row>
    <row r="997" ht="15" customHeight="1" s="131">
      <c r="A997" s="320" t="n"/>
      <c r="B997" s="323" t="n"/>
      <c r="C997" s="320" t="n"/>
      <c r="D997" s="320" t="n"/>
      <c r="E997" s="320" t="n"/>
      <c r="F997" s="320" t="n"/>
      <c r="G997" s="284">
        <f>IFERROR((D997-F997)/C997*100,"")</f>
        <v/>
      </c>
      <c r="H997" s="324" t="n"/>
      <c r="I997" s="320" t="n"/>
      <c r="J997" s="325">
        <f>IF(COUNTA(A997:F997)=0,"",IF(OR(C997&lt;0,D997&lt;0,E997&lt;0,F997&lt;0),"ERRO: valor negativo",IF(C997&lt;&gt;SUM(D997:F997),"ERRO: categorias diferem dos respondentes",IF(COUNTIFS($A$5:$A$1200,A997,$B$5:$B$1200,B997)&gt;1,"ERRO: período e curso duplicados","OK"))))</f>
        <v/>
      </c>
    </row>
    <row r="998" ht="15" customHeight="1" s="131">
      <c r="A998" s="320" t="n"/>
      <c r="B998" s="323" t="n"/>
      <c r="C998" s="320" t="n"/>
      <c r="D998" s="320" t="n"/>
      <c r="E998" s="320" t="n"/>
      <c r="F998" s="320" t="n"/>
      <c r="G998" s="284">
        <f>IFERROR((D998-F998)/C998*100,"")</f>
        <v/>
      </c>
      <c r="H998" s="324" t="n"/>
      <c r="I998" s="320" t="n"/>
      <c r="J998" s="325">
        <f>IF(COUNTA(A998:F998)=0,"",IF(OR(C998&lt;0,D998&lt;0,E998&lt;0,F998&lt;0),"ERRO: valor negativo",IF(C998&lt;&gt;SUM(D998:F998),"ERRO: categorias diferem dos respondentes",IF(COUNTIFS($A$5:$A$1200,A998,$B$5:$B$1200,B998)&gt;1,"ERRO: período e curso duplicados","OK"))))</f>
        <v/>
      </c>
    </row>
    <row r="999" ht="15" customHeight="1" s="131">
      <c r="A999" s="320" t="n"/>
      <c r="B999" s="323" t="n"/>
      <c r="C999" s="320" t="n"/>
      <c r="D999" s="320" t="n"/>
      <c r="E999" s="320" t="n"/>
      <c r="F999" s="320" t="n"/>
      <c r="G999" s="284">
        <f>IFERROR((D999-F999)/C999*100,"")</f>
        <v/>
      </c>
      <c r="H999" s="324" t="n"/>
      <c r="I999" s="320" t="n"/>
      <c r="J999" s="325">
        <f>IF(COUNTA(A999:F999)=0,"",IF(OR(C999&lt;0,D999&lt;0,E999&lt;0,F999&lt;0),"ERRO: valor negativo",IF(C999&lt;&gt;SUM(D999:F999),"ERRO: categorias diferem dos respondentes",IF(COUNTIFS($A$5:$A$1200,A999,$B$5:$B$1200,B999)&gt;1,"ERRO: período e curso duplicados","OK"))))</f>
        <v/>
      </c>
    </row>
    <row r="1000" ht="15" customHeight="1" s="131">
      <c r="A1000" s="320" t="n"/>
      <c r="B1000" s="323" t="n"/>
      <c r="C1000" s="320" t="n"/>
      <c r="D1000" s="320" t="n"/>
      <c r="E1000" s="320" t="n"/>
      <c r="F1000" s="320" t="n"/>
      <c r="G1000" s="284">
        <f>IFERROR((D1000-F1000)/C1000*100,"")</f>
        <v/>
      </c>
      <c r="H1000" s="324" t="n"/>
      <c r="I1000" s="320" t="n"/>
      <c r="J1000" s="325">
        <f>IF(COUNTA(A1000:F1000)=0,"",IF(OR(C1000&lt;0,D1000&lt;0,E1000&lt;0,F1000&lt;0),"ERRO: valor negativo",IF(C1000&lt;&gt;SUM(D1000:F1000),"ERRO: categorias diferem dos respondentes",IF(COUNTIFS($A$5:$A$1200,A1000,$B$5:$B$1200,B1000)&gt;1,"ERRO: período e curso duplicados","OK"))))</f>
        <v/>
      </c>
    </row>
    <row r="1001" ht="15" customHeight="1" s="131">
      <c r="A1001" s="320" t="n"/>
      <c r="B1001" s="323" t="n"/>
      <c r="C1001" s="320" t="n"/>
      <c r="D1001" s="320" t="n"/>
      <c r="E1001" s="320" t="n"/>
      <c r="F1001" s="320" t="n"/>
      <c r="G1001" s="284">
        <f>IFERROR((D1001-F1001)/C1001*100,"")</f>
        <v/>
      </c>
      <c r="H1001" s="324" t="n"/>
      <c r="I1001" s="320" t="n"/>
      <c r="J1001" s="325">
        <f>IF(COUNTA(A1001:F1001)=0,"",IF(OR(C1001&lt;0,D1001&lt;0,E1001&lt;0,F1001&lt;0),"ERRO: valor negativo",IF(C1001&lt;&gt;SUM(D1001:F1001),"ERRO: categorias diferem dos respondentes",IF(COUNTIFS($A$5:$A$1200,A1001,$B$5:$B$1200,B1001)&gt;1,"ERRO: período e curso duplicados","OK"))))</f>
        <v/>
      </c>
    </row>
    <row r="1002" ht="15" customHeight="1" s="131">
      <c r="A1002" s="320" t="n"/>
      <c r="B1002" s="323" t="n"/>
      <c r="C1002" s="320" t="n"/>
      <c r="D1002" s="320" t="n"/>
      <c r="E1002" s="320" t="n"/>
      <c r="F1002" s="320" t="n"/>
      <c r="G1002" s="284">
        <f>IFERROR((D1002-F1002)/C1002*100,"")</f>
        <v/>
      </c>
      <c r="H1002" s="324" t="n"/>
      <c r="I1002" s="320" t="n"/>
      <c r="J1002" s="325">
        <f>IF(COUNTA(A1002:F1002)=0,"",IF(OR(C1002&lt;0,D1002&lt;0,E1002&lt;0,F1002&lt;0),"ERRO: valor negativo",IF(C1002&lt;&gt;SUM(D1002:F1002),"ERRO: categorias diferem dos respondentes",IF(COUNTIFS($A$5:$A$1200,A1002,$B$5:$B$1200,B1002)&gt;1,"ERRO: período e curso duplicados","OK"))))</f>
        <v/>
      </c>
    </row>
    <row r="1003" ht="15" customHeight="1" s="131">
      <c r="A1003" s="320" t="n"/>
      <c r="B1003" s="323" t="n"/>
      <c r="C1003" s="320" t="n"/>
      <c r="D1003" s="320" t="n"/>
      <c r="E1003" s="320" t="n"/>
      <c r="F1003" s="320" t="n"/>
      <c r="G1003" s="284">
        <f>IFERROR((D1003-F1003)/C1003*100,"")</f>
        <v/>
      </c>
      <c r="H1003" s="324" t="n"/>
      <c r="I1003" s="320" t="n"/>
      <c r="J1003" s="325">
        <f>IF(COUNTA(A1003:F1003)=0,"",IF(OR(C1003&lt;0,D1003&lt;0,E1003&lt;0,F1003&lt;0),"ERRO: valor negativo",IF(C1003&lt;&gt;SUM(D1003:F1003),"ERRO: categorias diferem dos respondentes",IF(COUNTIFS($A$5:$A$1200,A1003,$B$5:$B$1200,B1003)&gt;1,"ERRO: período e curso duplicados","OK"))))</f>
        <v/>
      </c>
    </row>
    <row r="1004" ht="15" customHeight="1" s="131">
      <c r="A1004" s="320" t="n"/>
      <c r="B1004" s="323" t="n"/>
      <c r="C1004" s="320" t="n"/>
      <c r="D1004" s="320" t="n"/>
      <c r="E1004" s="320" t="n"/>
      <c r="F1004" s="320" t="n"/>
      <c r="G1004" s="284">
        <f>IFERROR((D1004-F1004)/C1004*100,"")</f>
        <v/>
      </c>
      <c r="H1004" s="324" t="n"/>
      <c r="I1004" s="320" t="n"/>
      <c r="J1004" s="325">
        <f>IF(COUNTA(A1004:F1004)=0,"",IF(OR(C1004&lt;0,D1004&lt;0,E1004&lt;0,F1004&lt;0),"ERRO: valor negativo",IF(C1004&lt;&gt;SUM(D1004:F1004),"ERRO: categorias diferem dos respondentes",IF(COUNTIFS($A$5:$A$1200,A1004,$B$5:$B$1200,B1004)&gt;1,"ERRO: período e curso duplicados","OK"))))</f>
        <v/>
      </c>
    </row>
    <row r="1005" ht="15" customHeight="1" s="131">
      <c r="A1005" s="320" t="n"/>
      <c r="B1005" s="323" t="n"/>
      <c r="C1005" s="320" t="n"/>
      <c r="D1005" s="320" t="n"/>
      <c r="E1005" s="320" t="n"/>
      <c r="F1005" s="320" t="n"/>
      <c r="G1005" s="284">
        <f>IFERROR((D1005-F1005)/C1005*100,"")</f>
        <v/>
      </c>
      <c r="H1005" s="324" t="n"/>
      <c r="I1005" s="320" t="n"/>
      <c r="J1005" s="325">
        <f>IF(COUNTA(A1005:F1005)=0,"",IF(OR(C1005&lt;0,D1005&lt;0,E1005&lt;0,F1005&lt;0),"ERRO: valor negativo",IF(C1005&lt;&gt;SUM(D1005:F1005),"ERRO: categorias diferem dos respondentes",IF(COUNTIFS($A$5:$A$1200,A1005,$B$5:$B$1200,B1005)&gt;1,"ERRO: período e curso duplicados","OK"))))</f>
        <v/>
      </c>
    </row>
    <row r="1006" ht="15" customHeight="1" s="131">
      <c r="A1006" s="320" t="n"/>
      <c r="B1006" s="323" t="n"/>
      <c r="C1006" s="320" t="n"/>
      <c r="D1006" s="320" t="n"/>
      <c r="E1006" s="320" t="n"/>
      <c r="F1006" s="320" t="n"/>
      <c r="G1006" s="284">
        <f>IFERROR((D1006-F1006)/C1006*100,"")</f>
        <v/>
      </c>
      <c r="H1006" s="324" t="n"/>
      <c r="I1006" s="320" t="n"/>
      <c r="J1006" s="325">
        <f>IF(COUNTA(A1006:F1006)=0,"",IF(OR(C1006&lt;0,D1006&lt;0,E1006&lt;0,F1006&lt;0),"ERRO: valor negativo",IF(C1006&lt;&gt;SUM(D1006:F1006),"ERRO: categorias diferem dos respondentes",IF(COUNTIFS($A$5:$A$1200,A1006,$B$5:$B$1200,B1006)&gt;1,"ERRO: período e curso duplicados","OK"))))</f>
        <v/>
      </c>
    </row>
    <row r="1007" ht="15" customHeight="1" s="131">
      <c r="A1007" s="320" t="n"/>
      <c r="B1007" s="323" t="n"/>
      <c r="C1007" s="320" t="n"/>
      <c r="D1007" s="320" t="n"/>
      <c r="E1007" s="320" t="n"/>
      <c r="F1007" s="320" t="n"/>
      <c r="G1007" s="284">
        <f>IFERROR((D1007-F1007)/C1007*100,"")</f>
        <v/>
      </c>
      <c r="H1007" s="324" t="n"/>
      <c r="I1007" s="320" t="n"/>
      <c r="J1007" s="325">
        <f>IF(COUNTA(A1007:F1007)=0,"",IF(OR(C1007&lt;0,D1007&lt;0,E1007&lt;0,F1007&lt;0),"ERRO: valor negativo",IF(C1007&lt;&gt;SUM(D1007:F1007),"ERRO: categorias diferem dos respondentes",IF(COUNTIFS($A$5:$A$1200,A1007,$B$5:$B$1200,B1007)&gt;1,"ERRO: período e curso duplicados","OK"))))</f>
        <v/>
      </c>
    </row>
    <row r="1008" ht="15" customHeight="1" s="131">
      <c r="A1008" s="320" t="n"/>
      <c r="B1008" s="323" t="n"/>
      <c r="C1008" s="320" t="n"/>
      <c r="D1008" s="320" t="n"/>
      <c r="E1008" s="320" t="n"/>
      <c r="F1008" s="320" t="n"/>
      <c r="G1008" s="284">
        <f>IFERROR((D1008-F1008)/C1008*100,"")</f>
        <v/>
      </c>
      <c r="H1008" s="324" t="n"/>
      <c r="I1008" s="320" t="n"/>
      <c r="J1008" s="325">
        <f>IF(COUNTA(A1008:F1008)=0,"",IF(OR(C1008&lt;0,D1008&lt;0,E1008&lt;0,F1008&lt;0),"ERRO: valor negativo",IF(C1008&lt;&gt;SUM(D1008:F1008),"ERRO: categorias diferem dos respondentes",IF(COUNTIFS($A$5:$A$1200,A1008,$B$5:$B$1200,B1008)&gt;1,"ERRO: período e curso duplicados","OK"))))</f>
        <v/>
      </c>
    </row>
    <row r="1009" ht="15" customHeight="1" s="131">
      <c r="A1009" s="320" t="n"/>
      <c r="B1009" s="323" t="n"/>
      <c r="C1009" s="320" t="n"/>
      <c r="D1009" s="320" t="n"/>
      <c r="E1009" s="320" t="n"/>
      <c r="F1009" s="320" t="n"/>
      <c r="G1009" s="284">
        <f>IFERROR((D1009-F1009)/C1009*100,"")</f>
        <v/>
      </c>
      <c r="H1009" s="324" t="n"/>
      <c r="I1009" s="320" t="n"/>
      <c r="J1009" s="325">
        <f>IF(COUNTA(A1009:F1009)=0,"",IF(OR(C1009&lt;0,D1009&lt;0,E1009&lt;0,F1009&lt;0),"ERRO: valor negativo",IF(C1009&lt;&gt;SUM(D1009:F1009),"ERRO: categorias diferem dos respondentes",IF(COUNTIFS($A$5:$A$1200,A1009,$B$5:$B$1200,B1009)&gt;1,"ERRO: período e curso duplicados","OK"))))</f>
        <v/>
      </c>
    </row>
    <row r="1010" ht="15" customHeight="1" s="131">
      <c r="A1010" s="320" t="n"/>
      <c r="B1010" s="323" t="n"/>
      <c r="C1010" s="320" t="n"/>
      <c r="D1010" s="320" t="n"/>
      <c r="E1010" s="320" t="n"/>
      <c r="F1010" s="320" t="n"/>
      <c r="G1010" s="284">
        <f>IFERROR((D1010-F1010)/C1010*100,"")</f>
        <v/>
      </c>
      <c r="H1010" s="324" t="n"/>
      <c r="I1010" s="320" t="n"/>
      <c r="J1010" s="325">
        <f>IF(COUNTA(A1010:F1010)=0,"",IF(OR(C1010&lt;0,D1010&lt;0,E1010&lt;0,F1010&lt;0),"ERRO: valor negativo",IF(C1010&lt;&gt;SUM(D1010:F1010),"ERRO: categorias diferem dos respondentes",IF(COUNTIFS($A$5:$A$1200,A1010,$B$5:$B$1200,B1010)&gt;1,"ERRO: período e curso duplicados","OK"))))</f>
        <v/>
      </c>
    </row>
    <row r="1011" ht="15" customHeight="1" s="131">
      <c r="A1011" s="320" t="n"/>
      <c r="B1011" s="323" t="n"/>
      <c r="C1011" s="320" t="n"/>
      <c r="D1011" s="320" t="n"/>
      <c r="E1011" s="320" t="n"/>
      <c r="F1011" s="320" t="n"/>
      <c r="G1011" s="284">
        <f>IFERROR((D1011-F1011)/C1011*100,"")</f>
        <v/>
      </c>
      <c r="H1011" s="324" t="n"/>
      <c r="I1011" s="320" t="n"/>
      <c r="J1011" s="325">
        <f>IF(COUNTA(A1011:F1011)=0,"",IF(OR(C1011&lt;0,D1011&lt;0,E1011&lt;0,F1011&lt;0),"ERRO: valor negativo",IF(C1011&lt;&gt;SUM(D1011:F1011),"ERRO: categorias diferem dos respondentes",IF(COUNTIFS($A$5:$A$1200,A1011,$B$5:$B$1200,B1011)&gt;1,"ERRO: período e curso duplicados","OK"))))</f>
        <v/>
      </c>
    </row>
    <row r="1012" ht="15" customHeight="1" s="131">
      <c r="A1012" s="320" t="n"/>
      <c r="B1012" s="323" t="n"/>
      <c r="C1012" s="320" t="n"/>
      <c r="D1012" s="320" t="n"/>
      <c r="E1012" s="320" t="n"/>
      <c r="F1012" s="320" t="n"/>
      <c r="G1012" s="284">
        <f>IFERROR((D1012-F1012)/C1012*100,"")</f>
        <v/>
      </c>
      <c r="H1012" s="324" t="n"/>
      <c r="I1012" s="320" t="n"/>
      <c r="J1012" s="325">
        <f>IF(COUNTA(A1012:F1012)=0,"",IF(OR(C1012&lt;0,D1012&lt;0,E1012&lt;0,F1012&lt;0),"ERRO: valor negativo",IF(C1012&lt;&gt;SUM(D1012:F1012),"ERRO: categorias diferem dos respondentes",IF(COUNTIFS($A$5:$A$1200,A1012,$B$5:$B$1200,B1012)&gt;1,"ERRO: período e curso duplicados","OK"))))</f>
        <v/>
      </c>
    </row>
    <row r="1013" ht="15" customHeight="1" s="131">
      <c r="A1013" s="320" t="n"/>
      <c r="B1013" s="323" t="n"/>
      <c r="C1013" s="320" t="n"/>
      <c r="D1013" s="320" t="n"/>
      <c r="E1013" s="320" t="n"/>
      <c r="F1013" s="320" t="n"/>
      <c r="G1013" s="284">
        <f>IFERROR((D1013-F1013)/C1013*100,"")</f>
        <v/>
      </c>
      <c r="H1013" s="324" t="n"/>
      <c r="I1013" s="320" t="n"/>
      <c r="J1013" s="325">
        <f>IF(COUNTA(A1013:F1013)=0,"",IF(OR(C1013&lt;0,D1013&lt;0,E1013&lt;0,F1013&lt;0),"ERRO: valor negativo",IF(C1013&lt;&gt;SUM(D1013:F1013),"ERRO: categorias diferem dos respondentes",IF(COUNTIFS($A$5:$A$1200,A1013,$B$5:$B$1200,B1013)&gt;1,"ERRO: período e curso duplicados","OK"))))</f>
        <v/>
      </c>
    </row>
    <row r="1014" ht="15" customHeight="1" s="131">
      <c r="A1014" s="320" t="n"/>
      <c r="B1014" s="323" t="n"/>
      <c r="C1014" s="320" t="n"/>
      <c r="D1014" s="320" t="n"/>
      <c r="E1014" s="320" t="n"/>
      <c r="F1014" s="320" t="n"/>
      <c r="G1014" s="284">
        <f>IFERROR((D1014-F1014)/C1014*100,"")</f>
        <v/>
      </c>
      <c r="H1014" s="324" t="n"/>
      <c r="I1014" s="320" t="n"/>
      <c r="J1014" s="325">
        <f>IF(COUNTA(A1014:F1014)=0,"",IF(OR(C1014&lt;0,D1014&lt;0,E1014&lt;0,F1014&lt;0),"ERRO: valor negativo",IF(C1014&lt;&gt;SUM(D1014:F1014),"ERRO: categorias diferem dos respondentes",IF(COUNTIFS($A$5:$A$1200,A1014,$B$5:$B$1200,B1014)&gt;1,"ERRO: período e curso duplicados","OK"))))</f>
        <v/>
      </c>
    </row>
    <row r="1015" ht="15" customHeight="1" s="131">
      <c r="A1015" s="320" t="n"/>
      <c r="B1015" s="323" t="n"/>
      <c r="C1015" s="320" t="n"/>
      <c r="D1015" s="320" t="n"/>
      <c r="E1015" s="320" t="n"/>
      <c r="F1015" s="320" t="n"/>
      <c r="G1015" s="284">
        <f>IFERROR((D1015-F1015)/C1015*100,"")</f>
        <v/>
      </c>
      <c r="H1015" s="324" t="n"/>
      <c r="I1015" s="320" t="n"/>
      <c r="J1015" s="325">
        <f>IF(COUNTA(A1015:F1015)=0,"",IF(OR(C1015&lt;0,D1015&lt;0,E1015&lt;0,F1015&lt;0),"ERRO: valor negativo",IF(C1015&lt;&gt;SUM(D1015:F1015),"ERRO: categorias diferem dos respondentes",IF(COUNTIFS($A$5:$A$1200,A1015,$B$5:$B$1200,B1015)&gt;1,"ERRO: período e curso duplicados","OK"))))</f>
        <v/>
      </c>
    </row>
    <row r="1016" ht="15" customHeight="1" s="131">
      <c r="A1016" s="320" t="n"/>
      <c r="B1016" s="323" t="n"/>
      <c r="C1016" s="320" t="n"/>
      <c r="D1016" s="320" t="n"/>
      <c r="E1016" s="320" t="n"/>
      <c r="F1016" s="320" t="n"/>
      <c r="G1016" s="284">
        <f>IFERROR((D1016-F1016)/C1016*100,"")</f>
        <v/>
      </c>
      <c r="H1016" s="324" t="n"/>
      <c r="I1016" s="320" t="n"/>
      <c r="J1016" s="325">
        <f>IF(COUNTA(A1016:F1016)=0,"",IF(OR(C1016&lt;0,D1016&lt;0,E1016&lt;0,F1016&lt;0),"ERRO: valor negativo",IF(C1016&lt;&gt;SUM(D1016:F1016),"ERRO: categorias diferem dos respondentes",IF(COUNTIFS($A$5:$A$1200,A1016,$B$5:$B$1200,B1016)&gt;1,"ERRO: período e curso duplicados","OK"))))</f>
        <v/>
      </c>
    </row>
    <row r="1017" ht="15" customHeight="1" s="131">
      <c r="A1017" s="320" t="n"/>
      <c r="B1017" s="323" t="n"/>
      <c r="C1017" s="320" t="n"/>
      <c r="D1017" s="320" t="n"/>
      <c r="E1017" s="320" t="n"/>
      <c r="F1017" s="320" t="n"/>
      <c r="G1017" s="284">
        <f>IFERROR((D1017-F1017)/C1017*100,"")</f>
        <v/>
      </c>
      <c r="H1017" s="324" t="n"/>
      <c r="I1017" s="320" t="n"/>
      <c r="J1017" s="325">
        <f>IF(COUNTA(A1017:F1017)=0,"",IF(OR(C1017&lt;0,D1017&lt;0,E1017&lt;0,F1017&lt;0),"ERRO: valor negativo",IF(C1017&lt;&gt;SUM(D1017:F1017),"ERRO: categorias diferem dos respondentes",IF(COUNTIFS($A$5:$A$1200,A1017,$B$5:$B$1200,B1017)&gt;1,"ERRO: período e curso duplicados","OK"))))</f>
        <v/>
      </c>
    </row>
    <row r="1018" ht="15" customHeight="1" s="131">
      <c r="A1018" s="320" t="n"/>
      <c r="B1018" s="323" t="n"/>
      <c r="C1018" s="320" t="n"/>
      <c r="D1018" s="320" t="n"/>
      <c r="E1018" s="320" t="n"/>
      <c r="F1018" s="320" t="n"/>
      <c r="G1018" s="284">
        <f>IFERROR((D1018-F1018)/C1018*100,"")</f>
        <v/>
      </c>
      <c r="H1018" s="324" t="n"/>
      <c r="I1018" s="320" t="n"/>
      <c r="J1018" s="325">
        <f>IF(COUNTA(A1018:F1018)=0,"",IF(OR(C1018&lt;0,D1018&lt;0,E1018&lt;0,F1018&lt;0),"ERRO: valor negativo",IF(C1018&lt;&gt;SUM(D1018:F1018),"ERRO: categorias diferem dos respondentes",IF(COUNTIFS($A$5:$A$1200,A1018,$B$5:$B$1200,B1018)&gt;1,"ERRO: período e curso duplicados","OK"))))</f>
        <v/>
      </c>
    </row>
    <row r="1019" ht="15" customHeight="1" s="131">
      <c r="A1019" s="320" t="n"/>
      <c r="B1019" s="323" t="n"/>
      <c r="C1019" s="320" t="n"/>
      <c r="D1019" s="320" t="n"/>
      <c r="E1019" s="320" t="n"/>
      <c r="F1019" s="320" t="n"/>
      <c r="G1019" s="284">
        <f>IFERROR((D1019-F1019)/C1019*100,"")</f>
        <v/>
      </c>
      <c r="H1019" s="324" t="n"/>
      <c r="I1019" s="320" t="n"/>
      <c r="J1019" s="325">
        <f>IF(COUNTA(A1019:F1019)=0,"",IF(OR(C1019&lt;0,D1019&lt;0,E1019&lt;0,F1019&lt;0),"ERRO: valor negativo",IF(C1019&lt;&gt;SUM(D1019:F1019),"ERRO: categorias diferem dos respondentes",IF(COUNTIFS($A$5:$A$1200,A1019,$B$5:$B$1200,B1019)&gt;1,"ERRO: período e curso duplicados","OK"))))</f>
        <v/>
      </c>
    </row>
    <row r="1020" ht="15" customHeight="1" s="131">
      <c r="A1020" s="320" t="n"/>
      <c r="B1020" s="323" t="n"/>
      <c r="C1020" s="320" t="n"/>
      <c r="D1020" s="320" t="n"/>
      <c r="E1020" s="320" t="n"/>
      <c r="F1020" s="320" t="n"/>
      <c r="G1020" s="284">
        <f>IFERROR((D1020-F1020)/C1020*100,"")</f>
        <v/>
      </c>
      <c r="H1020" s="324" t="n"/>
      <c r="I1020" s="320" t="n"/>
      <c r="J1020" s="325">
        <f>IF(COUNTA(A1020:F1020)=0,"",IF(OR(C1020&lt;0,D1020&lt;0,E1020&lt;0,F1020&lt;0),"ERRO: valor negativo",IF(C1020&lt;&gt;SUM(D1020:F1020),"ERRO: categorias diferem dos respondentes",IF(COUNTIFS($A$5:$A$1200,A1020,$B$5:$B$1200,B1020)&gt;1,"ERRO: período e curso duplicados","OK"))))</f>
        <v/>
      </c>
    </row>
    <row r="1021" ht="15" customHeight="1" s="131">
      <c r="A1021" s="320" t="n"/>
      <c r="B1021" s="323" t="n"/>
      <c r="C1021" s="320" t="n"/>
      <c r="D1021" s="320" t="n"/>
      <c r="E1021" s="320" t="n"/>
      <c r="F1021" s="320" t="n"/>
      <c r="G1021" s="284">
        <f>IFERROR((D1021-F1021)/C1021*100,"")</f>
        <v/>
      </c>
      <c r="H1021" s="324" t="n"/>
      <c r="I1021" s="320" t="n"/>
      <c r="J1021" s="325">
        <f>IF(COUNTA(A1021:F1021)=0,"",IF(OR(C1021&lt;0,D1021&lt;0,E1021&lt;0,F1021&lt;0),"ERRO: valor negativo",IF(C1021&lt;&gt;SUM(D1021:F1021),"ERRO: categorias diferem dos respondentes",IF(COUNTIFS($A$5:$A$1200,A1021,$B$5:$B$1200,B1021)&gt;1,"ERRO: período e curso duplicados","OK"))))</f>
        <v/>
      </c>
    </row>
    <row r="1022" ht="15" customHeight="1" s="131">
      <c r="A1022" s="320" t="n"/>
      <c r="B1022" s="323" t="n"/>
      <c r="C1022" s="320" t="n"/>
      <c r="D1022" s="320" t="n"/>
      <c r="E1022" s="320" t="n"/>
      <c r="F1022" s="320" t="n"/>
      <c r="G1022" s="284">
        <f>IFERROR((D1022-F1022)/C1022*100,"")</f>
        <v/>
      </c>
      <c r="H1022" s="324" t="n"/>
      <c r="I1022" s="320" t="n"/>
      <c r="J1022" s="325">
        <f>IF(COUNTA(A1022:F1022)=0,"",IF(OR(C1022&lt;0,D1022&lt;0,E1022&lt;0,F1022&lt;0),"ERRO: valor negativo",IF(C1022&lt;&gt;SUM(D1022:F1022),"ERRO: categorias diferem dos respondentes",IF(COUNTIFS($A$5:$A$1200,A1022,$B$5:$B$1200,B1022)&gt;1,"ERRO: período e curso duplicados","OK"))))</f>
        <v/>
      </c>
    </row>
    <row r="1023" ht="15" customHeight="1" s="131">
      <c r="A1023" s="320" t="n"/>
      <c r="B1023" s="323" t="n"/>
      <c r="C1023" s="320" t="n"/>
      <c r="D1023" s="320" t="n"/>
      <c r="E1023" s="320" t="n"/>
      <c r="F1023" s="320" t="n"/>
      <c r="G1023" s="284">
        <f>IFERROR((D1023-F1023)/C1023*100,"")</f>
        <v/>
      </c>
      <c r="H1023" s="324" t="n"/>
      <c r="I1023" s="320" t="n"/>
      <c r="J1023" s="325">
        <f>IF(COUNTA(A1023:F1023)=0,"",IF(OR(C1023&lt;0,D1023&lt;0,E1023&lt;0,F1023&lt;0),"ERRO: valor negativo",IF(C1023&lt;&gt;SUM(D1023:F1023),"ERRO: categorias diferem dos respondentes",IF(COUNTIFS($A$5:$A$1200,A1023,$B$5:$B$1200,B1023)&gt;1,"ERRO: período e curso duplicados","OK"))))</f>
        <v/>
      </c>
    </row>
    <row r="1024" ht="15" customHeight="1" s="131">
      <c r="A1024" s="320" t="n"/>
      <c r="B1024" s="323" t="n"/>
      <c r="C1024" s="320" t="n"/>
      <c r="D1024" s="320" t="n"/>
      <c r="E1024" s="320" t="n"/>
      <c r="F1024" s="320" t="n"/>
      <c r="G1024" s="284">
        <f>IFERROR((D1024-F1024)/C1024*100,"")</f>
        <v/>
      </c>
      <c r="H1024" s="324" t="n"/>
      <c r="I1024" s="320" t="n"/>
      <c r="J1024" s="325">
        <f>IF(COUNTA(A1024:F1024)=0,"",IF(OR(C1024&lt;0,D1024&lt;0,E1024&lt;0,F1024&lt;0),"ERRO: valor negativo",IF(C1024&lt;&gt;SUM(D1024:F1024),"ERRO: categorias diferem dos respondentes",IF(COUNTIFS($A$5:$A$1200,A1024,$B$5:$B$1200,B1024)&gt;1,"ERRO: período e curso duplicados","OK"))))</f>
        <v/>
      </c>
    </row>
    <row r="1025" ht="15" customHeight="1" s="131">
      <c r="A1025" s="320" t="n"/>
      <c r="B1025" s="323" t="n"/>
      <c r="C1025" s="320" t="n"/>
      <c r="D1025" s="320" t="n"/>
      <c r="E1025" s="320" t="n"/>
      <c r="F1025" s="320" t="n"/>
      <c r="G1025" s="284">
        <f>IFERROR((D1025-F1025)/C1025*100,"")</f>
        <v/>
      </c>
      <c r="H1025" s="324" t="n"/>
      <c r="I1025" s="320" t="n"/>
      <c r="J1025" s="325">
        <f>IF(COUNTA(A1025:F1025)=0,"",IF(OR(C1025&lt;0,D1025&lt;0,E1025&lt;0,F1025&lt;0),"ERRO: valor negativo",IF(C1025&lt;&gt;SUM(D1025:F1025),"ERRO: categorias diferem dos respondentes",IF(COUNTIFS($A$5:$A$1200,A1025,$B$5:$B$1200,B1025)&gt;1,"ERRO: período e curso duplicados","OK"))))</f>
        <v/>
      </c>
    </row>
    <row r="1026" ht="15" customHeight="1" s="131">
      <c r="A1026" s="320" t="n"/>
      <c r="B1026" s="323" t="n"/>
      <c r="C1026" s="320" t="n"/>
      <c r="D1026" s="320" t="n"/>
      <c r="E1026" s="320" t="n"/>
      <c r="F1026" s="320" t="n"/>
      <c r="G1026" s="284">
        <f>IFERROR((D1026-F1026)/C1026*100,"")</f>
        <v/>
      </c>
      <c r="H1026" s="324" t="n"/>
      <c r="I1026" s="320" t="n"/>
      <c r="J1026" s="325">
        <f>IF(COUNTA(A1026:F1026)=0,"",IF(OR(C1026&lt;0,D1026&lt;0,E1026&lt;0,F1026&lt;0),"ERRO: valor negativo",IF(C1026&lt;&gt;SUM(D1026:F1026),"ERRO: categorias diferem dos respondentes",IF(COUNTIFS($A$5:$A$1200,A1026,$B$5:$B$1200,B1026)&gt;1,"ERRO: período e curso duplicados","OK"))))</f>
        <v/>
      </c>
    </row>
    <row r="1027" ht="15" customHeight="1" s="131">
      <c r="A1027" s="320" t="n"/>
      <c r="B1027" s="323" t="n"/>
      <c r="C1027" s="320" t="n"/>
      <c r="D1027" s="320" t="n"/>
      <c r="E1027" s="320" t="n"/>
      <c r="F1027" s="320" t="n"/>
      <c r="G1027" s="284">
        <f>IFERROR((D1027-F1027)/C1027*100,"")</f>
        <v/>
      </c>
      <c r="H1027" s="324" t="n"/>
      <c r="I1027" s="320" t="n"/>
      <c r="J1027" s="325">
        <f>IF(COUNTA(A1027:F1027)=0,"",IF(OR(C1027&lt;0,D1027&lt;0,E1027&lt;0,F1027&lt;0),"ERRO: valor negativo",IF(C1027&lt;&gt;SUM(D1027:F1027),"ERRO: categorias diferem dos respondentes",IF(COUNTIFS($A$5:$A$1200,A1027,$B$5:$B$1200,B1027)&gt;1,"ERRO: período e curso duplicados","OK"))))</f>
        <v/>
      </c>
    </row>
    <row r="1028" ht="15" customHeight="1" s="131">
      <c r="A1028" s="320" t="n"/>
      <c r="B1028" s="323" t="n"/>
      <c r="C1028" s="320" t="n"/>
      <c r="D1028" s="320" t="n"/>
      <c r="E1028" s="320" t="n"/>
      <c r="F1028" s="320" t="n"/>
      <c r="G1028" s="284">
        <f>IFERROR((D1028-F1028)/C1028*100,"")</f>
        <v/>
      </c>
      <c r="H1028" s="324" t="n"/>
      <c r="I1028" s="320" t="n"/>
      <c r="J1028" s="325">
        <f>IF(COUNTA(A1028:F1028)=0,"",IF(OR(C1028&lt;0,D1028&lt;0,E1028&lt;0,F1028&lt;0),"ERRO: valor negativo",IF(C1028&lt;&gt;SUM(D1028:F1028),"ERRO: categorias diferem dos respondentes",IF(COUNTIFS($A$5:$A$1200,A1028,$B$5:$B$1200,B1028)&gt;1,"ERRO: período e curso duplicados","OK"))))</f>
        <v/>
      </c>
    </row>
    <row r="1029" ht="15" customHeight="1" s="131">
      <c r="A1029" s="320" t="n"/>
      <c r="B1029" s="323" t="n"/>
      <c r="C1029" s="320" t="n"/>
      <c r="D1029" s="320" t="n"/>
      <c r="E1029" s="320" t="n"/>
      <c r="F1029" s="320" t="n"/>
      <c r="G1029" s="284">
        <f>IFERROR((D1029-F1029)/C1029*100,"")</f>
        <v/>
      </c>
      <c r="H1029" s="324" t="n"/>
      <c r="I1029" s="320" t="n"/>
      <c r="J1029" s="325">
        <f>IF(COUNTA(A1029:F1029)=0,"",IF(OR(C1029&lt;0,D1029&lt;0,E1029&lt;0,F1029&lt;0),"ERRO: valor negativo",IF(C1029&lt;&gt;SUM(D1029:F1029),"ERRO: categorias diferem dos respondentes",IF(COUNTIFS($A$5:$A$1200,A1029,$B$5:$B$1200,B1029)&gt;1,"ERRO: período e curso duplicados","OK"))))</f>
        <v/>
      </c>
    </row>
    <row r="1030" ht="15" customHeight="1" s="131">
      <c r="A1030" s="320" t="n"/>
      <c r="B1030" s="323" t="n"/>
      <c r="C1030" s="320" t="n"/>
      <c r="D1030" s="320" t="n"/>
      <c r="E1030" s="320" t="n"/>
      <c r="F1030" s="320" t="n"/>
      <c r="G1030" s="284">
        <f>IFERROR((D1030-F1030)/C1030*100,"")</f>
        <v/>
      </c>
      <c r="H1030" s="324" t="n"/>
      <c r="I1030" s="320" t="n"/>
      <c r="J1030" s="325">
        <f>IF(COUNTA(A1030:F1030)=0,"",IF(OR(C1030&lt;0,D1030&lt;0,E1030&lt;0,F1030&lt;0),"ERRO: valor negativo",IF(C1030&lt;&gt;SUM(D1030:F1030),"ERRO: categorias diferem dos respondentes",IF(COUNTIFS($A$5:$A$1200,A1030,$B$5:$B$1200,B1030)&gt;1,"ERRO: período e curso duplicados","OK"))))</f>
        <v/>
      </c>
    </row>
    <row r="1031" ht="15" customHeight="1" s="131">
      <c r="A1031" s="320" t="n"/>
      <c r="B1031" s="323" t="n"/>
      <c r="C1031" s="320" t="n"/>
      <c r="D1031" s="320" t="n"/>
      <c r="E1031" s="320" t="n"/>
      <c r="F1031" s="320" t="n"/>
      <c r="G1031" s="284">
        <f>IFERROR((D1031-F1031)/C1031*100,"")</f>
        <v/>
      </c>
      <c r="H1031" s="324" t="n"/>
      <c r="I1031" s="320" t="n"/>
      <c r="J1031" s="325">
        <f>IF(COUNTA(A1031:F1031)=0,"",IF(OR(C1031&lt;0,D1031&lt;0,E1031&lt;0,F1031&lt;0),"ERRO: valor negativo",IF(C1031&lt;&gt;SUM(D1031:F1031),"ERRO: categorias diferem dos respondentes",IF(COUNTIFS($A$5:$A$1200,A1031,$B$5:$B$1200,B1031)&gt;1,"ERRO: período e curso duplicados","OK"))))</f>
        <v/>
      </c>
    </row>
    <row r="1032" ht="15" customHeight="1" s="131">
      <c r="A1032" s="320" t="n"/>
      <c r="B1032" s="323" t="n"/>
      <c r="C1032" s="320" t="n"/>
      <c r="D1032" s="320" t="n"/>
      <c r="E1032" s="320" t="n"/>
      <c r="F1032" s="320" t="n"/>
      <c r="G1032" s="284">
        <f>IFERROR((D1032-F1032)/C1032*100,"")</f>
        <v/>
      </c>
      <c r="H1032" s="324" t="n"/>
      <c r="I1032" s="320" t="n"/>
      <c r="J1032" s="325">
        <f>IF(COUNTA(A1032:F1032)=0,"",IF(OR(C1032&lt;0,D1032&lt;0,E1032&lt;0,F1032&lt;0),"ERRO: valor negativo",IF(C1032&lt;&gt;SUM(D1032:F1032),"ERRO: categorias diferem dos respondentes",IF(COUNTIFS($A$5:$A$1200,A1032,$B$5:$B$1200,B1032)&gt;1,"ERRO: período e curso duplicados","OK"))))</f>
        <v/>
      </c>
    </row>
    <row r="1033" ht="15" customHeight="1" s="131">
      <c r="A1033" s="320" t="n"/>
      <c r="B1033" s="323" t="n"/>
      <c r="C1033" s="320" t="n"/>
      <c r="D1033" s="320" t="n"/>
      <c r="E1033" s="320" t="n"/>
      <c r="F1033" s="320" t="n"/>
      <c r="G1033" s="284">
        <f>IFERROR((D1033-F1033)/C1033*100,"")</f>
        <v/>
      </c>
      <c r="H1033" s="324" t="n"/>
      <c r="I1033" s="320" t="n"/>
      <c r="J1033" s="325">
        <f>IF(COUNTA(A1033:F1033)=0,"",IF(OR(C1033&lt;0,D1033&lt;0,E1033&lt;0,F1033&lt;0),"ERRO: valor negativo",IF(C1033&lt;&gt;SUM(D1033:F1033),"ERRO: categorias diferem dos respondentes",IF(COUNTIFS($A$5:$A$1200,A1033,$B$5:$B$1200,B1033)&gt;1,"ERRO: período e curso duplicados","OK"))))</f>
        <v/>
      </c>
    </row>
    <row r="1034" ht="15" customHeight="1" s="131">
      <c r="A1034" s="320" t="n"/>
      <c r="B1034" s="323" t="n"/>
      <c r="C1034" s="320" t="n"/>
      <c r="D1034" s="320" t="n"/>
      <c r="E1034" s="320" t="n"/>
      <c r="F1034" s="320" t="n"/>
      <c r="G1034" s="284">
        <f>IFERROR((D1034-F1034)/C1034*100,"")</f>
        <v/>
      </c>
      <c r="H1034" s="324" t="n"/>
      <c r="I1034" s="320" t="n"/>
      <c r="J1034" s="325">
        <f>IF(COUNTA(A1034:F1034)=0,"",IF(OR(C1034&lt;0,D1034&lt;0,E1034&lt;0,F1034&lt;0),"ERRO: valor negativo",IF(C1034&lt;&gt;SUM(D1034:F1034),"ERRO: categorias diferem dos respondentes",IF(COUNTIFS($A$5:$A$1200,A1034,$B$5:$B$1200,B1034)&gt;1,"ERRO: período e curso duplicados","OK"))))</f>
        <v/>
      </c>
    </row>
    <row r="1035" ht="15" customHeight="1" s="131">
      <c r="A1035" s="320" t="n"/>
      <c r="B1035" s="323" t="n"/>
      <c r="C1035" s="320" t="n"/>
      <c r="D1035" s="320" t="n"/>
      <c r="E1035" s="320" t="n"/>
      <c r="F1035" s="320" t="n"/>
      <c r="G1035" s="284">
        <f>IFERROR((D1035-F1035)/C1035*100,"")</f>
        <v/>
      </c>
      <c r="H1035" s="324" t="n"/>
      <c r="I1035" s="320" t="n"/>
      <c r="J1035" s="325">
        <f>IF(COUNTA(A1035:F1035)=0,"",IF(OR(C1035&lt;0,D1035&lt;0,E1035&lt;0,F1035&lt;0),"ERRO: valor negativo",IF(C1035&lt;&gt;SUM(D1035:F1035),"ERRO: categorias diferem dos respondentes",IF(COUNTIFS($A$5:$A$1200,A1035,$B$5:$B$1200,B1035)&gt;1,"ERRO: período e curso duplicados","OK"))))</f>
        <v/>
      </c>
    </row>
    <row r="1036" ht="15" customHeight="1" s="131">
      <c r="A1036" s="320" t="n"/>
      <c r="B1036" s="323" t="n"/>
      <c r="C1036" s="320" t="n"/>
      <c r="D1036" s="320" t="n"/>
      <c r="E1036" s="320" t="n"/>
      <c r="F1036" s="320" t="n"/>
      <c r="G1036" s="284">
        <f>IFERROR((D1036-F1036)/C1036*100,"")</f>
        <v/>
      </c>
      <c r="H1036" s="324" t="n"/>
      <c r="I1036" s="320" t="n"/>
      <c r="J1036" s="325">
        <f>IF(COUNTA(A1036:F1036)=0,"",IF(OR(C1036&lt;0,D1036&lt;0,E1036&lt;0,F1036&lt;0),"ERRO: valor negativo",IF(C1036&lt;&gt;SUM(D1036:F1036),"ERRO: categorias diferem dos respondentes",IF(COUNTIFS($A$5:$A$1200,A1036,$B$5:$B$1200,B1036)&gt;1,"ERRO: período e curso duplicados","OK"))))</f>
        <v/>
      </c>
    </row>
    <row r="1037" ht="15" customHeight="1" s="131">
      <c r="A1037" s="320" t="n"/>
      <c r="B1037" s="323" t="n"/>
      <c r="C1037" s="320" t="n"/>
      <c r="D1037" s="320" t="n"/>
      <c r="E1037" s="320" t="n"/>
      <c r="F1037" s="320" t="n"/>
      <c r="G1037" s="284">
        <f>IFERROR((D1037-F1037)/C1037*100,"")</f>
        <v/>
      </c>
      <c r="H1037" s="324" t="n"/>
      <c r="I1037" s="320" t="n"/>
      <c r="J1037" s="325">
        <f>IF(COUNTA(A1037:F1037)=0,"",IF(OR(C1037&lt;0,D1037&lt;0,E1037&lt;0,F1037&lt;0),"ERRO: valor negativo",IF(C1037&lt;&gt;SUM(D1037:F1037),"ERRO: categorias diferem dos respondentes",IF(COUNTIFS($A$5:$A$1200,A1037,$B$5:$B$1200,B1037)&gt;1,"ERRO: período e curso duplicados","OK"))))</f>
        <v/>
      </c>
    </row>
    <row r="1038" ht="15" customHeight="1" s="131">
      <c r="A1038" s="320" t="n"/>
      <c r="B1038" s="323" t="n"/>
      <c r="C1038" s="320" t="n"/>
      <c r="D1038" s="320" t="n"/>
      <c r="E1038" s="320" t="n"/>
      <c r="F1038" s="320" t="n"/>
      <c r="G1038" s="284">
        <f>IFERROR((D1038-F1038)/C1038*100,"")</f>
        <v/>
      </c>
      <c r="H1038" s="324" t="n"/>
      <c r="I1038" s="320" t="n"/>
      <c r="J1038" s="325">
        <f>IF(COUNTA(A1038:F1038)=0,"",IF(OR(C1038&lt;0,D1038&lt;0,E1038&lt;0,F1038&lt;0),"ERRO: valor negativo",IF(C1038&lt;&gt;SUM(D1038:F1038),"ERRO: categorias diferem dos respondentes",IF(COUNTIFS($A$5:$A$1200,A1038,$B$5:$B$1200,B1038)&gt;1,"ERRO: período e curso duplicados","OK"))))</f>
        <v/>
      </c>
    </row>
    <row r="1039" ht="15" customHeight="1" s="131">
      <c r="A1039" s="320" t="n"/>
      <c r="B1039" s="323" t="n"/>
      <c r="C1039" s="320" t="n"/>
      <c r="D1039" s="320" t="n"/>
      <c r="E1039" s="320" t="n"/>
      <c r="F1039" s="320" t="n"/>
      <c r="G1039" s="284">
        <f>IFERROR((D1039-F1039)/C1039*100,"")</f>
        <v/>
      </c>
      <c r="H1039" s="324" t="n"/>
      <c r="I1039" s="320" t="n"/>
      <c r="J1039" s="325">
        <f>IF(COUNTA(A1039:F1039)=0,"",IF(OR(C1039&lt;0,D1039&lt;0,E1039&lt;0,F1039&lt;0),"ERRO: valor negativo",IF(C1039&lt;&gt;SUM(D1039:F1039),"ERRO: categorias diferem dos respondentes",IF(COUNTIFS($A$5:$A$1200,A1039,$B$5:$B$1200,B1039)&gt;1,"ERRO: período e curso duplicados","OK"))))</f>
        <v/>
      </c>
    </row>
    <row r="1040" ht="15" customHeight="1" s="131">
      <c r="A1040" s="320" t="n"/>
      <c r="B1040" s="323" t="n"/>
      <c r="C1040" s="320" t="n"/>
      <c r="D1040" s="320" t="n"/>
      <c r="E1040" s="320" t="n"/>
      <c r="F1040" s="320" t="n"/>
      <c r="G1040" s="284">
        <f>IFERROR((D1040-F1040)/C1040*100,"")</f>
        <v/>
      </c>
      <c r="H1040" s="324" t="n"/>
      <c r="I1040" s="320" t="n"/>
      <c r="J1040" s="325">
        <f>IF(COUNTA(A1040:F1040)=0,"",IF(OR(C1040&lt;0,D1040&lt;0,E1040&lt;0,F1040&lt;0),"ERRO: valor negativo",IF(C1040&lt;&gt;SUM(D1040:F1040),"ERRO: categorias diferem dos respondentes",IF(COUNTIFS($A$5:$A$1200,A1040,$B$5:$B$1200,B1040)&gt;1,"ERRO: período e curso duplicados","OK"))))</f>
        <v/>
      </c>
    </row>
    <row r="1041" ht="15" customHeight="1" s="131">
      <c r="A1041" s="320" t="n"/>
      <c r="B1041" s="323" t="n"/>
      <c r="C1041" s="320" t="n"/>
      <c r="D1041" s="320" t="n"/>
      <c r="E1041" s="320" t="n"/>
      <c r="F1041" s="320" t="n"/>
      <c r="G1041" s="284">
        <f>IFERROR((D1041-F1041)/C1041*100,"")</f>
        <v/>
      </c>
      <c r="H1041" s="324" t="n"/>
      <c r="I1041" s="320" t="n"/>
      <c r="J1041" s="325">
        <f>IF(COUNTA(A1041:F1041)=0,"",IF(OR(C1041&lt;0,D1041&lt;0,E1041&lt;0,F1041&lt;0),"ERRO: valor negativo",IF(C1041&lt;&gt;SUM(D1041:F1041),"ERRO: categorias diferem dos respondentes",IF(COUNTIFS($A$5:$A$1200,A1041,$B$5:$B$1200,B1041)&gt;1,"ERRO: período e curso duplicados","OK"))))</f>
        <v/>
      </c>
    </row>
    <row r="1042" ht="15" customHeight="1" s="131">
      <c r="A1042" s="320" t="n"/>
      <c r="B1042" s="323" t="n"/>
      <c r="C1042" s="320" t="n"/>
      <c r="D1042" s="320" t="n"/>
      <c r="E1042" s="320" t="n"/>
      <c r="F1042" s="320" t="n"/>
      <c r="G1042" s="284">
        <f>IFERROR((D1042-F1042)/C1042*100,"")</f>
        <v/>
      </c>
      <c r="H1042" s="324" t="n"/>
      <c r="I1042" s="320" t="n"/>
      <c r="J1042" s="325">
        <f>IF(COUNTA(A1042:F1042)=0,"",IF(OR(C1042&lt;0,D1042&lt;0,E1042&lt;0,F1042&lt;0),"ERRO: valor negativo",IF(C1042&lt;&gt;SUM(D1042:F1042),"ERRO: categorias diferem dos respondentes",IF(COUNTIFS($A$5:$A$1200,A1042,$B$5:$B$1200,B1042)&gt;1,"ERRO: período e curso duplicados","OK"))))</f>
        <v/>
      </c>
    </row>
    <row r="1043" ht="15" customHeight="1" s="131">
      <c r="A1043" s="320" t="n"/>
      <c r="B1043" s="323" t="n"/>
      <c r="C1043" s="320" t="n"/>
      <c r="D1043" s="320" t="n"/>
      <c r="E1043" s="320" t="n"/>
      <c r="F1043" s="320" t="n"/>
      <c r="G1043" s="284">
        <f>IFERROR((D1043-F1043)/C1043*100,"")</f>
        <v/>
      </c>
      <c r="H1043" s="324" t="n"/>
      <c r="I1043" s="320" t="n"/>
      <c r="J1043" s="325">
        <f>IF(COUNTA(A1043:F1043)=0,"",IF(OR(C1043&lt;0,D1043&lt;0,E1043&lt;0,F1043&lt;0),"ERRO: valor negativo",IF(C1043&lt;&gt;SUM(D1043:F1043),"ERRO: categorias diferem dos respondentes",IF(COUNTIFS($A$5:$A$1200,A1043,$B$5:$B$1200,B1043)&gt;1,"ERRO: período e curso duplicados","OK"))))</f>
        <v/>
      </c>
    </row>
    <row r="1044" ht="15" customHeight="1" s="131">
      <c r="A1044" s="320" t="n"/>
      <c r="B1044" s="323" t="n"/>
      <c r="C1044" s="320" t="n"/>
      <c r="D1044" s="320" t="n"/>
      <c r="E1044" s="320" t="n"/>
      <c r="F1044" s="320" t="n"/>
      <c r="G1044" s="284">
        <f>IFERROR((D1044-F1044)/C1044*100,"")</f>
        <v/>
      </c>
      <c r="H1044" s="324" t="n"/>
      <c r="I1044" s="320" t="n"/>
      <c r="J1044" s="325">
        <f>IF(COUNTA(A1044:F1044)=0,"",IF(OR(C1044&lt;0,D1044&lt;0,E1044&lt;0,F1044&lt;0),"ERRO: valor negativo",IF(C1044&lt;&gt;SUM(D1044:F1044),"ERRO: categorias diferem dos respondentes",IF(COUNTIFS($A$5:$A$1200,A1044,$B$5:$B$1200,B1044)&gt;1,"ERRO: período e curso duplicados","OK"))))</f>
        <v/>
      </c>
    </row>
    <row r="1045" ht="15" customHeight="1" s="131">
      <c r="A1045" s="320" t="n"/>
      <c r="B1045" s="323" t="n"/>
      <c r="C1045" s="320" t="n"/>
      <c r="D1045" s="320" t="n"/>
      <c r="E1045" s="320" t="n"/>
      <c r="F1045" s="320" t="n"/>
      <c r="G1045" s="284">
        <f>IFERROR((D1045-F1045)/C1045*100,"")</f>
        <v/>
      </c>
      <c r="H1045" s="324" t="n"/>
      <c r="I1045" s="320" t="n"/>
      <c r="J1045" s="325">
        <f>IF(COUNTA(A1045:F1045)=0,"",IF(OR(C1045&lt;0,D1045&lt;0,E1045&lt;0,F1045&lt;0),"ERRO: valor negativo",IF(C1045&lt;&gt;SUM(D1045:F1045),"ERRO: categorias diferem dos respondentes",IF(COUNTIFS($A$5:$A$1200,A1045,$B$5:$B$1200,B1045)&gt;1,"ERRO: período e curso duplicados","OK"))))</f>
        <v/>
      </c>
    </row>
    <row r="1046" ht="15" customHeight="1" s="131">
      <c r="A1046" s="320" t="n"/>
      <c r="B1046" s="323" t="n"/>
      <c r="C1046" s="320" t="n"/>
      <c r="D1046" s="320" t="n"/>
      <c r="E1046" s="320" t="n"/>
      <c r="F1046" s="320" t="n"/>
      <c r="G1046" s="284">
        <f>IFERROR((D1046-F1046)/C1046*100,"")</f>
        <v/>
      </c>
      <c r="H1046" s="324" t="n"/>
      <c r="I1046" s="320" t="n"/>
      <c r="J1046" s="325">
        <f>IF(COUNTA(A1046:F1046)=0,"",IF(OR(C1046&lt;0,D1046&lt;0,E1046&lt;0,F1046&lt;0),"ERRO: valor negativo",IF(C1046&lt;&gt;SUM(D1046:F1046),"ERRO: categorias diferem dos respondentes",IF(COUNTIFS($A$5:$A$1200,A1046,$B$5:$B$1200,B1046)&gt;1,"ERRO: período e curso duplicados","OK"))))</f>
        <v/>
      </c>
    </row>
    <row r="1047" ht="15" customHeight="1" s="131">
      <c r="A1047" s="320" t="n"/>
      <c r="B1047" s="323" t="n"/>
      <c r="C1047" s="320" t="n"/>
      <c r="D1047" s="320" t="n"/>
      <c r="E1047" s="320" t="n"/>
      <c r="F1047" s="320" t="n"/>
      <c r="G1047" s="284">
        <f>IFERROR((D1047-F1047)/C1047*100,"")</f>
        <v/>
      </c>
      <c r="H1047" s="324" t="n"/>
      <c r="I1047" s="320" t="n"/>
      <c r="J1047" s="325">
        <f>IF(COUNTA(A1047:F1047)=0,"",IF(OR(C1047&lt;0,D1047&lt;0,E1047&lt;0,F1047&lt;0),"ERRO: valor negativo",IF(C1047&lt;&gt;SUM(D1047:F1047),"ERRO: categorias diferem dos respondentes",IF(COUNTIFS($A$5:$A$1200,A1047,$B$5:$B$1200,B1047)&gt;1,"ERRO: período e curso duplicados","OK"))))</f>
        <v/>
      </c>
    </row>
    <row r="1048" ht="15" customHeight="1" s="131">
      <c r="A1048" s="320" t="n"/>
      <c r="B1048" s="323" t="n"/>
      <c r="C1048" s="320" t="n"/>
      <c r="D1048" s="320" t="n"/>
      <c r="E1048" s="320" t="n"/>
      <c r="F1048" s="320" t="n"/>
      <c r="G1048" s="284">
        <f>IFERROR((D1048-F1048)/C1048*100,"")</f>
        <v/>
      </c>
      <c r="H1048" s="324" t="n"/>
      <c r="I1048" s="320" t="n"/>
      <c r="J1048" s="325">
        <f>IF(COUNTA(A1048:F1048)=0,"",IF(OR(C1048&lt;0,D1048&lt;0,E1048&lt;0,F1048&lt;0),"ERRO: valor negativo",IF(C1048&lt;&gt;SUM(D1048:F1048),"ERRO: categorias diferem dos respondentes",IF(COUNTIFS($A$5:$A$1200,A1048,$B$5:$B$1200,B1048)&gt;1,"ERRO: período e curso duplicados","OK"))))</f>
        <v/>
      </c>
    </row>
    <row r="1049" ht="15" customHeight="1" s="131">
      <c r="A1049" s="320" t="n"/>
      <c r="B1049" s="323" t="n"/>
      <c r="C1049" s="320" t="n"/>
      <c r="D1049" s="320" t="n"/>
      <c r="E1049" s="320" t="n"/>
      <c r="F1049" s="320" t="n"/>
      <c r="G1049" s="284">
        <f>IFERROR((D1049-F1049)/C1049*100,"")</f>
        <v/>
      </c>
      <c r="H1049" s="324" t="n"/>
      <c r="I1049" s="320" t="n"/>
      <c r="J1049" s="325">
        <f>IF(COUNTA(A1049:F1049)=0,"",IF(OR(C1049&lt;0,D1049&lt;0,E1049&lt;0,F1049&lt;0),"ERRO: valor negativo",IF(C1049&lt;&gt;SUM(D1049:F1049),"ERRO: categorias diferem dos respondentes",IF(COUNTIFS($A$5:$A$1200,A1049,$B$5:$B$1200,B1049)&gt;1,"ERRO: período e curso duplicados","OK"))))</f>
        <v/>
      </c>
    </row>
    <row r="1050" ht="15" customHeight="1" s="131">
      <c r="A1050" s="320" t="n"/>
      <c r="B1050" s="323" t="n"/>
      <c r="C1050" s="320" t="n"/>
      <c r="D1050" s="320" t="n"/>
      <c r="E1050" s="320" t="n"/>
      <c r="F1050" s="320" t="n"/>
      <c r="G1050" s="284">
        <f>IFERROR((D1050-F1050)/C1050*100,"")</f>
        <v/>
      </c>
      <c r="H1050" s="324" t="n"/>
      <c r="I1050" s="320" t="n"/>
      <c r="J1050" s="325">
        <f>IF(COUNTA(A1050:F1050)=0,"",IF(OR(C1050&lt;0,D1050&lt;0,E1050&lt;0,F1050&lt;0),"ERRO: valor negativo",IF(C1050&lt;&gt;SUM(D1050:F1050),"ERRO: categorias diferem dos respondentes",IF(COUNTIFS($A$5:$A$1200,A1050,$B$5:$B$1200,B1050)&gt;1,"ERRO: período e curso duplicados","OK"))))</f>
        <v/>
      </c>
    </row>
    <row r="1051" ht="15" customHeight="1" s="131">
      <c r="A1051" s="320" t="n"/>
      <c r="B1051" s="323" t="n"/>
      <c r="C1051" s="320" t="n"/>
      <c r="D1051" s="320" t="n"/>
      <c r="E1051" s="320" t="n"/>
      <c r="F1051" s="320" t="n"/>
      <c r="G1051" s="284">
        <f>IFERROR((D1051-F1051)/C1051*100,"")</f>
        <v/>
      </c>
      <c r="H1051" s="324" t="n"/>
      <c r="I1051" s="320" t="n"/>
      <c r="J1051" s="325">
        <f>IF(COUNTA(A1051:F1051)=0,"",IF(OR(C1051&lt;0,D1051&lt;0,E1051&lt;0,F1051&lt;0),"ERRO: valor negativo",IF(C1051&lt;&gt;SUM(D1051:F1051),"ERRO: categorias diferem dos respondentes",IF(COUNTIFS($A$5:$A$1200,A1051,$B$5:$B$1200,B1051)&gt;1,"ERRO: período e curso duplicados","OK"))))</f>
        <v/>
      </c>
    </row>
    <row r="1052" ht="15" customHeight="1" s="131">
      <c r="A1052" s="320" t="n"/>
      <c r="B1052" s="323" t="n"/>
      <c r="C1052" s="320" t="n"/>
      <c r="D1052" s="320" t="n"/>
      <c r="E1052" s="320" t="n"/>
      <c r="F1052" s="320" t="n"/>
      <c r="G1052" s="284">
        <f>IFERROR((D1052-F1052)/C1052*100,"")</f>
        <v/>
      </c>
      <c r="H1052" s="324" t="n"/>
      <c r="I1052" s="320" t="n"/>
      <c r="J1052" s="325">
        <f>IF(COUNTA(A1052:F1052)=0,"",IF(OR(C1052&lt;0,D1052&lt;0,E1052&lt;0,F1052&lt;0),"ERRO: valor negativo",IF(C1052&lt;&gt;SUM(D1052:F1052),"ERRO: categorias diferem dos respondentes",IF(COUNTIFS($A$5:$A$1200,A1052,$B$5:$B$1200,B1052)&gt;1,"ERRO: período e curso duplicados","OK"))))</f>
        <v/>
      </c>
    </row>
    <row r="1053" ht="15" customHeight="1" s="131">
      <c r="A1053" s="320" t="n"/>
      <c r="B1053" s="323" t="n"/>
      <c r="C1053" s="320" t="n"/>
      <c r="D1053" s="320" t="n"/>
      <c r="E1053" s="320" t="n"/>
      <c r="F1053" s="320" t="n"/>
      <c r="G1053" s="284">
        <f>IFERROR((D1053-F1053)/C1053*100,"")</f>
        <v/>
      </c>
      <c r="H1053" s="324" t="n"/>
      <c r="I1053" s="320" t="n"/>
      <c r="J1053" s="325">
        <f>IF(COUNTA(A1053:F1053)=0,"",IF(OR(C1053&lt;0,D1053&lt;0,E1053&lt;0,F1053&lt;0),"ERRO: valor negativo",IF(C1053&lt;&gt;SUM(D1053:F1053),"ERRO: categorias diferem dos respondentes",IF(COUNTIFS($A$5:$A$1200,A1053,$B$5:$B$1200,B1053)&gt;1,"ERRO: período e curso duplicados","OK"))))</f>
        <v/>
      </c>
    </row>
    <row r="1054" ht="15" customHeight="1" s="131">
      <c r="A1054" s="320" t="n"/>
      <c r="B1054" s="323" t="n"/>
      <c r="C1054" s="320" t="n"/>
      <c r="D1054" s="320" t="n"/>
      <c r="E1054" s="320" t="n"/>
      <c r="F1054" s="320" t="n"/>
      <c r="G1054" s="284">
        <f>IFERROR((D1054-F1054)/C1054*100,"")</f>
        <v/>
      </c>
      <c r="H1054" s="324" t="n"/>
      <c r="I1054" s="320" t="n"/>
      <c r="J1054" s="325">
        <f>IF(COUNTA(A1054:F1054)=0,"",IF(OR(C1054&lt;0,D1054&lt;0,E1054&lt;0,F1054&lt;0),"ERRO: valor negativo",IF(C1054&lt;&gt;SUM(D1054:F1054),"ERRO: categorias diferem dos respondentes",IF(COUNTIFS($A$5:$A$1200,A1054,$B$5:$B$1200,B1054)&gt;1,"ERRO: período e curso duplicados","OK"))))</f>
        <v/>
      </c>
    </row>
    <row r="1055" ht="15" customHeight="1" s="131">
      <c r="A1055" s="320" t="n"/>
      <c r="B1055" s="323" t="n"/>
      <c r="C1055" s="320" t="n"/>
      <c r="D1055" s="320" t="n"/>
      <c r="E1055" s="320" t="n"/>
      <c r="F1055" s="320" t="n"/>
      <c r="G1055" s="284">
        <f>IFERROR((D1055-F1055)/C1055*100,"")</f>
        <v/>
      </c>
      <c r="H1055" s="324" t="n"/>
      <c r="I1055" s="320" t="n"/>
      <c r="J1055" s="325">
        <f>IF(COUNTA(A1055:F1055)=0,"",IF(OR(C1055&lt;0,D1055&lt;0,E1055&lt;0,F1055&lt;0),"ERRO: valor negativo",IF(C1055&lt;&gt;SUM(D1055:F1055),"ERRO: categorias diferem dos respondentes",IF(COUNTIFS($A$5:$A$1200,A1055,$B$5:$B$1200,B1055)&gt;1,"ERRO: período e curso duplicados","OK"))))</f>
        <v/>
      </c>
    </row>
    <row r="1056" ht="15" customHeight="1" s="131">
      <c r="A1056" s="320" t="n"/>
      <c r="B1056" s="323" t="n"/>
      <c r="C1056" s="320" t="n"/>
      <c r="D1056" s="320" t="n"/>
      <c r="E1056" s="320" t="n"/>
      <c r="F1056" s="320" t="n"/>
      <c r="G1056" s="284">
        <f>IFERROR((D1056-F1056)/C1056*100,"")</f>
        <v/>
      </c>
      <c r="H1056" s="324" t="n"/>
      <c r="I1056" s="320" t="n"/>
      <c r="J1056" s="325">
        <f>IF(COUNTA(A1056:F1056)=0,"",IF(OR(C1056&lt;0,D1056&lt;0,E1056&lt;0,F1056&lt;0),"ERRO: valor negativo",IF(C1056&lt;&gt;SUM(D1056:F1056),"ERRO: categorias diferem dos respondentes",IF(COUNTIFS($A$5:$A$1200,A1056,$B$5:$B$1200,B1056)&gt;1,"ERRO: período e curso duplicados","OK"))))</f>
        <v/>
      </c>
    </row>
    <row r="1057" ht="15" customHeight="1" s="131">
      <c r="A1057" s="320" t="n"/>
      <c r="B1057" s="323" t="n"/>
      <c r="C1057" s="320" t="n"/>
      <c r="D1057" s="320" t="n"/>
      <c r="E1057" s="320" t="n"/>
      <c r="F1057" s="320" t="n"/>
      <c r="G1057" s="284">
        <f>IFERROR((D1057-F1057)/C1057*100,"")</f>
        <v/>
      </c>
      <c r="H1057" s="324" t="n"/>
      <c r="I1057" s="320" t="n"/>
      <c r="J1057" s="325">
        <f>IF(COUNTA(A1057:F1057)=0,"",IF(OR(C1057&lt;0,D1057&lt;0,E1057&lt;0,F1057&lt;0),"ERRO: valor negativo",IF(C1057&lt;&gt;SUM(D1057:F1057),"ERRO: categorias diferem dos respondentes",IF(COUNTIFS($A$5:$A$1200,A1057,$B$5:$B$1200,B1057)&gt;1,"ERRO: período e curso duplicados","OK"))))</f>
        <v/>
      </c>
    </row>
    <row r="1058" ht="15" customHeight="1" s="131">
      <c r="A1058" s="320" t="n"/>
      <c r="B1058" s="323" t="n"/>
      <c r="C1058" s="320" t="n"/>
      <c r="D1058" s="320" t="n"/>
      <c r="E1058" s="320" t="n"/>
      <c r="F1058" s="320" t="n"/>
      <c r="G1058" s="284">
        <f>IFERROR((D1058-F1058)/C1058*100,"")</f>
        <v/>
      </c>
      <c r="H1058" s="324" t="n"/>
      <c r="I1058" s="320" t="n"/>
      <c r="J1058" s="325">
        <f>IF(COUNTA(A1058:F1058)=0,"",IF(OR(C1058&lt;0,D1058&lt;0,E1058&lt;0,F1058&lt;0),"ERRO: valor negativo",IF(C1058&lt;&gt;SUM(D1058:F1058),"ERRO: categorias diferem dos respondentes",IF(COUNTIFS($A$5:$A$1200,A1058,$B$5:$B$1200,B1058)&gt;1,"ERRO: período e curso duplicados","OK"))))</f>
        <v/>
      </c>
    </row>
    <row r="1059" ht="15" customHeight="1" s="131">
      <c r="A1059" s="320" t="n"/>
      <c r="B1059" s="323" t="n"/>
      <c r="C1059" s="320" t="n"/>
      <c r="D1059" s="320" t="n"/>
      <c r="E1059" s="320" t="n"/>
      <c r="F1059" s="320" t="n"/>
      <c r="G1059" s="284">
        <f>IFERROR((D1059-F1059)/C1059*100,"")</f>
        <v/>
      </c>
      <c r="H1059" s="324" t="n"/>
      <c r="I1059" s="320" t="n"/>
      <c r="J1059" s="325">
        <f>IF(COUNTA(A1059:F1059)=0,"",IF(OR(C1059&lt;0,D1059&lt;0,E1059&lt;0,F1059&lt;0),"ERRO: valor negativo",IF(C1059&lt;&gt;SUM(D1059:F1059),"ERRO: categorias diferem dos respondentes",IF(COUNTIFS($A$5:$A$1200,A1059,$B$5:$B$1200,B1059)&gt;1,"ERRO: período e curso duplicados","OK"))))</f>
        <v/>
      </c>
    </row>
    <row r="1060" ht="15" customHeight="1" s="131">
      <c r="A1060" s="320" t="n"/>
      <c r="B1060" s="323" t="n"/>
      <c r="C1060" s="320" t="n"/>
      <c r="D1060" s="320" t="n"/>
      <c r="E1060" s="320" t="n"/>
      <c r="F1060" s="320" t="n"/>
      <c r="G1060" s="284">
        <f>IFERROR((D1060-F1060)/C1060*100,"")</f>
        <v/>
      </c>
      <c r="H1060" s="324" t="n"/>
      <c r="I1060" s="320" t="n"/>
      <c r="J1060" s="325">
        <f>IF(COUNTA(A1060:F1060)=0,"",IF(OR(C1060&lt;0,D1060&lt;0,E1060&lt;0,F1060&lt;0),"ERRO: valor negativo",IF(C1060&lt;&gt;SUM(D1060:F1060),"ERRO: categorias diferem dos respondentes",IF(COUNTIFS($A$5:$A$1200,A1060,$B$5:$B$1200,B1060)&gt;1,"ERRO: período e curso duplicados","OK"))))</f>
        <v/>
      </c>
    </row>
    <row r="1061" ht="15" customHeight="1" s="131">
      <c r="A1061" s="320" t="n"/>
      <c r="B1061" s="323" t="n"/>
      <c r="C1061" s="320" t="n"/>
      <c r="D1061" s="320" t="n"/>
      <c r="E1061" s="320" t="n"/>
      <c r="F1061" s="320" t="n"/>
      <c r="G1061" s="284">
        <f>IFERROR((D1061-F1061)/C1061*100,"")</f>
        <v/>
      </c>
      <c r="H1061" s="324" t="n"/>
      <c r="I1061" s="320" t="n"/>
      <c r="J1061" s="325">
        <f>IF(COUNTA(A1061:F1061)=0,"",IF(OR(C1061&lt;0,D1061&lt;0,E1061&lt;0,F1061&lt;0),"ERRO: valor negativo",IF(C1061&lt;&gt;SUM(D1061:F1061),"ERRO: categorias diferem dos respondentes",IF(COUNTIFS($A$5:$A$1200,A1061,$B$5:$B$1200,B1061)&gt;1,"ERRO: período e curso duplicados","OK"))))</f>
        <v/>
      </c>
    </row>
    <row r="1062" ht="15" customHeight="1" s="131">
      <c r="A1062" s="320" t="n"/>
      <c r="B1062" s="323" t="n"/>
      <c r="C1062" s="320" t="n"/>
      <c r="D1062" s="320" t="n"/>
      <c r="E1062" s="320" t="n"/>
      <c r="F1062" s="320" t="n"/>
      <c r="G1062" s="284">
        <f>IFERROR((D1062-F1062)/C1062*100,"")</f>
        <v/>
      </c>
      <c r="H1062" s="324" t="n"/>
      <c r="I1062" s="320" t="n"/>
      <c r="J1062" s="325">
        <f>IF(COUNTA(A1062:F1062)=0,"",IF(OR(C1062&lt;0,D1062&lt;0,E1062&lt;0,F1062&lt;0),"ERRO: valor negativo",IF(C1062&lt;&gt;SUM(D1062:F1062),"ERRO: categorias diferem dos respondentes",IF(COUNTIFS($A$5:$A$1200,A1062,$B$5:$B$1200,B1062)&gt;1,"ERRO: período e curso duplicados","OK"))))</f>
        <v/>
      </c>
    </row>
    <row r="1063" ht="15" customHeight="1" s="131">
      <c r="A1063" s="320" t="n"/>
      <c r="B1063" s="323" t="n"/>
      <c r="C1063" s="320" t="n"/>
      <c r="D1063" s="320" t="n"/>
      <c r="E1063" s="320" t="n"/>
      <c r="F1063" s="320" t="n"/>
      <c r="G1063" s="284">
        <f>IFERROR((D1063-F1063)/C1063*100,"")</f>
        <v/>
      </c>
      <c r="H1063" s="324" t="n"/>
      <c r="I1063" s="320" t="n"/>
      <c r="J1063" s="325">
        <f>IF(COUNTA(A1063:F1063)=0,"",IF(OR(C1063&lt;0,D1063&lt;0,E1063&lt;0,F1063&lt;0),"ERRO: valor negativo",IF(C1063&lt;&gt;SUM(D1063:F1063),"ERRO: categorias diferem dos respondentes",IF(COUNTIFS($A$5:$A$1200,A1063,$B$5:$B$1200,B1063)&gt;1,"ERRO: período e curso duplicados","OK"))))</f>
        <v/>
      </c>
    </row>
    <row r="1064" ht="15" customHeight="1" s="131">
      <c r="A1064" s="320" t="n"/>
      <c r="B1064" s="323" t="n"/>
      <c r="C1064" s="320" t="n"/>
      <c r="D1064" s="320" t="n"/>
      <c r="E1064" s="320" t="n"/>
      <c r="F1064" s="320" t="n"/>
      <c r="G1064" s="284">
        <f>IFERROR((D1064-F1064)/C1064*100,"")</f>
        <v/>
      </c>
      <c r="H1064" s="324" t="n"/>
      <c r="I1064" s="320" t="n"/>
      <c r="J1064" s="325">
        <f>IF(COUNTA(A1064:F1064)=0,"",IF(OR(C1064&lt;0,D1064&lt;0,E1064&lt;0,F1064&lt;0),"ERRO: valor negativo",IF(C1064&lt;&gt;SUM(D1064:F1064),"ERRO: categorias diferem dos respondentes",IF(COUNTIFS($A$5:$A$1200,A1064,$B$5:$B$1200,B1064)&gt;1,"ERRO: período e curso duplicados","OK"))))</f>
        <v/>
      </c>
    </row>
    <row r="1065" ht="15" customHeight="1" s="131">
      <c r="A1065" s="320" t="n"/>
      <c r="B1065" s="323" t="n"/>
      <c r="C1065" s="320" t="n"/>
      <c r="D1065" s="320" t="n"/>
      <c r="E1065" s="320" t="n"/>
      <c r="F1065" s="320" t="n"/>
      <c r="G1065" s="284">
        <f>IFERROR((D1065-F1065)/C1065*100,"")</f>
        <v/>
      </c>
      <c r="H1065" s="324" t="n"/>
      <c r="I1065" s="320" t="n"/>
      <c r="J1065" s="325">
        <f>IF(COUNTA(A1065:F1065)=0,"",IF(OR(C1065&lt;0,D1065&lt;0,E1065&lt;0,F1065&lt;0),"ERRO: valor negativo",IF(C1065&lt;&gt;SUM(D1065:F1065),"ERRO: categorias diferem dos respondentes",IF(COUNTIFS($A$5:$A$1200,A1065,$B$5:$B$1200,B1065)&gt;1,"ERRO: período e curso duplicados","OK"))))</f>
        <v/>
      </c>
    </row>
    <row r="1066" ht="15" customHeight="1" s="131">
      <c r="A1066" s="320" t="n"/>
      <c r="B1066" s="323" t="n"/>
      <c r="C1066" s="320" t="n"/>
      <c r="D1066" s="320" t="n"/>
      <c r="E1066" s="320" t="n"/>
      <c r="F1066" s="320" t="n"/>
      <c r="G1066" s="284">
        <f>IFERROR((D1066-F1066)/C1066*100,"")</f>
        <v/>
      </c>
      <c r="H1066" s="324" t="n"/>
      <c r="I1066" s="320" t="n"/>
      <c r="J1066" s="325">
        <f>IF(COUNTA(A1066:F1066)=0,"",IF(OR(C1066&lt;0,D1066&lt;0,E1066&lt;0,F1066&lt;0),"ERRO: valor negativo",IF(C1066&lt;&gt;SUM(D1066:F1066),"ERRO: categorias diferem dos respondentes",IF(COUNTIFS($A$5:$A$1200,A1066,$B$5:$B$1200,B1066)&gt;1,"ERRO: período e curso duplicados","OK"))))</f>
        <v/>
      </c>
    </row>
    <row r="1067" ht="15" customHeight="1" s="131">
      <c r="A1067" s="320" t="n"/>
      <c r="B1067" s="323" t="n"/>
      <c r="C1067" s="320" t="n"/>
      <c r="D1067" s="320" t="n"/>
      <c r="E1067" s="320" t="n"/>
      <c r="F1067" s="320" t="n"/>
      <c r="G1067" s="284">
        <f>IFERROR((D1067-F1067)/C1067*100,"")</f>
        <v/>
      </c>
      <c r="H1067" s="324" t="n"/>
      <c r="I1067" s="320" t="n"/>
      <c r="J1067" s="325">
        <f>IF(COUNTA(A1067:F1067)=0,"",IF(OR(C1067&lt;0,D1067&lt;0,E1067&lt;0,F1067&lt;0),"ERRO: valor negativo",IF(C1067&lt;&gt;SUM(D1067:F1067),"ERRO: categorias diferem dos respondentes",IF(COUNTIFS($A$5:$A$1200,A1067,$B$5:$B$1200,B1067)&gt;1,"ERRO: período e curso duplicados","OK"))))</f>
        <v/>
      </c>
    </row>
    <row r="1068" ht="15" customHeight="1" s="131">
      <c r="A1068" s="320" t="n"/>
      <c r="B1068" s="323" t="n"/>
      <c r="C1068" s="320" t="n"/>
      <c r="D1068" s="320" t="n"/>
      <c r="E1068" s="320" t="n"/>
      <c r="F1068" s="320" t="n"/>
      <c r="G1068" s="284">
        <f>IFERROR((D1068-F1068)/C1068*100,"")</f>
        <v/>
      </c>
      <c r="H1068" s="324" t="n"/>
      <c r="I1068" s="320" t="n"/>
      <c r="J1068" s="325">
        <f>IF(COUNTA(A1068:F1068)=0,"",IF(OR(C1068&lt;0,D1068&lt;0,E1068&lt;0,F1068&lt;0),"ERRO: valor negativo",IF(C1068&lt;&gt;SUM(D1068:F1068),"ERRO: categorias diferem dos respondentes",IF(COUNTIFS($A$5:$A$1200,A1068,$B$5:$B$1200,B1068)&gt;1,"ERRO: período e curso duplicados","OK"))))</f>
        <v/>
      </c>
    </row>
    <row r="1069" ht="15" customHeight="1" s="131">
      <c r="A1069" s="320" t="n"/>
      <c r="B1069" s="323" t="n"/>
      <c r="C1069" s="320" t="n"/>
      <c r="D1069" s="320" t="n"/>
      <c r="E1069" s="320" t="n"/>
      <c r="F1069" s="320" t="n"/>
      <c r="G1069" s="284">
        <f>IFERROR((D1069-F1069)/C1069*100,"")</f>
        <v/>
      </c>
      <c r="H1069" s="324" t="n"/>
      <c r="I1069" s="320" t="n"/>
      <c r="J1069" s="325">
        <f>IF(COUNTA(A1069:F1069)=0,"",IF(OR(C1069&lt;0,D1069&lt;0,E1069&lt;0,F1069&lt;0),"ERRO: valor negativo",IF(C1069&lt;&gt;SUM(D1069:F1069),"ERRO: categorias diferem dos respondentes",IF(COUNTIFS($A$5:$A$1200,A1069,$B$5:$B$1200,B1069)&gt;1,"ERRO: período e curso duplicados","OK"))))</f>
        <v/>
      </c>
    </row>
    <row r="1070" ht="15" customHeight="1" s="131">
      <c r="A1070" s="320" t="n"/>
      <c r="B1070" s="323" t="n"/>
      <c r="C1070" s="320" t="n"/>
      <c r="D1070" s="320" t="n"/>
      <c r="E1070" s="320" t="n"/>
      <c r="F1070" s="320" t="n"/>
      <c r="G1070" s="284">
        <f>IFERROR((D1070-F1070)/C1070*100,"")</f>
        <v/>
      </c>
      <c r="H1070" s="324" t="n"/>
      <c r="I1070" s="320" t="n"/>
      <c r="J1070" s="325">
        <f>IF(COUNTA(A1070:F1070)=0,"",IF(OR(C1070&lt;0,D1070&lt;0,E1070&lt;0,F1070&lt;0),"ERRO: valor negativo",IF(C1070&lt;&gt;SUM(D1070:F1070),"ERRO: categorias diferem dos respondentes",IF(COUNTIFS($A$5:$A$1200,A1070,$B$5:$B$1200,B1070)&gt;1,"ERRO: período e curso duplicados","OK"))))</f>
        <v/>
      </c>
    </row>
    <row r="1071" ht="15" customHeight="1" s="131">
      <c r="A1071" s="320" t="n"/>
      <c r="B1071" s="323" t="n"/>
      <c r="C1071" s="320" t="n"/>
      <c r="D1071" s="320" t="n"/>
      <c r="E1071" s="320" t="n"/>
      <c r="F1071" s="320" t="n"/>
      <c r="G1071" s="284">
        <f>IFERROR((D1071-F1071)/C1071*100,"")</f>
        <v/>
      </c>
      <c r="H1071" s="324" t="n"/>
      <c r="I1071" s="320" t="n"/>
      <c r="J1071" s="325">
        <f>IF(COUNTA(A1071:F1071)=0,"",IF(OR(C1071&lt;0,D1071&lt;0,E1071&lt;0,F1071&lt;0),"ERRO: valor negativo",IF(C1071&lt;&gt;SUM(D1071:F1071),"ERRO: categorias diferem dos respondentes",IF(COUNTIFS($A$5:$A$1200,A1071,$B$5:$B$1200,B1071)&gt;1,"ERRO: período e curso duplicados","OK"))))</f>
        <v/>
      </c>
    </row>
    <row r="1072" ht="15" customHeight="1" s="131">
      <c r="A1072" s="320" t="n"/>
      <c r="B1072" s="323" t="n"/>
      <c r="C1072" s="320" t="n"/>
      <c r="D1072" s="320" t="n"/>
      <c r="E1072" s="320" t="n"/>
      <c r="F1072" s="320" t="n"/>
      <c r="G1072" s="284">
        <f>IFERROR((D1072-F1072)/C1072*100,"")</f>
        <v/>
      </c>
      <c r="H1072" s="324" t="n"/>
      <c r="I1072" s="320" t="n"/>
      <c r="J1072" s="325">
        <f>IF(COUNTA(A1072:F1072)=0,"",IF(OR(C1072&lt;0,D1072&lt;0,E1072&lt;0,F1072&lt;0),"ERRO: valor negativo",IF(C1072&lt;&gt;SUM(D1072:F1072),"ERRO: categorias diferem dos respondentes",IF(COUNTIFS($A$5:$A$1200,A1072,$B$5:$B$1200,B1072)&gt;1,"ERRO: período e curso duplicados","OK"))))</f>
        <v/>
      </c>
    </row>
    <row r="1073" ht="15" customHeight="1" s="131">
      <c r="A1073" s="320" t="n"/>
      <c r="B1073" s="323" t="n"/>
      <c r="C1073" s="320" t="n"/>
      <c r="D1073" s="320" t="n"/>
      <c r="E1073" s="320" t="n"/>
      <c r="F1073" s="320" t="n"/>
      <c r="G1073" s="284">
        <f>IFERROR((D1073-F1073)/C1073*100,"")</f>
        <v/>
      </c>
      <c r="H1073" s="324" t="n"/>
      <c r="I1073" s="320" t="n"/>
      <c r="J1073" s="325">
        <f>IF(COUNTA(A1073:F1073)=0,"",IF(OR(C1073&lt;0,D1073&lt;0,E1073&lt;0,F1073&lt;0),"ERRO: valor negativo",IF(C1073&lt;&gt;SUM(D1073:F1073),"ERRO: categorias diferem dos respondentes",IF(COUNTIFS($A$5:$A$1200,A1073,$B$5:$B$1200,B1073)&gt;1,"ERRO: período e curso duplicados","OK"))))</f>
        <v/>
      </c>
    </row>
    <row r="1074" ht="15" customHeight="1" s="131">
      <c r="A1074" s="320" t="n"/>
      <c r="B1074" s="323" t="n"/>
      <c r="C1074" s="320" t="n"/>
      <c r="D1074" s="320" t="n"/>
      <c r="E1074" s="320" t="n"/>
      <c r="F1074" s="320" t="n"/>
      <c r="G1074" s="284">
        <f>IFERROR((D1074-F1074)/C1074*100,"")</f>
        <v/>
      </c>
      <c r="H1074" s="324" t="n"/>
      <c r="I1074" s="320" t="n"/>
      <c r="J1074" s="325">
        <f>IF(COUNTA(A1074:F1074)=0,"",IF(OR(C1074&lt;0,D1074&lt;0,E1074&lt;0,F1074&lt;0),"ERRO: valor negativo",IF(C1074&lt;&gt;SUM(D1074:F1074),"ERRO: categorias diferem dos respondentes",IF(COUNTIFS($A$5:$A$1200,A1074,$B$5:$B$1200,B1074)&gt;1,"ERRO: período e curso duplicados","OK"))))</f>
        <v/>
      </c>
    </row>
    <row r="1075" ht="15" customHeight="1" s="131">
      <c r="A1075" s="320" t="n"/>
      <c r="B1075" s="323" t="n"/>
      <c r="C1075" s="320" t="n"/>
      <c r="D1075" s="320" t="n"/>
      <c r="E1075" s="320" t="n"/>
      <c r="F1075" s="320" t="n"/>
      <c r="G1075" s="284">
        <f>IFERROR((D1075-F1075)/C1075*100,"")</f>
        <v/>
      </c>
      <c r="H1075" s="324" t="n"/>
      <c r="I1075" s="320" t="n"/>
      <c r="J1075" s="325">
        <f>IF(COUNTA(A1075:F1075)=0,"",IF(OR(C1075&lt;0,D1075&lt;0,E1075&lt;0,F1075&lt;0),"ERRO: valor negativo",IF(C1075&lt;&gt;SUM(D1075:F1075),"ERRO: categorias diferem dos respondentes",IF(COUNTIFS($A$5:$A$1200,A1075,$B$5:$B$1200,B1075)&gt;1,"ERRO: período e curso duplicados","OK"))))</f>
        <v/>
      </c>
    </row>
    <row r="1076" ht="15" customHeight="1" s="131">
      <c r="A1076" s="320" t="n"/>
      <c r="B1076" s="323" t="n"/>
      <c r="C1076" s="320" t="n"/>
      <c r="D1076" s="320" t="n"/>
      <c r="E1076" s="320" t="n"/>
      <c r="F1076" s="320" t="n"/>
      <c r="G1076" s="284">
        <f>IFERROR((D1076-F1076)/C1076*100,"")</f>
        <v/>
      </c>
      <c r="H1076" s="324" t="n"/>
      <c r="I1076" s="320" t="n"/>
      <c r="J1076" s="325">
        <f>IF(COUNTA(A1076:F1076)=0,"",IF(OR(C1076&lt;0,D1076&lt;0,E1076&lt;0,F1076&lt;0),"ERRO: valor negativo",IF(C1076&lt;&gt;SUM(D1076:F1076),"ERRO: categorias diferem dos respondentes",IF(COUNTIFS($A$5:$A$1200,A1076,$B$5:$B$1200,B1076)&gt;1,"ERRO: período e curso duplicados","OK"))))</f>
        <v/>
      </c>
    </row>
    <row r="1077" ht="15" customHeight="1" s="131">
      <c r="A1077" s="320" t="n"/>
      <c r="B1077" s="323" t="n"/>
      <c r="C1077" s="320" t="n"/>
      <c r="D1077" s="320" t="n"/>
      <c r="E1077" s="320" t="n"/>
      <c r="F1077" s="320" t="n"/>
      <c r="G1077" s="284">
        <f>IFERROR((D1077-F1077)/C1077*100,"")</f>
        <v/>
      </c>
      <c r="H1077" s="324" t="n"/>
      <c r="I1077" s="320" t="n"/>
      <c r="J1077" s="325">
        <f>IF(COUNTA(A1077:F1077)=0,"",IF(OR(C1077&lt;0,D1077&lt;0,E1077&lt;0,F1077&lt;0),"ERRO: valor negativo",IF(C1077&lt;&gt;SUM(D1077:F1077),"ERRO: categorias diferem dos respondentes",IF(COUNTIFS($A$5:$A$1200,A1077,$B$5:$B$1200,B1077)&gt;1,"ERRO: período e curso duplicados","OK"))))</f>
        <v/>
      </c>
    </row>
    <row r="1078" ht="15" customHeight="1" s="131">
      <c r="A1078" s="320" t="n"/>
      <c r="B1078" s="323" t="n"/>
      <c r="C1078" s="320" t="n"/>
      <c r="D1078" s="320" t="n"/>
      <c r="E1078" s="320" t="n"/>
      <c r="F1078" s="320" t="n"/>
      <c r="G1078" s="284">
        <f>IFERROR((D1078-F1078)/C1078*100,"")</f>
        <v/>
      </c>
      <c r="H1078" s="324" t="n"/>
      <c r="I1078" s="320" t="n"/>
      <c r="J1078" s="325">
        <f>IF(COUNTA(A1078:F1078)=0,"",IF(OR(C1078&lt;0,D1078&lt;0,E1078&lt;0,F1078&lt;0),"ERRO: valor negativo",IF(C1078&lt;&gt;SUM(D1078:F1078),"ERRO: categorias diferem dos respondentes",IF(COUNTIFS($A$5:$A$1200,A1078,$B$5:$B$1200,B1078)&gt;1,"ERRO: período e curso duplicados","OK"))))</f>
        <v/>
      </c>
    </row>
    <row r="1079" ht="15" customHeight="1" s="131">
      <c r="A1079" s="320" t="n"/>
      <c r="B1079" s="323" t="n"/>
      <c r="C1079" s="320" t="n"/>
      <c r="D1079" s="320" t="n"/>
      <c r="E1079" s="320" t="n"/>
      <c r="F1079" s="320" t="n"/>
      <c r="G1079" s="284">
        <f>IFERROR((D1079-F1079)/C1079*100,"")</f>
        <v/>
      </c>
      <c r="H1079" s="324" t="n"/>
      <c r="I1079" s="320" t="n"/>
      <c r="J1079" s="325">
        <f>IF(COUNTA(A1079:F1079)=0,"",IF(OR(C1079&lt;0,D1079&lt;0,E1079&lt;0,F1079&lt;0),"ERRO: valor negativo",IF(C1079&lt;&gt;SUM(D1079:F1079),"ERRO: categorias diferem dos respondentes",IF(COUNTIFS($A$5:$A$1200,A1079,$B$5:$B$1200,B1079)&gt;1,"ERRO: período e curso duplicados","OK"))))</f>
        <v/>
      </c>
    </row>
    <row r="1080" ht="15" customHeight="1" s="131">
      <c r="A1080" s="320" t="n"/>
      <c r="B1080" s="323" t="n"/>
      <c r="C1080" s="320" t="n"/>
      <c r="D1080" s="320" t="n"/>
      <c r="E1080" s="320" t="n"/>
      <c r="F1080" s="320" t="n"/>
      <c r="G1080" s="284">
        <f>IFERROR((D1080-F1080)/C1080*100,"")</f>
        <v/>
      </c>
      <c r="H1080" s="324" t="n"/>
      <c r="I1080" s="320" t="n"/>
      <c r="J1080" s="325">
        <f>IF(COUNTA(A1080:F1080)=0,"",IF(OR(C1080&lt;0,D1080&lt;0,E1080&lt;0,F1080&lt;0),"ERRO: valor negativo",IF(C1080&lt;&gt;SUM(D1080:F1080),"ERRO: categorias diferem dos respondentes",IF(COUNTIFS($A$5:$A$1200,A1080,$B$5:$B$1200,B1080)&gt;1,"ERRO: período e curso duplicados","OK"))))</f>
        <v/>
      </c>
    </row>
    <row r="1081" ht="15" customHeight="1" s="131">
      <c r="A1081" s="320" t="n"/>
      <c r="B1081" s="323" t="n"/>
      <c r="C1081" s="320" t="n"/>
      <c r="D1081" s="320" t="n"/>
      <c r="E1081" s="320" t="n"/>
      <c r="F1081" s="320" t="n"/>
      <c r="G1081" s="284">
        <f>IFERROR((D1081-F1081)/C1081*100,"")</f>
        <v/>
      </c>
      <c r="H1081" s="324" t="n"/>
      <c r="I1081" s="320" t="n"/>
      <c r="J1081" s="325">
        <f>IF(COUNTA(A1081:F1081)=0,"",IF(OR(C1081&lt;0,D1081&lt;0,E1081&lt;0,F1081&lt;0),"ERRO: valor negativo",IF(C1081&lt;&gt;SUM(D1081:F1081),"ERRO: categorias diferem dos respondentes",IF(COUNTIFS($A$5:$A$1200,A1081,$B$5:$B$1200,B1081)&gt;1,"ERRO: período e curso duplicados","OK"))))</f>
        <v/>
      </c>
    </row>
    <row r="1082" ht="15" customHeight="1" s="131">
      <c r="A1082" s="320" t="n"/>
      <c r="B1082" s="323" t="n"/>
      <c r="C1082" s="320" t="n"/>
      <c r="D1082" s="320" t="n"/>
      <c r="E1082" s="320" t="n"/>
      <c r="F1082" s="320" t="n"/>
      <c r="G1082" s="284">
        <f>IFERROR((D1082-F1082)/C1082*100,"")</f>
        <v/>
      </c>
      <c r="H1082" s="324" t="n"/>
      <c r="I1082" s="320" t="n"/>
      <c r="J1082" s="325">
        <f>IF(COUNTA(A1082:F1082)=0,"",IF(OR(C1082&lt;0,D1082&lt;0,E1082&lt;0,F1082&lt;0),"ERRO: valor negativo",IF(C1082&lt;&gt;SUM(D1082:F1082),"ERRO: categorias diferem dos respondentes",IF(COUNTIFS($A$5:$A$1200,A1082,$B$5:$B$1200,B1082)&gt;1,"ERRO: período e curso duplicados","OK"))))</f>
        <v/>
      </c>
    </row>
    <row r="1083" ht="15" customHeight="1" s="131">
      <c r="A1083" s="320" t="n"/>
      <c r="B1083" s="323" t="n"/>
      <c r="C1083" s="320" t="n"/>
      <c r="D1083" s="320" t="n"/>
      <c r="E1083" s="320" t="n"/>
      <c r="F1083" s="320" t="n"/>
      <c r="G1083" s="284">
        <f>IFERROR((D1083-F1083)/C1083*100,"")</f>
        <v/>
      </c>
      <c r="H1083" s="324" t="n"/>
      <c r="I1083" s="320" t="n"/>
      <c r="J1083" s="325">
        <f>IF(COUNTA(A1083:F1083)=0,"",IF(OR(C1083&lt;0,D1083&lt;0,E1083&lt;0,F1083&lt;0),"ERRO: valor negativo",IF(C1083&lt;&gt;SUM(D1083:F1083),"ERRO: categorias diferem dos respondentes",IF(COUNTIFS($A$5:$A$1200,A1083,$B$5:$B$1200,B1083)&gt;1,"ERRO: período e curso duplicados","OK"))))</f>
        <v/>
      </c>
    </row>
    <row r="1084" ht="15" customHeight="1" s="131">
      <c r="A1084" s="320" t="n"/>
      <c r="B1084" s="323" t="n"/>
      <c r="C1084" s="320" t="n"/>
      <c r="D1084" s="320" t="n"/>
      <c r="E1084" s="320" t="n"/>
      <c r="F1084" s="320" t="n"/>
      <c r="G1084" s="284">
        <f>IFERROR((D1084-F1084)/C1084*100,"")</f>
        <v/>
      </c>
      <c r="H1084" s="324" t="n"/>
      <c r="I1084" s="320" t="n"/>
      <c r="J1084" s="325">
        <f>IF(COUNTA(A1084:F1084)=0,"",IF(OR(C1084&lt;0,D1084&lt;0,E1084&lt;0,F1084&lt;0),"ERRO: valor negativo",IF(C1084&lt;&gt;SUM(D1084:F1084),"ERRO: categorias diferem dos respondentes",IF(COUNTIFS($A$5:$A$1200,A1084,$B$5:$B$1200,B1084)&gt;1,"ERRO: período e curso duplicados","OK"))))</f>
        <v/>
      </c>
    </row>
    <row r="1085" ht="15" customHeight="1" s="131">
      <c r="A1085" s="320" t="n"/>
      <c r="B1085" s="323" t="n"/>
      <c r="C1085" s="320" t="n"/>
      <c r="D1085" s="320" t="n"/>
      <c r="E1085" s="320" t="n"/>
      <c r="F1085" s="320" t="n"/>
      <c r="G1085" s="284">
        <f>IFERROR((D1085-F1085)/C1085*100,"")</f>
        <v/>
      </c>
      <c r="H1085" s="324" t="n"/>
      <c r="I1085" s="320" t="n"/>
      <c r="J1085" s="325">
        <f>IF(COUNTA(A1085:F1085)=0,"",IF(OR(C1085&lt;0,D1085&lt;0,E1085&lt;0,F1085&lt;0),"ERRO: valor negativo",IF(C1085&lt;&gt;SUM(D1085:F1085),"ERRO: categorias diferem dos respondentes",IF(COUNTIFS($A$5:$A$1200,A1085,$B$5:$B$1200,B1085)&gt;1,"ERRO: período e curso duplicados","OK"))))</f>
        <v/>
      </c>
    </row>
    <row r="1086" ht="15" customHeight="1" s="131">
      <c r="A1086" s="320" t="n"/>
      <c r="B1086" s="323" t="n"/>
      <c r="C1086" s="320" t="n"/>
      <c r="D1086" s="320" t="n"/>
      <c r="E1086" s="320" t="n"/>
      <c r="F1086" s="320" t="n"/>
      <c r="G1086" s="284">
        <f>IFERROR((D1086-F1086)/C1086*100,"")</f>
        <v/>
      </c>
      <c r="H1086" s="324" t="n"/>
      <c r="I1086" s="320" t="n"/>
      <c r="J1086" s="325">
        <f>IF(COUNTA(A1086:F1086)=0,"",IF(OR(C1086&lt;0,D1086&lt;0,E1086&lt;0,F1086&lt;0),"ERRO: valor negativo",IF(C1086&lt;&gt;SUM(D1086:F1086),"ERRO: categorias diferem dos respondentes",IF(COUNTIFS($A$5:$A$1200,A1086,$B$5:$B$1200,B1086)&gt;1,"ERRO: período e curso duplicados","OK"))))</f>
        <v/>
      </c>
    </row>
    <row r="1087" ht="15" customHeight="1" s="131">
      <c r="A1087" s="320" t="n"/>
      <c r="B1087" s="323" t="n"/>
      <c r="C1087" s="320" t="n"/>
      <c r="D1087" s="320" t="n"/>
      <c r="E1087" s="320" t="n"/>
      <c r="F1087" s="320" t="n"/>
      <c r="G1087" s="284">
        <f>IFERROR((D1087-F1087)/C1087*100,"")</f>
        <v/>
      </c>
      <c r="H1087" s="324" t="n"/>
      <c r="I1087" s="320" t="n"/>
      <c r="J1087" s="325">
        <f>IF(COUNTA(A1087:F1087)=0,"",IF(OR(C1087&lt;0,D1087&lt;0,E1087&lt;0,F1087&lt;0),"ERRO: valor negativo",IF(C1087&lt;&gt;SUM(D1087:F1087),"ERRO: categorias diferem dos respondentes",IF(COUNTIFS($A$5:$A$1200,A1087,$B$5:$B$1200,B1087)&gt;1,"ERRO: período e curso duplicados","OK"))))</f>
        <v/>
      </c>
    </row>
    <row r="1088" ht="15" customHeight="1" s="131">
      <c r="A1088" s="320" t="n"/>
      <c r="B1088" s="323" t="n"/>
      <c r="C1088" s="320" t="n"/>
      <c r="D1088" s="320" t="n"/>
      <c r="E1088" s="320" t="n"/>
      <c r="F1088" s="320" t="n"/>
      <c r="G1088" s="284">
        <f>IFERROR((D1088-F1088)/C1088*100,"")</f>
        <v/>
      </c>
      <c r="H1088" s="324" t="n"/>
      <c r="I1088" s="320" t="n"/>
      <c r="J1088" s="325">
        <f>IF(COUNTA(A1088:F1088)=0,"",IF(OR(C1088&lt;0,D1088&lt;0,E1088&lt;0,F1088&lt;0),"ERRO: valor negativo",IF(C1088&lt;&gt;SUM(D1088:F1088),"ERRO: categorias diferem dos respondentes",IF(COUNTIFS($A$5:$A$1200,A1088,$B$5:$B$1200,B1088)&gt;1,"ERRO: período e curso duplicados","OK"))))</f>
        <v/>
      </c>
    </row>
    <row r="1089" ht="15" customHeight="1" s="131">
      <c r="A1089" s="320" t="n"/>
      <c r="B1089" s="323" t="n"/>
      <c r="C1089" s="320" t="n"/>
      <c r="D1089" s="320" t="n"/>
      <c r="E1089" s="320" t="n"/>
      <c r="F1089" s="320" t="n"/>
      <c r="G1089" s="284">
        <f>IFERROR((D1089-F1089)/C1089*100,"")</f>
        <v/>
      </c>
      <c r="H1089" s="324" t="n"/>
      <c r="I1089" s="320" t="n"/>
      <c r="J1089" s="325">
        <f>IF(COUNTA(A1089:F1089)=0,"",IF(OR(C1089&lt;0,D1089&lt;0,E1089&lt;0,F1089&lt;0),"ERRO: valor negativo",IF(C1089&lt;&gt;SUM(D1089:F1089),"ERRO: categorias diferem dos respondentes",IF(COUNTIFS($A$5:$A$1200,A1089,$B$5:$B$1200,B1089)&gt;1,"ERRO: período e curso duplicados","OK"))))</f>
        <v/>
      </c>
    </row>
    <row r="1090" ht="15" customHeight="1" s="131">
      <c r="A1090" s="320" t="n"/>
      <c r="B1090" s="323" t="n"/>
      <c r="C1090" s="320" t="n"/>
      <c r="D1090" s="320" t="n"/>
      <c r="E1090" s="320" t="n"/>
      <c r="F1090" s="320" t="n"/>
      <c r="G1090" s="284">
        <f>IFERROR((D1090-F1090)/C1090*100,"")</f>
        <v/>
      </c>
      <c r="H1090" s="324" t="n"/>
      <c r="I1090" s="320" t="n"/>
      <c r="J1090" s="325">
        <f>IF(COUNTA(A1090:F1090)=0,"",IF(OR(C1090&lt;0,D1090&lt;0,E1090&lt;0,F1090&lt;0),"ERRO: valor negativo",IF(C1090&lt;&gt;SUM(D1090:F1090),"ERRO: categorias diferem dos respondentes",IF(COUNTIFS($A$5:$A$1200,A1090,$B$5:$B$1200,B1090)&gt;1,"ERRO: período e curso duplicados","OK"))))</f>
        <v/>
      </c>
    </row>
    <row r="1091" ht="15" customHeight="1" s="131">
      <c r="A1091" s="320" t="n"/>
      <c r="B1091" s="323" t="n"/>
      <c r="C1091" s="320" t="n"/>
      <c r="D1091" s="320" t="n"/>
      <c r="E1091" s="320" t="n"/>
      <c r="F1091" s="320" t="n"/>
      <c r="G1091" s="284">
        <f>IFERROR((D1091-F1091)/C1091*100,"")</f>
        <v/>
      </c>
      <c r="H1091" s="324" t="n"/>
      <c r="I1091" s="320" t="n"/>
      <c r="J1091" s="325">
        <f>IF(COUNTA(A1091:F1091)=0,"",IF(OR(C1091&lt;0,D1091&lt;0,E1091&lt;0,F1091&lt;0),"ERRO: valor negativo",IF(C1091&lt;&gt;SUM(D1091:F1091),"ERRO: categorias diferem dos respondentes",IF(COUNTIFS($A$5:$A$1200,A1091,$B$5:$B$1200,B1091)&gt;1,"ERRO: período e curso duplicados","OK"))))</f>
        <v/>
      </c>
    </row>
    <row r="1092" ht="15" customHeight="1" s="131">
      <c r="A1092" s="320" t="n"/>
      <c r="B1092" s="323" t="n"/>
      <c r="C1092" s="320" t="n"/>
      <c r="D1092" s="320" t="n"/>
      <c r="E1092" s="320" t="n"/>
      <c r="F1092" s="320" t="n"/>
      <c r="G1092" s="284">
        <f>IFERROR((D1092-F1092)/C1092*100,"")</f>
        <v/>
      </c>
      <c r="H1092" s="324" t="n"/>
      <c r="I1092" s="320" t="n"/>
      <c r="J1092" s="325">
        <f>IF(COUNTA(A1092:F1092)=0,"",IF(OR(C1092&lt;0,D1092&lt;0,E1092&lt;0,F1092&lt;0),"ERRO: valor negativo",IF(C1092&lt;&gt;SUM(D1092:F1092),"ERRO: categorias diferem dos respondentes",IF(COUNTIFS($A$5:$A$1200,A1092,$B$5:$B$1200,B1092)&gt;1,"ERRO: período e curso duplicados","OK"))))</f>
        <v/>
      </c>
    </row>
    <row r="1093" ht="15" customHeight="1" s="131">
      <c r="A1093" s="320" t="n"/>
      <c r="B1093" s="323" t="n"/>
      <c r="C1093" s="320" t="n"/>
      <c r="D1093" s="320" t="n"/>
      <c r="E1093" s="320" t="n"/>
      <c r="F1093" s="320" t="n"/>
      <c r="G1093" s="284">
        <f>IFERROR((D1093-F1093)/C1093*100,"")</f>
        <v/>
      </c>
      <c r="H1093" s="324" t="n"/>
      <c r="I1093" s="320" t="n"/>
      <c r="J1093" s="325">
        <f>IF(COUNTA(A1093:F1093)=0,"",IF(OR(C1093&lt;0,D1093&lt;0,E1093&lt;0,F1093&lt;0),"ERRO: valor negativo",IF(C1093&lt;&gt;SUM(D1093:F1093),"ERRO: categorias diferem dos respondentes",IF(COUNTIFS($A$5:$A$1200,A1093,$B$5:$B$1200,B1093)&gt;1,"ERRO: período e curso duplicados","OK"))))</f>
        <v/>
      </c>
    </row>
    <row r="1094" ht="15" customHeight="1" s="131">
      <c r="A1094" s="320" t="n"/>
      <c r="B1094" s="323" t="n"/>
      <c r="C1094" s="320" t="n"/>
      <c r="D1094" s="320" t="n"/>
      <c r="E1094" s="320" t="n"/>
      <c r="F1094" s="320" t="n"/>
      <c r="G1094" s="284">
        <f>IFERROR((D1094-F1094)/C1094*100,"")</f>
        <v/>
      </c>
      <c r="H1094" s="324" t="n"/>
      <c r="I1094" s="320" t="n"/>
      <c r="J1094" s="325">
        <f>IF(COUNTA(A1094:F1094)=0,"",IF(OR(C1094&lt;0,D1094&lt;0,E1094&lt;0,F1094&lt;0),"ERRO: valor negativo",IF(C1094&lt;&gt;SUM(D1094:F1094),"ERRO: categorias diferem dos respondentes",IF(COUNTIFS($A$5:$A$1200,A1094,$B$5:$B$1200,B1094)&gt;1,"ERRO: período e curso duplicados","OK"))))</f>
        <v/>
      </c>
    </row>
    <row r="1095" ht="15" customHeight="1" s="131">
      <c r="A1095" s="320" t="n"/>
      <c r="B1095" s="323" t="n"/>
      <c r="C1095" s="320" t="n"/>
      <c r="D1095" s="320" t="n"/>
      <c r="E1095" s="320" t="n"/>
      <c r="F1095" s="320" t="n"/>
      <c r="G1095" s="284">
        <f>IFERROR((D1095-F1095)/C1095*100,"")</f>
        <v/>
      </c>
      <c r="H1095" s="324" t="n"/>
      <c r="I1095" s="320" t="n"/>
      <c r="J1095" s="325">
        <f>IF(COUNTA(A1095:F1095)=0,"",IF(OR(C1095&lt;0,D1095&lt;0,E1095&lt;0,F1095&lt;0),"ERRO: valor negativo",IF(C1095&lt;&gt;SUM(D1095:F1095),"ERRO: categorias diferem dos respondentes",IF(COUNTIFS($A$5:$A$1200,A1095,$B$5:$B$1200,B1095)&gt;1,"ERRO: período e curso duplicados","OK"))))</f>
        <v/>
      </c>
    </row>
    <row r="1096" ht="15" customHeight="1" s="131">
      <c r="A1096" s="320" t="n"/>
      <c r="B1096" s="323" t="n"/>
      <c r="C1096" s="320" t="n"/>
      <c r="D1096" s="320" t="n"/>
      <c r="E1096" s="320" t="n"/>
      <c r="F1096" s="320" t="n"/>
      <c r="G1096" s="284">
        <f>IFERROR((D1096-F1096)/C1096*100,"")</f>
        <v/>
      </c>
      <c r="H1096" s="324" t="n"/>
      <c r="I1096" s="320" t="n"/>
      <c r="J1096" s="325">
        <f>IF(COUNTA(A1096:F1096)=0,"",IF(OR(C1096&lt;0,D1096&lt;0,E1096&lt;0,F1096&lt;0),"ERRO: valor negativo",IF(C1096&lt;&gt;SUM(D1096:F1096),"ERRO: categorias diferem dos respondentes",IF(COUNTIFS($A$5:$A$1200,A1096,$B$5:$B$1200,B1096)&gt;1,"ERRO: período e curso duplicados","OK"))))</f>
        <v/>
      </c>
    </row>
    <row r="1097" ht="15" customHeight="1" s="131">
      <c r="A1097" s="320" t="n"/>
      <c r="B1097" s="323" t="n"/>
      <c r="C1097" s="320" t="n"/>
      <c r="D1097" s="320" t="n"/>
      <c r="E1097" s="320" t="n"/>
      <c r="F1097" s="320" t="n"/>
      <c r="G1097" s="284">
        <f>IFERROR((D1097-F1097)/C1097*100,"")</f>
        <v/>
      </c>
      <c r="H1097" s="324" t="n"/>
      <c r="I1097" s="320" t="n"/>
      <c r="J1097" s="325">
        <f>IF(COUNTA(A1097:F1097)=0,"",IF(OR(C1097&lt;0,D1097&lt;0,E1097&lt;0,F1097&lt;0),"ERRO: valor negativo",IF(C1097&lt;&gt;SUM(D1097:F1097),"ERRO: categorias diferem dos respondentes",IF(COUNTIFS($A$5:$A$1200,A1097,$B$5:$B$1200,B1097)&gt;1,"ERRO: período e curso duplicados","OK"))))</f>
        <v/>
      </c>
    </row>
    <row r="1098" ht="15" customHeight="1" s="131">
      <c r="A1098" s="320" t="n"/>
      <c r="B1098" s="323" t="n"/>
      <c r="C1098" s="320" t="n"/>
      <c r="D1098" s="320" t="n"/>
      <c r="E1098" s="320" t="n"/>
      <c r="F1098" s="320" t="n"/>
      <c r="G1098" s="284">
        <f>IFERROR((D1098-F1098)/C1098*100,"")</f>
        <v/>
      </c>
      <c r="H1098" s="324" t="n"/>
      <c r="I1098" s="320" t="n"/>
      <c r="J1098" s="325">
        <f>IF(COUNTA(A1098:F1098)=0,"",IF(OR(C1098&lt;0,D1098&lt;0,E1098&lt;0,F1098&lt;0),"ERRO: valor negativo",IF(C1098&lt;&gt;SUM(D1098:F1098),"ERRO: categorias diferem dos respondentes",IF(COUNTIFS($A$5:$A$1200,A1098,$B$5:$B$1200,B1098)&gt;1,"ERRO: período e curso duplicados","OK"))))</f>
        <v/>
      </c>
    </row>
    <row r="1099" ht="15" customHeight="1" s="131">
      <c r="A1099" s="320" t="n"/>
      <c r="B1099" s="323" t="n"/>
      <c r="C1099" s="320" t="n"/>
      <c r="D1099" s="320" t="n"/>
      <c r="E1099" s="320" t="n"/>
      <c r="F1099" s="320" t="n"/>
      <c r="G1099" s="284">
        <f>IFERROR((D1099-F1099)/C1099*100,"")</f>
        <v/>
      </c>
      <c r="H1099" s="324" t="n"/>
      <c r="I1099" s="320" t="n"/>
      <c r="J1099" s="325">
        <f>IF(COUNTA(A1099:F1099)=0,"",IF(OR(C1099&lt;0,D1099&lt;0,E1099&lt;0,F1099&lt;0),"ERRO: valor negativo",IF(C1099&lt;&gt;SUM(D1099:F1099),"ERRO: categorias diferem dos respondentes",IF(COUNTIFS($A$5:$A$1200,A1099,$B$5:$B$1200,B1099)&gt;1,"ERRO: período e curso duplicados","OK"))))</f>
        <v/>
      </c>
    </row>
    <row r="1100" ht="15" customHeight="1" s="131">
      <c r="A1100" s="320" t="n"/>
      <c r="B1100" s="323" t="n"/>
      <c r="C1100" s="320" t="n"/>
      <c r="D1100" s="320" t="n"/>
      <c r="E1100" s="320" t="n"/>
      <c r="F1100" s="320" t="n"/>
      <c r="G1100" s="284">
        <f>IFERROR((D1100-F1100)/C1100*100,"")</f>
        <v/>
      </c>
      <c r="H1100" s="324" t="n"/>
      <c r="I1100" s="320" t="n"/>
      <c r="J1100" s="325">
        <f>IF(COUNTA(A1100:F1100)=0,"",IF(OR(C1100&lt;0,D1100&lt;0,E1100&lt;0,F1100&lt;0),"ERRO: valor negativo",IF(C1100&lt;&gt;SUM(D1100:F1100),"ERRO: categorias diferem dos respondentes",IF(COUNTIFS($A$5:$A$1200,A1100,$B$5:$B$1200,B1100)&gt;1,"ERRO: período e curso duplicados","OK"))))</f>
        <v/>
      </c>
    </row>
    <row r="1101" ht="15" customHeight="1" s="131">
      <c r="A1101" s="320" t="n"/>
      <c r="B1101" s="323" t="n"/>
      <c r="C1101" s="320" t="n"/>
      <c r="D1101" s="320" t="n"/>
      <c r="E1101" s="320" t="n"/>
      <c r="F1101" s="320" t="n"/>
      <c r="G1101" s="284">
        <f>IFERROR((D1101-F1101)/C1101*100,"")</f>
        <v/>
      </c>
      <c r="H1101" s="324" t="n"/>
      <c r="I1101" s="320" t="n"/>
      <c r="J1101" s="325">
        <f>IF(COUNTA(A1101:F1101)=0,"",IF(OR(C1101&lt;0,D1101&lt;0,E1101&lt;0,F1101&lt;0),"ERRO: valor negativo",IF(C1101&lt;&gt;SUM(D1101:F1101),"ERRO: categorias diferem dos respondentes",IF(COUNTIFS($A$5:$A$1200,A1101,$B$5:$B$1200,B1101)&gt;1,"ERRO: período e curso duplicados","OK"))))</f>
        <v/>
      </c>
    </row>
    <row r="1102" ht="15" customHeight="1" s="131">
      <c r="A1102" s="320" t="n"/>
      <c r="B1102" s="323" t="n"/>
      <c r="C1102" s="320" t="n"/>
      <c r="D1102" s="320" t="n"/>
      <c r="E1102" s="320" t="n"/>
      <c r="F1102" s="320" t="n"/>
      <c r="G1102" s="284">
        <f>IFERROR((D1102-F1102)/C1102*100,"")</f>
        <v/>
      </c>
      <c r="H1102" s="324" t="n"/>
      <c r="I1102" s="320" t="n"/>
      <c r="J1102" s="325">
        <f>IF(COUNTA(A1102:F1102)=0,"",IF(OR(C1102&lt;0,D1102&lt;0,E1102&lt;0,F1102&lt;0),"ERRO: valor negativo",IF(C1102&lt;&gt;SUM(D1102:F1102),"ERRO: categorias diferem dos respondentes",IF(COUNTIFS($A$5:$A$1200,A1102,$B$5:$B$1200,B1102)&gt;1,"ERRO: período e curso duplicados","OK"))))</f>
        <v/>
      </c>
    </row>
    <row r="1103" ht="15" customHeight="1" s="131">
      <c r="A1103" s="320" t="n"/>
      <c r="B1103" s="323" t="n"/>
      <c r="C1103" s="320" t="n"/>
      <c r="D1103" s="320" t="n"/>
      <c r="E1103" s="320" t="n"/>
      <c r="F1103" s="320" t="n"/>
      <c r="G1103" s="284">
        <f>IFERROR((D1103-F1103)/C1103*100,"")</f>
        <v/>
      </c>
      <c r="H1103" s="324" t="n"/>
      <c r="I1103" s="320" t="n"/>
      <c r="J1103" s="325">
        <f>IF(COUNTA(A1103:F1103)=0,"",IF(OR(C1103&lt;0,D1103&lt;0,E1103&lt;0,F1103&lt;0),"ERRO: valor negativo",IF(C1103&lt;&gt;SUM(D1103:F1103),"ERRO: categorias diferem dos respondentes",IF(COUNTIFS($A$5:$A$1200,A1103,$B$5:$B$1200,B1103)&gt;1,"ERRO: período e curso duplicados","OK"))))</f>
        <v/>
      </c>
    </row>
    <row r="1104" ht="15" customHeight="1" s="131">
      <c r="A1104" s="320" t="n"/>
      <c r="B1104" s="323" t="n"/>
      <c r="C1104" s="320" t="n"/>
      <c r="D1104" s="320" t="n"/>
      <c r="E1104" s="320" t="n"/>
      <c r="F1104" s="320" t="n"/>
      <c r="G1104" s="284">
        <f>IFERROR((D1104-F1104)/C1104*100,"")</f>
        <v/>
      </c>
      <c r="H1104" s="324" t="n"/>
      <c r="I1104" s="320" t="n"/>
      <c r="J1104" s="325">
        <f>IF(COUNTA(A1104:F1104)=0,"",IF(OR(C1104&lt;0,D1104&lt;0,E1104&lt;0,F1104&lt;0),"ERRO: valor negativo",IF(C1104&lt;&gt;SUM(D1104:F1104),"ERRO: categorias diferem dos respondentes",IF(COUNTIFS($A$5:$A$1200,A1104,$B$5:$B$1200,B1104)&gt;1,"ERRO: período e curso duplicados","OK"))))</f>
        <v/>
      </c>
    </row>
    <row r="1105" ht="15" customHeight="1" s="131">
      <c r="A1105" s="320" t="n"/>
      <c r="B1105" s="323" t="n"/>
      <c r="C1105" s="320" t="n"/>
      <c r="D1105" s="320" t="n"/>
      <c r="E1105" s="320" t="n"/>
      <c r="F1105" s="320" t="n"/>
      <c r="G1105" s="284">
        <f>IFERROR((D1105-F1105)/C1105*100,"")</f>
        <v/>
      </c>
      <c r="H1105" s="324" t="n"/>
      <c r="I1105" s="320" t="n"/>
      <c r="J1105" s="325">
        <f>IF(COUNTA(A1105:F1105)=0,"",IF(OR(C1105&lt;0,D1105&lt;0,E1105&lt;0,F1105&lt;0),"ERRO: valor negativo",IF(C1105&lt;&gt;SUM(D1105:F1105),"ERRO: categorias diferem dos respondentes",IF(COUNTIFS($A$5:$A$1200,A1105,$B$5:$B$1200,B1105)&gt;1,"ERRO: período e curso duplicados","OK"))))</f>
        <v/>
      </c>
    </row>
    <row r="1106" ht="15" customHeight="1" s="131">
      <c r="A1106" s="320" t="n"/>
      <c r="B1106" s="323" t="n"/>
      <c r="C1106" s="320" t="n"/>
      <c r="D1106" s="320" t="n"/>
      <c r="E1106" s="320" t="n"/>
      <c r="F1106" s="320" t="n"/>
      <c r="G1106" s="284">
        <f>IFERROR((D1106-F1106)/C1106*100,"")</f>
        <v/>
      </c>
      <c r="H1106" s="324" t="n"/>
      <c r="I1106" s="320" t="n"/>
      <c r="J1106" s="325">
        <f>IF(COUNTA(A1106:F1106)=0,"",IF(OR(C1106&lt;0,D1106&lt;0,E1106&lt;0,F1106&lt;0),"ERRO: valor negativo",IF(C1106&lt;&gt;SUM(D1106:F1106),"ERRO: categorias diferem dos respondentes",IF(COUNTIFS($A$5:$A$1200,A1106,$B$5:$B$1200,B1106)&gt;1,"ERRO: período e curso duplicados","OK"))))</f>
        <v/>
      </c>
    </row>
    <row r="1107" ht="15" customHeight="1" s="131">
      <c r="A1107" s="320" t="n"/>
      <c r="B1107" s="323" t="n"/>
      <c r="C1107" s="320" t="n"/>
      <c r="D1107" s="320" t="n"/>
      <c r="E1107" s="320" t="n"/>
      <c r="F1107" s="320" t="n"/>
      <c r="G1107" s="284">
        <f>IFERROR((D1107-F1107)/C1107*100,"")</f>
        <v/>
      </c>
      <c r="H1107" s="324" t="n"/>
      <c r="I1107" s="320" t="n"/>
      <c r="J1107" s="325">
        <f>IF(COUNTA(A1107:F1107)=0,"",IF(OR(C1107&lt;0,D1107&lt;0,E1107&lt;0,F1107&lt;0),"ERRO: valor negativo",IF(C1107&lt;&gt;SUM(D1107:F1107),"ERRO: categorias diferem dos respondentes",IF(COUNTIFS($A$5:$A$1200,A1107,$B$5:$B$1200,B1107)&gt;1,"ERRO: período e curso duplicados","OK"))))</f>
        <v/>
      </c>
    </row>
    <row r="1108" ht="15" customHeight="1" s="131">
      <c r="A1108" s="320" t="n"/>
      <c r="B1108" s="323" t="n"/>
      <c r="C1108" s="320" t="n"/>
      <c r="D1108" s="320" t="n"/>
      <c r="E1108" s="320" t="n"/>
      <c r="F1108" s="320" t="n"/>
      <c r="G1108" s="284">
        <f>IFERROR((D1108-F1108)/C1108*100,"")</f>
        <v/>
      </c>
      <c r="H1108" s="324" t="n"/>
      <c r="I1108" s="320" t="n"/>
      <c r="J1108" s="325">
        <f>IF(COUNTA(A1108:F1108)=0,"",IF(OR(C1108&lt;0,D1108&lt;0,E1108&lt;0,F1108&lt;0),"ERRO: valor negativo",IF(C1108&lt;&gt;SUM(D1108:F1108),"ERRO: categorias diferem dos respondentes",IF(COUNTIFS($A$5:$A$1200,A1108,$B$5:$B$1200,B1108)&gt;1,"ERRO: período e curso duplicados","OK"))))</f>
        <v/>
      </c>
    </row>
    <row r="1109" ht="15" customHeight="1" s="131">
      <c r="A1109" s="320" t="n"/>
      <c r="B1109" s="323" t="n"/>
      <c r="C1109" s="320" t="n"/>
      <c r="D1109" s="320" t="n"/>
      <c r="E1109" s="320" t="n"/>
      <c r="F1109" s="320" t="n"/>
      <c r="G1109" s="284">
        <f>IFERROR((D1109-F1109)/C1109*100,"")</f>
        <v/>
      </c>
      <c r="H1109" s="324" t="n"/>
      <c r="I1109" s="320" t="n"/>
      <c r="J1109" s="325">
        <f>IF(COUNTA(A1109:F1109)=0,"",IF(OR(C1109&lt;0,D1109&lt;0,E1109&lt;0,F1109&lt;0),"ERRO: valor negativo",IF(C1109&lt;&gt;SUM(D1109:F1109),"ERRO: categorias diferem dos respondentes",IF(COUNTIFS($A$5:$A$1200,A1109,$B$5:$B$1200,B1109)&gt;1,"ERRO: período e curso duplicados","OK"))))</f>
        <v/>
      </c>
    </row>
    <row r="1110" ht="15" customHeight="1" s="131">
      <c r="A1110" s="320" t="n"/>
      <c r="B1110" s="323" t="n"/>
      <c r="C1110" s="320" t="n"/>
      <c r="D1110" s="320" t="n"/>
      <c r="E1110" s="320" t="n"/>
      <c r="F1110" s="320" t="n"/>
      <c r="G1110" s="284">
        <f>IFERROR((D1110-F1110)/C1110*100,"")</f>
        <v/>
      </c>
      <c r="H1110" s="324" t="n"/>
      <c r="I1110" s="320" t="n"/>
      <c r="J1110" s="325">
        <f>IF(COUNTA(A1110:F1110)=0,"",IF(OR(C1110&lt;0,D1110&lt;0,E1110&lt;0,F1110&lt;0),"ERRO: valor negativo",IF(C1110&lt;&gt;SUM(D1110:F1110),"ERRO: categorias diferem dos respondentes",IF(COUNTIFS($A$5:$A$1200,A1110,$B$5:$B$1200,B1110)&gt;1,"ERRO: período e curso duplicados","OK"))))</f>
        <v/>
      </c>
    </row>
    <row r="1111" ht="15" customHeight="1" s="131">
      <c r="A1111" s="320" t="n"/>
      <c r="B1111" s="323" t="n"/>
      <c r="C1111" s="320" t="n"/>
      <c r="D1111" s="320" t="n"/>
      <c r="E1111" s="320" t="n"/>
      <c r="F1111" s="320" t="n"/>
      <c r="G1111" s="284">
        <f>IFERROR((D1111-F1111)/C1111*100,"")</f>
        <v/>
      </c>
      <c r="H1111" s="324" t="n"/>
      <c r="I1111" s="320" t="n"/>
      <c r="J1111" s="325">
        <f>IF(COUNTA(A1111:F1111)=0,"",IF(OR(C1111&lt;0,D1111&lt;0,E1111&lt;0,F1111&lt;0),"ERRO: valor negativo",IF(C1111&lt;&gt;SUM(D1111:F1111),"ERRO: categorias diferem dos respondentes",IF(COUNTIFS($A$5:$A$1200,A1111,$B$5:$B$1200,B1111)&gt;1,"ERRO: período e curso duplicados","OK"))))</f>
        <v/>
      </c>
    </row>
    <row r="1112" ht="15" customHeight="1" s="131">
      <c r="A1112" s="320" t="n"/>
      <c r="B1112" s="323" t="n"/>
      <c r="C1112" s="320" t="n"/>
      <c r="D1112" s="320" t="n"/>
      <c r="E1112" s="320" t="n"/>
      <c r="F1112" s="320" t="n"/>
      <c r="G1112" s="284">
        <f>IFERROR((D1112-F1112)/C1112*100,"")</f>
        <v/>
      </c>
      <c r="H1112" s="324" t="n"/>
      <c r="I1112" s="320" t="n"/>
      <c r="J1112" s="325">
        <f>IF(COUNTA(A1112:F1112)=0,"",IF(OR(C1112&lt;0,D1112&lt;0,E1112&lt;0,F1112&lt;0),"ERRO: valor negativo",IF(C1112&lt;&gt;SUM(D1112:F1112),"ERRO: categorias diferem dos respondentes",IF(COUNTIFS($A$5:$A$1200,A1112,$B$5:$B$1200,B1112)&gt;1,"ERRO: período e curso duplicados","OK"))))</f>
        <v/>
      </c>
    </row>
    <row r="1113" ht="15" customHeight="1" s="131">
      <c r="A1113" s="320" t="n"/>
      <c r="B1113" s="323" t="n"/>
      <c r="C1113" s="320" t="n"/>
      <c r="D1113" s="320" t="n"/>
      <c r="E1113" s="320" t="n"/>
      <c r="F1113" s="320" t="n"/>
      <c r="G1113" s="284">
        <f>IFERROR((D1113-F1113)/C1113*100,"")</f>
        <v/>
      </c>
      <c r="H1113" s="324" t="n"/>
      <c r="I1113" s="320" t="n"/>
      <c r="J1113" s="325">
        <f>IF(COUNTA(A1113:F1113)=0,"",IF(OR(C1113&lt;0,D1113&lt;0,E1113&lt;0,F1113&lt;0),"ERRO: valor negativo",IF(C1113&lt;&gt;SUM(D1113:F1113),"ERRO: categorias diferem dos respondentes",IF(COUNTIFS($A$5:$A$1200,A1113,$B$5:$B$1200,B1113)&gt;1,"ERRO: período e curso duplicados","OK"))))</f>
        <v/>
      </c>
    </row>
    <row r="1114" ht="15" customHeight="1" s="131">
      <c r="A1114" s="320" t="n"/>
      <c r="B1114" s="323" t="n"/>
      <c r="C1114" s="320" t="n"/>
      <c r="D1114" s="320" t="n"/>
      <c r="E1114" s="320" t="n"/>
      <c r="F1114" s="320" t="n"/>
      <c r="G1114" s="284">
        <f>IFERROR((D1114-F1114)/C1114*100,"")</f>
        <v/>
      </c>
      <c r="H1114" s="324" t="n"/>
      <c r="I1114" s="320" t="n"/>
      <c r="J1114" s="325">
        <f>IF(COUNTA(A1114:F1114)=0,"",IF(OR(C1114&lt;0,D1114&lt;0,E1114&lt;0,F1114&lt;0),"ERRO: valor negativo",IF(C1114&lt;&gt;SUM(D1114:F1114),"ERRO: categorias diferem dos respondentes",IF(COUNTIFS($A$5:$A$1200,A1114,$B$5:$B$1200,B1114)&gt;1,"ERRO: período e curso duplicados","OK"))))</f>
        <v/>
      </c>
    </row>
    <row r="1115" ht="15" customHeight="1" s="131">
      <c r="A1115" s="320" t="n"/>
      <c r="B1115" s="323" t="n"/>
      <c r="C1115" s="320" t="n"/>
      <c r="D1115" s="320" t="n"/>
      <c r="E1115" s="320" t="n"/>
      <c r="F1115" s="320" t="n"/>
      <c r="G1115" s="284">
        <f>IFERROR((D1115-F1115)/C1115*100,"")</f>
        <v/>
      </c>
      <c r="H1115" s="324" t="n"/>
      <c r="I1115" s="320" t="n"/>
      <c r="J1115" s="325">
        <f>IF(COUNTA(A1115:F1115)=0,"",IF(OR(C1115&lt;0,D1115&lt;0,E1115&lt;0,F1115&lt;0),"ERRO: valor negativo",IF(C1115&lt;&gt;SUM(D1115:F1115),"ERRO: categorias diferem dos respondentes",IF(COUNTIFS($A$5:$A$1200,A1115,$B$5:$B$1200,B1115)&gt;1,"ERRO: período e curso duplicados","OK"))))</f>
        <v/>
      </c>
    </row>
    <row r="1116" ht="15" customHeight="1" s="131">
      <c r="A1116" s="320" t="n"/>
      <c r="B1116" s="323" t="n"/>
      <c r="C1116" s="320" t="n"/>
      <c r="D1116" s="320" t="n"/>
      <c r="E1116" s="320" t="n"/>
      <c r="F1116" s="320" t="n"/>
      <c r="G1116" s="284">
        <f>IFERROR((D1116-F1116)/C1116*100,"")</f>
        <v/>
      </c>
      <c r="H1116" s="324" t="n"/>
      <c r="I1116" s="320" t="n"/>
      <c r="J1116" s="325">
        <f>IF(COUNTA(A1116:F1116)=0,"",IF(OR(C1116&lt;0,D1116&lt;0,E1116&lt;0,F1116&lt;0),"ERRO: valor negativo",IF(C1116&lt;&gt;SUM(D1116:F1116),"ERRO: categorias diferem dos respondentes",IF(COUNTIFS($A$5:$A$1200,A1116,$B$5:$B$1200,B1116)&gt;1,"ERRO: período e curso duplicados","OK"))))</f>
        <v/>
      </c>
    </row>
    <row r="1117" ht="15" customHeight="1" s="131">
      <c r="A1117" s="320" t="n"/>
      <c r="B1117" s="323" t="n"/>
      <c r="C1117" s="320" t="n"/>
      <c r="D1117" s="320" t="n"/>
      <c r="E1117" s="320" t="n"/>
      <c r="F1117" s="320" t="n"/>
      <c r="G1117" s="284">
        <f>IFERROR((D1117-F1117)/C1117*100,"")</f>
        <v/>
      </c>
      <c r="H1117" s="324" t="n"/>
      <c r="I1117" s="320" t="n"/>
      <c r="J1117" s="325">
        <f>IF(COUNTA(A1117:F1117)=0,"",IF(OR(C1117&lt;0,D1117&lt;0,E1117&lt;0,F1117&lt;0),"ERRO: valor negativo",IF(C1117&lt;&gt;SUM(D1117:F1117),"ERRO: categorias diferem dos respondentes",IF(COUNTIFS($A$5:$A$1200,A1117,$B$5:$B$1200,B1117)&gt;1,"ERRO: período e curso duplicados","OK"))))</f>
        <v/>
      </c>
    </row>
    <row r="1118" ht="15" customHeight="1" s="131">
      <c r="A1118" s="320" t="n"/>
      <c r="B1118" s="323" t="n"/>
      <c r="C1118" s="320" t="n"/>
      <c r="D1118" s="320" t="n"/>
      <c r="E1118" s="320" t="n"/>
      <c r="F1118" s="320" t="n"/>
      <c r="G1118" s="284">
        <f>IFERROR((D1118-F1118)/C1118*100,"")</f>
        <v/>
      </c>
      <c r="H1118" s="324" t="n"/>
      <c r="I1118" s="320" t="n"/>
      <c r="J1118" s="325">
        <f>IF(COUNTA(A1118:F1118)=0,"",IF(OR(C1118&lt;0,D1118&lt;0,E1118&lt;0,F1118&lt;0),"ERRO: valor negativo",IF(C1118&lt;&gt;SUM(D1118:F1118),"ERRO: categorias diferem dos respondentes",IF(COUNTIFS($A$5:$A$1200,A1118,$B$5:$B$1200,B1118)&gt;1,"ERRO: período e curso duplicados","OK"))))</f>
        <v/>
      </c>
    </row>
    <row r="1119" ht="15" customHeight="1" s="131">
      <c r="A1119" s="320" t="n"/>
      <c r="B1119" s="323" t="n"/>
      <c r="C1119" s="320" t="n"/>
      <c r="D1119" s="320" t="n"/>
      <c r="E1119" s="320" t="n"/>
      <c r="F1119" s="320" t="n"/>
      <c r="G1119" s="284">
        <f>IFERROR((D1119-F1119)/C1119*100,"")</f>
        <v/>
      </c>
      <c r="H1119" s="324" t="n"/>
      <c r="I1119" s="320" t="n"/>
      <c r="J1119" s="325">
        <f>IF(COUNTA(A1119:F1119)=0,"",IF(OR(C1119&lt;0,D1119&lt;0,E1119&lt;0,F1119&lt;0),"ERRO: valor negativo",IF(C1119&lt;&gt;SUM(D1119:F1119),"ERRO: categorias diferem dos respondentes",IF(COUNTIFS($A$5:$A$1200,A1119,$B$5:$B$1200,B1119)&gt;1,"ERRO: período e curso duplicados","OK"))))</f>
        <v/>
      </c>
    </row>
    <row r="1120" ht="15" customHeight="1" s="131">
      <c r="A1120" s="320" t="n"/>
      <c r="B1120" s="323" t="n"/>
      <c r="C1120" s="320" t="n"/>
      <c r="D1120" s="320" t="n"/>
      <c r="E1120" s="320" t="n"/>
      <c r="F1120" s="320" t="n"/>
      <c r="G1120" s="284">
        <f>IFERROR((D1120-F1120)/C1120*100,"")</f>
        <v/>
      </c>
      <c r="H1120" s="324" t="n"/>
      <c r="I1120" s="320" t="n"/>
      <c r="J1120" s="325">
        <f>IF(COUNTA(A1120:F1120)=0,"",IF(OR(C1120&lt;0,D1120&lt;0,E1120&lt;0,F1120&lt;0),"ERRO: valor negativo",IF(C1120&lt;&gt;SUM(D1120:F1120),"ERRO: categorias diferem dos respondentes",IF(COUNTIFS($A$5:$A$1200,A1120,$B$5:$B$1200,B1120)&gt;1,"ERRO: período e curso duplicados","OK"))))</f>
        <v/>
      </c>
    </row>
    <row r="1121" ht="15" customHeight="1" s="131">
      <c r="A1121" s="320" t="n"/>
      <c r="B1121" s="323" t="n"/>
      <c r="C1121" s="320" t="n"/>
      <c r="D1121" s="320" t="n"/>
      <c r="E1121" s="320" t="n"/>
      <c r="F1121" s="320" t="n"/>
      <c r="G1121" s="284">
        <f>IFERROR((D1121-F1121)/C1121*100,"")</f>
        <v/>
      </c>
      <c r="H1121" s="324" t="n"/>
      <c r="I1121" s="320" t="n"/>
      <c r="J1121" s="325">
        <f>IF(COUNTA(A1121:F1121)=0,"",IF(OR(C1121&lt;0,D1121&lt;0,E1121&lt;0,F1121&lt;0),"ERRO: valor negativo",IF(C1121&lt;&gt;SUM(D1121:F1121),"ERRO: categorias diferem dos respondentes",IF(COUNTIFS($A$5:$A$1200,A1121,$B$5:$B$1200,B1121)&gt;1,"ERRO: período e curso duplicados","OK"))))</f>
        <v/>
      </c>
    </row>
    <row r="1122" ht="15" customHeight="1" s="131">
      <c r="A1122" s="320" t="n"/>
      <c r="B1122" s="323" t="n"/>
      <c r="C1122" s="320" t="n"/>
      <c r="D1122" s="320" t="n"/>
      <c r="E1122" s="320" t="n"/>
      <c r="F1122" s="320" t="n"/>
      <c r="G1122" s="284">
        <f>IFERROR((D1122-F1122)/C1122*100,"")</f>
        <v/>
      </c>
      <c r="H1122" s="324" t="n"/>
      <c r="I1122" s="320" t="n"/>
      <c r="J1122" s="325">
        <f>IF(COUNTA(A1122:F1122)=0,"",IF(OR(C1122&lt;0,D1122&lt;0,E1122&lt;0,F1122&lt;0),"ERRO: valor negativo",IF(C1122&lt;&gt;SUM(D1122:F1122),"ERRO: categorias diferem dos respondentes",IF(COUNTIFS($A$5:$A$1200,A1122,$B$5:$B$1200,B1122)&gt;1,"ERRO: período e curso duplicados","OK"))))</f>
        <v/>
      </c>
    </row>
    <row r="1123" ht="15" customHeight="1" s="131">
      <c r="A1123" s="320" t="n"/>
      <c r="B1123" s="323" t="n"/>
      <c r="C1123" s="320" t="n"/>
      <c r="D1123" s="320" t="n"/>
      <c r="E1123" s="320" t="n"/>
      <c r="F1123" s="320" t="n"/>
      <c r="G1123" s="284">
        <f>IFERROR((D1123-F1123)/C1123*100,"")</f>
        <v/>
      </c>
      <c r="H1123" s="324" t="n"/>
      <c r="I1123" s="320" t="n"/>
      <c r="J1123" s="325">
        <f>IF(COUNTA(A1123:F1123)=0,"",IF(OR(C1123&lt;0,D1123&lt;0,E1123&lt;0,F1123&lt;0),"ERRO: valor negativo",IF(C1123&lt;&gt;SUM(D1123:F1123),"ERRO: categorias diferem dos respondentes",IF(COUNTIFS($A$5:$A$1200,A1123,$B$5:$B$1200,B1123)&gt;1,"ERRO: período e curso duplicados","OK"))))</f>
        <v/>
      </c>
    </row>
    <row r="1124" ht="15" customHeight="1" s="131">
      <c r="A1124" s="320" t="n"/>
      <c r="B1124" s="323" t="n"/>
      <c r="C1124" s="320" t="n"/>
      <c r="D1124" s="320" t="n"/>
      <c r="E1124" s="320" t="n"/>
      <c r="F1124" s="320" t="n"/>
      <c r="G1124" s="284">
        <f>IFERROR((D1124-F1124)/C1124*100,"")</f>
        <v/>
      </c>
      <c r="H1124" s="324" t="n"/>
      <c r="I1124" s="320" t="n"/>
      <c r="J1124" s="325">
        <f>IF(COUNTA(A1124:F1124)=0,"",IF(OR(C1124&lt;0,D1124&lt;0,E1124&lt;0,F1124&lt;0),"ERRO: valor negativo",IF(C1124&lt;&gt;SUM(D1124:F1124),"ERRO: categorias diferem dos respondentes",IF(COUNTIFS($A$5:$A$1200,A1124,$B$5:$B$1200,B1124)&gt;1,"ERRO: período e curso duplicados","OK"))))</f>
        <v/>
      </c>
    </row>
    <row r="1125" ht="15" customHeight="1" s="131">
      <c r="A1125" s="320" t="n"/>
      <c r="B1125" s="323" t="n"/>
      <c r="C1125" s="320" t="n"/>
      <c r="D1125" s="320" t="n"/>
      <c r="E1125" s="320" t="n"/>
      <c r="F1125" s="320" t="n"/>
      <c r="G1125" s="284">
        <f>IFERROR((D1125-F1125)/C1125*100,"")</f>
        <v/>
      </c>
      <c r="H1125" s="324" t="n"/>
      <c r="I1125" s="320" t="n"/>
      <c r="J1125" s="325">
        <f>IF(COUNTA(A1125:F1125)=0,"",IF(OR(C1125&lt;0,D1125&lt;0,E1125&lt;0,F1125&lt;0),"ERRO: valor negativo",IF(C1125&lt;&gt;SUM(D1125:F1125),"ERRO: categorias diferem dos respondentes",IF(COUNTIFS($A$5:$A$1200,A1125,$B$5:$B$1200,B1125)&gt;1,"ERRO: período e curso duplicados","OK"))))</f>
        <v/>
      </c>
    </row>
    <row r="1126" ht="15" customHeight="1" s="131">
      <c r="A1126" s="320" t="n"/>
      <c r="B1126" s="323" t="n"/>
      <c r="C1126" s="320" t="n"/>
      <c r="D1126" s="320" t="n"/>
      <c r="E1126" s="320" t="n"/>
      <c r="F1126" s="320" t="n"/>
      <c r="G1126" s="284">
        <f>IFERROR((D1126-F1126)/C1126*100,"")</f>
        <v/>
      </c>
      <c r="H1126" s="324" t="n"/>
      <c r="I1126" s="320" t="n"/>
      <c r="J1126" s="325">
        <f>IF(COUNTA(A1126:F1126)=0,"",IF(OR(C1126&lt;0,D1126&lt;0,E1126&lt;0,F1126&lt;0),"ERRO: valor negativo",IF(C1126&lt;&gt;SUM(D1126:F1126),"ERRO: categorias diferem dos respondentes",IF(COUNTIFS($A$5:$A$1200,A1126,$B$5:$B$1200,B1126)&gt;1,"ERRO: período e curso duplicados","OK"))))</f>
        <v/>
      </c>
    </row>
    <row r="1127" ht="15" customHeight="1" s="131">
      <c r="A1127" s="320" t="n"/>
      <c r="B1127" s="323" t="n"/>
      <c r="C1127" s="320" t="n"/>
      <c r="D1127" s="320" t="n"/>
      <c r="E1127" s="320" t="n"/>
      <c r="F1127" s="320" t="n"/>
      <c r="G1127" s="284">
        <f>IFERROR((D1127-F1127)/C1127*100,"")</f>
        <v/>
      </c>
      <c r="H1127" s="324" t="n"/>
      <c r="I1127" s="320" t="n"/>
      <c r="J1127" s="325">
        <f>IF(COUNTA(A1127:F1127)=0,"",IF(OR(C1127&lt;0,D1127&lt;0,E1127&lt;0,F1127&lt;0),"ERRO: valor negativo",IF(C1127&lt;&gt;SUM(D1127:F1127),"ERRO: categorias diferem dos respondentes",IF(COUNTIFS($A$5:$A$1200,A1127,$B$5:$B$1200,B1127)&gt;1,"ERRO: período e curso duplicados","OK"))))</f>
        <v/>
      </c>
    </row>
    <row r="1128" ht="15" customHeight="1" s="131">
      <c r="A1128" s="320" t="n"/>
      <c r="B1128" s="323" t="n"/>
      <c r="C1128" s="320" t="n"/>
      <c r="D1128" s="320" t="n"/>
      <c r="E1128" s="320" t="n"/>
      <c r="F1128" s="320" t="n"/>
      <c r="G1128" s="284">
        <f>IFERROR((D1128-F1128)/C1128*100,"")</f>
        <v/>
      </c>
      <c r="H1128" s="324" t="n"/>
      <c r="I1128" s="320" t="n"/>
      <c r="J1128" s="325">
        <f>IF(COUNTA(A1128:F1128)=0,"",IF(OR(C1128&lt;0,D1128&lt;0,E1128&lt;0,F1128&lt;0),"ERRO: valor negativo",IF(C1128&lt;&gt;SUM(D1128:F1128),"ERRO: categorias diferem dos respondentes",IF(COUNTIFS($A$5:$A$1200,A1128,$B$5:$B$1200,B1128)&gt;1,"ERRO: período e curso duplicados","OK"))))</f>
        <v/>
      </c>
    </row>
    <row r="1129" ht="15" customHeight="1" s="131">
      <c r="A1129" s="320" t="n"/>
      <c r="B1129" s="323" t="n"/>
      <c r="C1129" s="320" t="n"/>
      <c r="D1129" s="320" t="n"/>
      <c r="E1129" s="320" t="n"/>
      <c r="F1129" s="320" t="n"/>
      <c r="G1129" s="284">
        <f>IFERROR((D1129-F1129)/C1129*100,"")</f>
        <v/>
      </c>
      <c r="H1129" s="324" t="n"/>
      <c r="I1129" s="320" t="n"/>
      <c r="J1129" s="325">
        <f>IF(COUNTA(A1129:F1129)=0,"",IF(OR(C1129&lt;0,D1129&lt;0,E1129&lt;0,F1129&lt;0),"ERRO: valor negativo",IF(C1129&lt;&gt;SUM(D1129:F1129),"ERRO: categorias diferem dos respondentes",IF(COUNTIFS($A$5:$A$1200,A1129,$B$5:$B$1200,B1129)&gt;1,"ERRO: período e curso duplicados","OK"))))</f>
        <v/>
      </c>
    </row>
    <row r="1130" ht="15" customHeight="1" s="131">
      <c r="A1130" s="320" t="n"/>
      <c r="B1130" s="323" t="n"/>
      <c r="C1130" s="320" t="n"/>
      <c r="D1130" s="320" t="n"/>
      <c r="E1130" s="320" t="n"/>
      <c r="F1130" s="320" t="n"/>
      <c r="G1130" s="284">
        <f>IFERROR((D1130-F1130)/C1130*100,"")</f>
        <v/>
      </c>
      <c r="H1130" s="324" t="n"/>
      <c r="I1130" s="320" t="n"/>
      <c r="J1130" s="325">
        <f>IF(COUNTA(A1130:F1130)=0,"",IF(OR(C1130&lt;0,D1130&lt;0,E1130&lt;0,F1130&lt;0),"ERRO: valor negativo",IF(C1130&lt;&gt;SUM(D1130:F1130),"ERRO: categorias diferem dos respondentes",IF(COUNTIFS($A$5:$A$1200,A1130,$B$5:$B$1200,B1130)&gt;1,"ERRO: período e curso duplicados","OK"))))</f>
        <v/>
      </c>
    </row>
    <row r="1131" ht="15" customHeight="1" s="131">
      <c r="A1131" s="320" t="n"/>
      <c r="B1131" s="323" t="n"/>
      <c r="C1131" s="320" t="n"/>
      <c r="D1131" s="320" t="n"/>
      <c r="E1131" s="320" t="n"/>
      <c r="F1131" s="320" t="n"/>
      <c r="G1131" s="284">
        <f>IFERROR((D1131-F1131)/C1131*100,"")</f>
        <v/>
      </c>
      <c r="H1131" s="324" t="n"/>
      <c r="I1131" s="320" t="n"/>
      <c r="J1131" s="325">
        <f>IF(COUNTA(A1131:F1131)=0,"",IF(OR(C1131&lt;0,D1131&lt;0,E1131&lt;0,F1131&lt;0),"ERRO: valor negativo",IF(C1131&lt;&gt;SUM(D1131:F1131),"ERRO: categorias diferem dos respondentes",IF(COUNTIFS($A$5:$A$1200,A1131,$B$5:$B$1200,B1131)&gt;1,"ERRO: período e curso duplicados","OK"))))</f>
        <v/>
      </c>
    </row>
    <row r="1132" ht="15" customHeight="1" s="131">
      <c r="A1132" s="320" t="n"/>
      <c r="B1132" s="323" t="n"/>
      <c r="C1132" s="320" t="n"/>
      <c r="D1132" s="320" t="n"/>
      <c r="E1132" s="320" t="n"/>
      <c r="F1132" s="320" t="n"/>
      <c r="G1132" s="284">
        <f>IFERROR((D1132-F1132)/C1132*100,"")</f>
        <v/>
      </c>
      <c r="H1132" s="324" t="n"/>
      <c r="I1132" s="320" t="n"/>
      <c r="J1132" s="325">
        <f>IF(COUNTA(A1132:F1132)=0,"",IF(OR(C1132&lt;0,D1132&lt;0,E1132&lt;0,F1132&lt;0),"ERRO: valor negativo",IF(C1132&lt;&gt;SUM(D1132:F1132),"ERRO: categorias diferem dos respondentes",IF(COUNTIFS($A$5:$A$1200,A1132,$B$5:$B$1200,B1132)&gt;1,"ERRO: período e curso duplicados","OK"))))</f>
        <v/>
      </c>
    </row>
    <row r="1133" ht="15" customHeight="1" s="131">
      <c r="A1133" s="320" t="n"/>
      <c r="B1133" s="323" t="n"/>
      <c r="C1133" s="320" t="n"/>
      <c r="D1133" s="320" t="n"/>
      <c r="E1133" s="320" t="n"/>
      <c r="F1133" s="320" t="n"/>
      <c r="G1133" s="284">
        <f>IFERROR((D1133-F1133)/C1133*100,"")</f>
        <v/>
      </c>
      <c r="H1133" s="324" t="n"/>
      <c r="I1133" s="320" t="n"/>
      <c r="J1133" s="325">
        <f>IF(COUNTA(A1133:F1133)=0,"",IF(OR(C1133&lt;0,D1133&lt;0,E1133&lt;0,F1133&lt;0),"ERRO: valor negativo",IF(C1133&lt;&gt;SUM(D1133:F1133),"ERRO: categorias diferem dos respondentes",IF(COUNTIFS($A$5:$A$1200,A1133,$B$5:$B$1200,B1133)&gt;1,"ERRO: período e curso duplicados","OK"))))</f>
        <v/>
      </c>
    </row>
    <row r="1134" ht="15" customHeight="1" s="131">
      <c r="A1134" s="320" t="n"/>
      <c r="B1134" s="323" t="n"/>
      <c r="C1134" s="320" t="n"/>
      <c r="D1134" s="320" t="n"/>
      <c r="E1134" s="320" t="n"/>
      <c r="F1134" s="320" t="n"/>
      <c r="G1134" s="284">
        <f>IFERROR((D1134-F1134)/C1134*100,"")</f>
        <v/>
      </c>
      <c r="H1134" s="324" t="n"/>
      <c r="I1134" s="320" t="n"/>
      <c r="J1134" s="325">
        <f>IF(COUNTA(A1134:F1134)=0,"",IF(OR(C1134&lt;0,D1134&lt;0,E1134&lt;0,F1134&lt;0),"ERRO: valor negativo",IF(C1134&lt;&gt;SUM(D1134:F1134),"ERRO: categorias diferem dos respondentes",IF(COUNTIFS($A$5:$A$1200,A1134,$B$5:$B$1200,B1134)&gt;1,"ERRO: período e curso duplicados","OK"))))</f>
        <v/>
      </c>
    </row>
    <row r="1135" ht="15" customHeight="1" s="131">
      <c r="A1135" s="320" t="n"/>
      <c r="B1135" s="323" t="n"/>
      <c r="C1135" s="320" t="n"/>
      <c r="D1135" s="320" t="n"/>
      <c r="E1135" s="320" t="n"/>
      <c r="F1135" s="320" t="n"/>
      <c r="G1135" s="284">
        <f>IFERROR((D1135-F1135)/C1135*100,"")</f>
        <v/>
      </c>
      <c r="H1135" s="324" t="n"/>
      <c r="I1135" s="320" t="n"/>
      <c r="J1135" s="325">
        <f>IF(COUNTA(A1135:F1135)=0,"",IF(OR(C1135&lt;0,D1135&lt;0,E1135&lt;0,F1135&lt;0),"ERRO: valor negativo",IF(C1135&lt;&gt;SUM(D1135:F1135),"ERRO: categorias diferem dos respondentes",IF(COUNTIFS($A$5:$A$1200,A1135,$B$5:$B$1200,B1135)&gt;1,"ERRO: período e curso duplicados","OK"))))</f>
        <v/>
      </c>
    </row>
    <row r="1136" ht="15" customHeight="1" s="131">
      <c r="A1136" s="320" t="n"/>
      <c r="B1136" s="323" t="n"/>
      <c r="C1136" s="320" t="n"/>
      <c r="D1136" s="320" t="n"/>
      <c r="E1136" s="320" t="n"/>
      <c r="F1136" s="320" t="n"/>
      <c r="G1136" s="284">
        <f>IFERROR((D1136-F1136)/C1136*100,"")</f>
        <v/>
      </c>
      <c r="H1136" s="324" t="n"/>
      <c r="I1136" s="320" t="n"/>
      <c r="J1136" s="325">
        <f>IF(COUNTA(A1136:F1136)=0,"",IF(OR(C1136&lt;0,D1136&lt;0,E1136&lt;0,F1136&lt;0),"ERRO: valor negativo",IF(C1136&lt;&gt;SUM(D1136:F1136),"ERRO: categorias diferem dos respondentes",IF(COUNTIFS($A$5:$A$1200,A1136,$B$5:$B$1200,B1136)&gt;1,"ERRO: período e curso duplicados","OK"))))</f>
        <v/>
      </c>
    </row>
    <row r="1137" ht="15" customHeight="1" s="131">
      <c r="A1137" s="320" t="n"/>
      <c r="B1137" s="323" t="n"/>
      <c r="C1137" s="320" t="n"/>
      <c r="D1137" s="320" t="n"/>
      <c r="E1137" s="320" t="n"/>
      <c r="F1137" s="320" t="n"/>
      <c r="G1137" s="284">
        <f>IFERROR((D1137-F1137)/C1137*100,"")</f>
        <v/>
      </c>
      <c r="H1137" s="324" t="n"/>
      <c r="I1137" s="320" t="n"/>
      <c r="J1137" s="325">
        <f>IF(COUNTA(A1137:F1137)=0,"",IF(OR(C1137&lt;0,D1137&lt;0,E1137&lt;0,F1137&lt;0),"ERRO: valor negativo",IF(C1137&lt;&gt;SUM(D1137:F1137),"ERRO: categorias diferem dos respondentes",IF(COUNTIFS($A$5:$A$1200,A1137,$B$5:$B$1200,B1137)&gt;1,"ERRO: período e curso duplicados","OK"))))</f>
        <v/>
      </c>
    </row>
    <row r="1138" ht="15" customHeight="1" s="131">
      <c r="A1138" s="320" t="n"/>
      <c r="B1138" s="323" t="n"/>
      <c r="C1138" s="320" t="n"/>
      <c r="D1138" s="320" t="n"/>
      <c r="E1138" s="320" t="n"/>
      <c r="F1138" s="320" t="n"/>
      <c r="G1138" s="284">
        <f>IFERROR((D1138-F1138)/C1138*100,"")</f>
        <v/>
      </c>
      <c r="H1138" s="324" t="n"/>
      <c r="I1138" s="320" t="n"/>
      <c r="J1138" s="325">
        <f>IF(COUNTA(A1138:F1138)=0,"",IF(OR(C1138&lt;0,D1138&lt;0,E1138&lt;0,F1138&lt;0),"ERRO: valor negativo",IF(C1138&lt;&gt;SUM(D1138:F1138),"ERRO: categorias diferem dos respondentes",IF(COUNTIFS($A$5:$A$1200,A1138,$B$5:$B$1200,B1138)&gt;1,"ERRO: período e curso duplicados","OK"))))</f>
        <v/>
      </c>
    </row>
    <row r="1139" ht="15" customHeight="1" s="131">
      <c r="A1139" s="320" t="n"/>
      <c r="B1139" s="323" t="n"/>
      <c r="C1139" s="320" t="n"/>
      <c r="D1139" s="320" t="n"/>
      <c r="E1139" s="320" t="n"/>
      <c r="F1139" s="320" t="n"/>
      <c r="G1139" s="284">
        <f>IFERROR((D1139-F1139)/C1139*100,"")</f>
        <v/>
      </c>
      <c r="H1139" s="324" t="n"/>
      <c r="I1139" s="320" t="n"/>
      <c r="J1139" s="325">
        <f>IF(COUNTA(A1139:F1139)=0,"",IF(OR(C1139&lt;0,D1139&lt;0,E1139&lt;0,F1139&lt;0),"ERRO: valor negativo",IF(C1139&lt;&gt;SUM(D1139:F1139),"ERRO: categorias diferem dos respondentes",IF(COUNTIFS($A$5:$A$1200,A1139,$B$5:$B$1200,B1139)&gt;1,"ERRO: período e curso duplicados","OK"))))</f>
        <v/>
      </c>
    </row>
    <row r="1140" ht="15" customHeight="1" s="131">
      <c r="A1140" s="320" t="n"/>
      <c r="B1140" s="323" t="n"/>
      <c r="C1140" s="320" t="n"/>
      <c r="D1140" s="320" t="n"/>
      <c r="E1140" s="320" t="n"/>
      <c r="F1140" s="320" t="n"/>
      <c r="G1140" s="284">
        <f>IFERROR((D1140-F1140)/C1140*100,"")</f>
        <v/>
      </c>
      <c r="H1140" s="324" t="n"/>
      <c r="I1140" s="320" t="n"/>
      <c r="J1140" s="325">
        <f>IF(COUNTA(A1140:F1140)=0,"",IF(OR(C1140&lt;0,D1140&lt;0,E1140&lt;0,F1140&lt;0),"ERRO: valor negativo",IF(C1140&lt;&gt;SUM(D1140:F1140),"ERRO: categorias diferem dos respondentes",IF(COUNTIFS($A$5:$A$1200,A1140,$B$5:$B$1200,B1140)&gt;1,"ERRO: período e curso duplicados","OK"))))</f>
        <v/>
      </c>
    </row>
    <row r="1141" ht="15" customHeight="1" s="131">
      <c r="A1141" s="320" t="n"/>
      <c r="B1141" s="323" t="n"/>
      <c r="C1141" s="320" t="n"/>
      <c r="D1141" s="320" t="n"/>
      <c r="E1141" s="320" t="n"/>
      <c r="F1141" s="320" t="n"/>
      <c r="G1141" s="284">
        <f>IFERROR((D1141-F1141)/C1141*100,"")</f>
        <v/>
      </c>
      <c r="H1141" s="324" t="n"/>
      <c r="I1141" s="320" t="n"/>
      <c r="J1141" s="325">
        <f>IF(COUNTA(A1141:F1141)=0,"",IF(OR(C1141&lt;0,D1141&lt;0,E1141&lt;0,F1141&lt;0),"ERRO: valor negativo",IF(C1141&lt;&gt;SUM(D1141:F1141),"ERRO: categorias diferem dos respondentes",IF(COUNTIFS($A$5:$A$1200,A1141,$B$5:$B$1200,B1141)&gt;1,"ERRO: período e curso duplicados","OK"))))</f>
        <v/>
      </c>
    </row>
    <row r="1142" ht="15" customHeight="1" s="131">
      <c r="A1142" s="320" t="n"/>
      <c r="B1142" s="323" t="n"/>
      <c r="C1142" s="320" t="n"/>
      <c r="D1142" s="320" t="n"/>
      <c r="E1142" s="320" t="n"/>
      <c r="F1142" s="320" t="n"/>
      <c r="G1142" s="284">
        <f>IFERROR((D1142-F1142)/C1142*100,"")</f>
        <v/>
      </c>
      <c r="H1142" s="324" t="n"/>
      <c r="I1142" s="320" t="n"/>
      <c r="J1142" s="325">
        <f>IF(COUNTA(A1142:F1142)=0,"",IF(OR(C1142&lt;0,D1142&lt;0,E1142&lt;0,F1142&lt;0),"ERRO: valor negativo",IF(C1142&lt;&gt;SUM(D1142:F1142),"ERRO: categorias diferem dos respondentes",IF(COUNTIFS($A$5:$A$1200,A1142,$B$5:$B$1200,B1142)&gt;1,"ERRO: período e curso duplicados","OK"))))</f>
        <v/>
      </c>
    </row>
    <row r="1143" ht="15" customHeight="1" s="131">
      <c r="A1143" s="320" t="n"/>
      <c r="B1143" s="323" t="n"/>
      <c r="C1143" s="320" t="n"/>
      <c r="D1143" s="320" t="n"/>
      <c r="E1143" s="320" t="n"/>
      <c r="F1143" s="320" t="n"/>
      <c r="G1143" s="284">
        <f>IFERROR((D1143-F1143)/C1143*100,"")</f>
        <v/>
      </c>
      <c r="H1143" s="324" t="n"/>
      <c r="I1143" s="320" t="n"/>
      <c r="J1143" s="325">
        <f>IF(COUNTA(A1143:F1143)=0,"",IF(OR(C1143&lt;0,D1143&lt;0,E1143&lt;0,F1143&lt;0),"ERRO: valor negativo",IF(C1143&lt;&gt;SUM(D1143:F1143),"ERRO: categorias diferem dos respondentes",IF(COUNTIFS($A$5:$A$1200,A1143,$B$5:$B$1200,B1143)&gt;1,"ERRO: período e curso duplicados","OK"))))</f>
        <v/>
      </c>
    </row>
    <row r="1144" ht="15" customHeight="1" s="131">
      <c r="A1144" s="320" t="n"/>
      <c r="B1144" s="323" t="n"/>
      <c r="C1144" s="320" t="n"/>
      <c r="D1144" s="320" t="n"/>
      <c r="E1144" s="320" t="n"/>
      <c r="F1144" s="320" t="n"/>
      <c r="G1144" s="284">
        <f>IFERROR((D1144-F1144)/C1144*100,"")</f>
        <v/>
      </c>
      <c r="H1144" s="324" t="n"/>
      <c r="I1144" s="320" t="n"/>
      <c r="J1144" s="325">
        <f>IF(COUNTA(A1144:F1144)=0,"",IF(OR(C1144&lt;0,D1144&lt;0,E1144&lt;0,F1144&lt;0),"ERRO: valor negativo",IF(C1144&lt;&gt;SUM(D1144:F1144),"ERRO: categorias diferem dos respondentes",IF(COUNTIFS($A$5:$A$1200,A1144,$B$5:$B$1200,B1144)&gt;1,"ERRO: período e curso duplicados","OK"))))</f>
        <v/>
      </c>
    </row>
    <row r="1145" ht="15" customHeight="1" s="131">
      <c r="A1145" s="320" t="n"/>
      <c r="B1145" s="323" t="n"/>
      <c r="C1145" s="320" t="n"/>
      <c r="D1145" s="320" t="n"/>
      <c r="E1145" s="320" t="n"/>
      <c r="F1145" s="320" t="n"/>
      <c r="G1145" s="284">
        <f>IFERROR((D1145-F1145)/C1145*100,"")</f>
        <v/>
      </c>
      <c r="H1145" s="324" t="n"/>
      <c r="I1145" s="320" t="n"/>
      <c r="J1145" s="325">
        <f>IF(COUNTA(A1145:F1145)=0,"",IF(OR(C1145&lt;0,D1145&lt;0,E1145&lt;0,F1145&lt;0),"ERRO: valor negativo",IF(C1145&lt;&gt;SUM(D1145:F1145),"ERRO: categorias diferem dos respondentes",IF(COUNTIFS($A$5:$A$1200,A1145,$B$5:$B$1200,B1145)&gt;1,"ERRO: período e curso duplicados","OK"))))</f>
        <v/>
      </c>
    </row>
    <row r="1146" ht="15" customHeight="1" s="131">
      <c r="A1146" s="320" t="n"/>
      <c r="B1146" s="323" t="n"/>
      <c r="C1146" s="320" t="n"/>
      <c r="D1146" s="320" t="n"/>
      <c r="E1146" s="320" t="n"/>
      <c r="F1146" s="320" t="n"/>
      <c r="G1146" s="284">
        <f>IFERROR((D1146-F1146)/C1146*100,"")</f>
        <v/>
      </c>
      <c r="H1146" s="324" t="n"/>
      <c r="I1146" s="320" t="n"/>
      <c r="J1146" s="325">
        <f>IF(COUNTA(A1146:F1146)=0,"",IF(OR(C1146&lt;0,D1146&lt;0,E1146&lt;0,F1146&lt;0),"ERRO: valor negativo",IF(C1146&lt;&gt;SUM(D1146:F1146),"ERRO: categorias diferem dos respondentes",IF(COUNTIFS($A$5:$A$1200,A1146,$B$5:$B$1200,B1146)&gt;1,"ERRO: período e curso duplicados","OK"))))</f>
        <v/>
      </c>
    </row>
    <row r="1147" ht="15" customHeight="1" s="131">
      <c r="A1147" s="320" t="n"/>
      <c r="B1147" s="323" t="n"/>
      <c r="C1147" s="320" t="n"/>
      <c r="D1147" s="320" t="n"/>
      <c r="E1147" s="320" t="n"/>
      <c r="F1147" s="320" t="n"/>
      <c r="G1147" s="284">
        <f>IFERROR((D1147-F1147)/C1147*100,"")</f>
        <v/>
      </c>
      <c r="H1147" s="324" t="n"/>
      <c r="I1147" s="320" t="n"/>
      <c r="J1147" s="325">
        <f>IF(COUNTA(A1147:F1147)=0,"",IF(OR(C1147&lt;0,D1147&lt;0,E1147&lt;0,F1147&lt;0),"ERRO: valor negativo",IF(C1147&lt;&gt;SUM(D1147:F1147),"ERRO: categorias diferem dos respondentes",IF(COUNTIFS($A$5:$A$1200,A1147,$B$5:$B$1200,B1147)&gt;1,"ERRO: período e curso duplicados","OK"))))</f>
        <v/>
      </c>
    </row>
    <row r="1148" ht="15" customHeight="1" s="131">
      <c r="A1148" s="320" t="n"/>
      <c r="B1148" s="323" t="n"/>
      <c r="C1148" s="320" t="n"/>
      <c r="D1148" s="320" t="n"/>
      <c r="E1148" s="320" t="n"/>
      <c r="F1148" s="320" t="n"/>
      <c r="G1148" s="284">
        <f>IFERROR((D1148-F1148)/C1148*100,"")</f>
        <v/>
      </c>
      <c r="H1148" s="324" t="n"/>
      <c r="I1148" s="320" t="n"/>
      <c r="J1148" s="325">
        <f>IF(COUNTA(A1148:F1148)=0,"",IF(OR(C1148&lt;0,D1148&lt;0,E1148&lt;0,F1148&lt;0),"ERRO: valor negativo",IF(C1148&lt;&gt;SUM(D1148:F1148),"ERRO: categorias diferem dos respondentes",IF(COUNTIFS($A$5:$A$1200,A1148,$B$5:$B$1200,B1148)&gt;1,"ERRO: período e curso duplicados","OK"))))</f>
        <v/>
      </c>
    </row>
    <row r="1149" ht="15" customHeight="1" s="131">
      <c r="A1149" s="320" t="n"/>
      <c r="B1149" s="323" t="n"/>
      <c r="C1149" s="320" t="n"/>
      <c r="D1149" s="320" t="n"/>
      <c r="E1149" s="320" t="n"/>
      <c r="F1149" s="320" t="n"/>
      <c r="G1149" s="284">
        <f>IFERROR((D1149-F1149)/C1149*100,"")</f>
        <v/>
      </c>
      <c r="H1149" s="324" t="n"/>
      <c r="I1149" s="320" t="n"/>
      <c r="J1149" s="325">
        <f>IF(COUNTA(A1149:F1149)=0,"",IF(OR(C1149&lt;0,D1149&lt;0,E1149&lt;0,F1149&lt;0),"ERRO: valor negativo",IF(C1149&lt;&gt;SUM(D1149:F1149),"ERRO: categorias diferem dos respondentes",IF(COUNTIFS($A$5:$A$1200,A1149,$B$5:$B$1200,B1149)&gt;1,"ERRO: período e curso duplicados","OK"))))</f>
        <v/>
      </c>
    </row>
    <row r="1150" ht="15" customHeight="1" s="131">
      <c r="A1150" s="320" t="n"/>
      <c r="B1150" s="323" t="n"/>
      <c r="C1150" s="320" t="n"/>
      <c r="D1150" s="320" t="n"/>
      <c r="E1150" s="320" t="n"/>
      <c r="F1150" s="320" t="n"/>
      <c r="G1150" s="284">
        <f>IFERROR((D1150-F1150)/C1150*100,"")</f>
        <v/>
      </c>
      <c r="H1150" s="324" t="n"/>
      <c r="I1150" s="320" t="n"/>
      <c r="J1150" s="325">
        <f>IF(COUNTA(A1150:F1150)=0,"",IF(OR(C1150&lt;0,D1150&lt;0,E1150&lt;0,F1150&lt;0),"ERRO: valor negativo",IF(C1150&lt;&gt;SUM(D1150:F1150),"ERRO: categorias diferem dos respondentes",IF(COUNTIFS($A$5:$A$1200,A1150,$B$5:$B$1200,B1150)&gt;1,"ERRO: período e curso duplicados","OK"))))</f>
        <v/>
      </c>
    </row>
    <row r="1151" ht="15" customHeight="1" s="131">
      <c r="A1151" s="320" t="n"/>
      <c r="B1151" s="323" t="n"/>
      <c r="C1151" s="320" t="n"/>
      <c r="D1151" s="320" t="n"/>
      <c r="E1151" s="320" t="n"/>
      <c r="F1151" s="320" t="n"/>
      <c r="G1151" s="284">
        <f>IFERROR((D1151-F1151)/C1151*100,"")</f>
        <v/>
      </c>
      <c r="H1151" s="324" t="n"/>
      <c r="I1151" s="320" t="n"/>
      <c r="J1151" s="325">
        <f>IF(COUNTA(A1151:F1151)=0,"",IF(OR(C1151&lt;0,D1151&lt;0,E1151&lt;0,F1151&lt;0),"ERRO: valor negativo",IF(C1151&lt;&gt;SUM(D1151:F1151),"ERRO: categorias diferem dos respondentes",IF(COUNTIFS($A$5:$A$1200,A1151,$B$5:$B$1200,B1151)&gt;1,"ERRO: período e curso duplicados","OK"))))</f>
        <v/>
      </c>
    </row>
    <row r="1152" ht="15" customHeight="1" s="131">
      <c r="A1152" s="320" t="n"/>
      <c r="B1152" s="323" t="n"/>
      <c r="C1152" s="320" t="n"/>
      <c r="D1152" s="320" t="n"/>
      <c r="E1152" s="320" t="n"/>
      <c r="F1152" s="320" t="n"/>
      <c r="G1152" s="284">
        <f>IFERROR((D1152-F1152)/C1152*100,"")</f>
        <v/>
      </c>
      <c r="H1152" s="324" t="n"/>
      <c r="I1152" s="320" t="n"/>
      <c r="J1152" s="325">
        <f>IF(COUNTA(A1152:F1152)=0,"",IF(OR(C1152&lt;0,D1152&lt;0,E1152&lt;0,F1152&lt;0),"ERRO: valor negativo",IF(C1152&lt;&gt;SUM(D1152:F1152),"ERRO: categorias diferem dos respondentes",IF(COUNTIFS($A$5:$A$1200,A1152,$B$5:$B$1200,B1152)&gt;1,"ERRO: período e curso duplicados","OK"))))</f>
        <v/>
      </c>
    </row>
    <row r="1153" ht="15" customHeight="1" s="131">
      <c r="A1153" s="320" t="n"/>
      <c r="B1153" s="323" t="n"/>
      <c r="C1153" s="320" t="n"/>
      <c r="D1153" s="320" t="n"/>
      <c r="E1153" s="320" t="n"/>
      <c r="F1153" s="320" t="n"/>
      <c r="G1153" s="284">
        <f>IFERROR((D1153-F1153)/C1153*100,"")</f>
        <v/>
      </c>
      <c r="H1153" s="324" t="n"/>
      <c r="I1153" s="320" t="n"/>
      <c r="J1153" s="325">
        <f>IF(COUNTA(A1153:F1153)=0,"",IF(OR(C1153&lt;0,D1153&lt;0,E1153&lt;0,F1153&lt;0),"ERRO: valor negativo",IF(C1153&lt;&gt;SUM(D1153:F1153),"ERRO: categorias diferem dos respondentes",IF(COUNTIFS($A$5:$A$1200,A1153,$B$5:$B$1200,B1153)&gt;1,"ERRO: período e curso duplicados","OK"))))</f>
        <v/>
      </c>
    </row>
    <row r="1154" ht="15" customHeight="1" s="131">
      <c r="A1154" s="320" t="n"/>
      <c r="B1154" s="323" t="n"/>
      <c r="C1154" s="320" t="n"/>
      <c r="D1154" s="320" t="n"/>
      <c r="E1154" s="320" t="n"/>
      <c r="F1154" s="320" t="n"/>
      <c r="G1154" s="284">
        <f>IFERROR((D1154-F1154)/C1154*100,"")</f>
        <v/>
      </c>
      <c r="H1154" s="324" t="n"/>
      <c r="I1154" s="320" t="n"/>
      <c r="J1154" s="325">
        <f>IF(COUNTA(A1154:F1154)=0,"",IF(OR(C1154&lt;0,D1154&lt;0,E1154&lt;0,F1154&lt;0),"ERRO: valor negativo",IF(C1154&lt;&gt;SUM(D1154:F1154),"ERRO: categorias diferem dos respondentes",IF(COUNTIFS($A$5:$A$1200,A1154,$B$5:$B$1200,B1154)&gt;1,"ERRO: período e curso duplicados","OK"))))</f>
        <v/>
      </c>
    </row>
    <row r="1155" ht="15" customHeight="1" s="131">
      <c r="A1155" s="320" t="n"/>
      <c r="B1155" s="323" t="n"/>
      <c r="C1155" s="320" t="n"/>
      <c r="D1155" s="320" t="n"/>
      <c r="E1155" s="320" t="n"/>
      <c r="F1155" s="320" t="n"/>
      <c r="G1155" s="284">
        <f>IFERROR((D1155-F1155)/C1155*100,"")</f>
        <v/>
      </c>
      <c r="H1155" s="324" t="n"/>
      <c r="I1155" s="320" t="n"/>
      <c r="J1155" s="325">
        <f>IF(COUNTA(A1155:F1155)=0,"",IF(OR(C1155&lt;0,D1155&lt;0,E1155&lt;0,F1155&lt;0),"ERRO: valor negativo",IF(C1155&lt;&gt;SUM(D1155:F1155),"ERRO: categorias diferem dos respondentes",IF(COUNTIFS($A$5:$A$1200,A1155,$B$5:$B$1200,B1155)&gt;1,"ERRO: período e curso duplicados","OK"))))</f>
        <v/>
      </c>
    </row>
    <row r="1156" ht="15" customHeight="1" s="131">
      <c r="A1156" s="320" t="n"/>
      <c r="B1156" s="323" t="n"/>
      <c r="C1156" s="320" t="n"/>
      <c r="D1156" s="320" t="n"/>
      <c r="E1156" s="320" t="n"/>
      <c r="F1156" s="320" t="n"/>
      <c r="G1156" s="284">
        <f>IFERROR((D1156-F1156)/C1156*100,"")</f>
        <v/>
      </c>
      <c r="H1156" s="324" t="n"/>
      <c r="I1156" s="320" t="n"/>
      <c r="J1156" s="325">
        <f>IF(COUNTA(A1156:F1156)=0,"",IF(OR(C1156&lt;0,D1156&lt;0,E1156&lt;0,F1156&lt;0),"ERRO: valor negativo",IF(C1156&lt;&gt;SUM(D1156:F1156),"ERRO: categorias diferem dos respondentes",IF(COUNTIFS($A$5:$A$1200,A1156,$B$5:$B$1200,B1156)&gt;1,"ERRO: período e curso duplicados","OK"))))</f>
        <v/>
      </c>
    </row>
    <row r="1157" ht="15" customHeight="1" s="131">
      <c r="A1157" s="320" t="n"/>
      <c r="B1157" s="323" t="n"/>
      <c r="C1157" s="320" t="n"/>
      <c r="D1157" s="320" t="n"/>
      <c r="E1157" s="320" t="n"/>
      <c r="F1157" s="320" t="n"/>
      <c r="G1157" s="284">
        <f>IFERROR((D1157-F1157)/C1157*100,"")</f>
        <v/>
      </c>
      <c r="H1157" s="324" t="n"/>
      <c r="I1157" s="320" t="n"/>
      <c r="J1157" s="325">
        <f>IF(COUNTA(A1157:F1157)=0,"",IF(OR(C1157&lt;0,D1157&lt;0,E1157&lt;0,F1157&lt;0),"ERRO: valor negativo",IF(C1157&lt;&gt;SUM(D1157:F1157),"ERRO: categorias diferem dos respondentes",IF(COUNTIFS($A$5:$A$1200,A1157,$B$5:$B$1200,B1157)&gt;1,"ERRO: período e curso duplicados","OK"))))</f>
        <v/>
      </c>
    </row>
    <row r="1158" ht="15" customHeight="1" s="131">
      <c r="A1158" s="320" t="n"/>
      <c r="B1158" s="323" t="n"/>
      <c r="C1158" s="320" t="n"/>
      <c r="D1158" s="320" t="n"/>
      <c r="E1158" s="320" t="n"/>
      <c r="F1158" s="320" t="n"/>
      <c r="G1158" s="284">
        <f>IFERROR((D1158-F1158)/C1158*100,"")</f>
        <v/>
      </c>
      <c r="H1158" s="324" t="n"/>
      <c r="I1158" s="320" t="n"/>
      <c r="J1158" s="325">
        <f>IF(COUNTA(A1158:F1158)=0,"",IF(OR(C1158&lt;0,D1158&lt;0,E1158&lt;0,F1158&lt;0),"ERRO: valor negativo",IF(C1158&lt;&gt;SUM(D1158:F1158),"ERRO: categorias diferem dos respondentes",IF(COUNTIFS($A$5:$A$1200,A1158,$B$5:$B$1200,B1158)&gt;1,"ERRO: período e curso duplicados","OK"))))</f>
        <v/>
      </c>
    </row>
    <row r="1159" ht="15" customHeight="1" s="131">
      <c r="A1159" s="320" t="n"/>
      <c r="B1159" s="323" t="n"/>
      <c r="C1159" s="320" t="n"/>
      <c r="D1159" s="320" t="n"/>
      <c r="E1159" s="320" t="n"/>
      <c r="F1159" s="320" t="n"/>
      <c r="G1159" s="284">
        <f>IFERROR((D1159-F1159)/C1159*100,"")</f>
        <v/>
      </c>
      <c r="H1159" s="324" t="n"/>
      <c r="I1159" s="320" t="n"/>
      <c r="J1159" s="325">
        <f>IF(COUNTA(A1159:F1159)=0,"",IF(OR(C1159&lt;0,D1159&lt;0,E1159&lt;0,F1159&lt;0),"ERRO: valor negativo",IF(C1159&lt;&gt;SUM(D1159:F1159),"ERRO: categorias diferem dos respondentes",IF(COUNTIFS($A$5:$A$1200,A1159,$B$5:$B$1200,B1159)&gt;1,"ERRO: período e curso duplicados","OK"))))</f>
        <v/>
      </c>
    </row>
    <row r="1160" ht="15" customHeight="1" s="131">
      <c r="A1160" s="320" t="n"/>
      <c r="B1160" s="323" t="n"/>
      <c r="C1160" s="320" t="n"/>
      <c r="D1160" s="320" t="n"/>
      <c r="E1160" s="320" t="n"/>
      <c r="F1160" s="320" t="n"/>
      <c r="G1160" s="284">
        <f>IFERROR((D1160-F1160)/C1160*100,"")</f>
        <v/>
      </c>
      <c r="H1160" s="324" t="n"/>
      <c r="I1160" s="320" t="n"/>
      <c r="J1160" s="325">
        <f>IF(COUNTA(A1160:F1160)=0,"",IF(OR(C1160&lt;0,D1160&lt;0,E1160&lt;0,F1160&lt;0),"ERRO: valor negativo",IF(C1160&lt;&gt;SUM(D1160:F1160),"ERRO: categorias diferem dos respondentes",IF(COUNTIFS($A$5:$A$1200,A1160,$B$5:$B$1200,B1160)&gt;1,"ERRO: período e curso duplicados","OK"))))</f>
        <v/>
      </c>
    </row>
    <row r="1161" ht="15" customHeight="1" s="131">
      <c r="A1161" s="320" t="n"/>
      <c r="B1161" s="323" t="n"/>
      <c r="C1161" s="320" t="n"/>
      <c r="D1161" s="320" t="n"/>
      <c r="E1161" s="320" t="n"/>
      <c r="F1161" s="320" t="n"/>
      <c r="G1161" s="284">
        <f>IFERROR((D1161-F1161)/C1161*100,"")</f>
        <v/>
      </c>
      <c r="H1161" s="324" t="n"/>
      <c r="I1161" s="320" t="n"/>
      <c r="J1161" s="325">
        <f>IF(COUNTA(A1161:F1161)=0,"",IF(OR(C1161&lt;0,D1161&lt;0,E1161&lt;0,F1161&lt;0),"ERRO: valor negativo",IF(C1161&lt;&gt;SUM(D1161:F1161),"ERRO: categorias diferem dos respondentes",IF(COUNTIFS($A$5:$A$1200,A1161,$B$5:$B$1200,B1161)&gt;1,"ERRO: período e curso duplicados","OK"))))</f>
        <v/>
      </c>
    </row>
    <row r="1162" ht="15" customHeight="1" s="131">
      <c r="A1162" s="320" t="n"/>
      <c r="B1162" s="323" t="n"/>
      <c r="C1162" s="320" t="n"/>
      <c r="D1162" s="320" t="n"/>
      <c r="E1162" s="320" t="n"/>
      <c r="F1162" s="320" t="n"/>
      <c r="G1162" s="284">
        <f>IFERROR((D1162-F1162)/C1162*100,"")</f>
        <v/>
      </c>
      <c r="H1162" s="324" t="n"/>
      <c r="I1162" s="320" t="n"/>
      <c r="J1162" s="325">
        <f>IF(COUNTA(A1162:F1162)=0,"",IF(OR(C1162&lt;0,D1162&lt;0,E1162&lt;0,F1162&lt;0),"ERRO: valor negativo",IF(C1162&lt;&gt;SUM(D1162:F1162),"ERRO: categorias diferem dos respondentes",IF(COUNTIFS($A$5:$A$1200,A1162,$B$5:$B$1200,B1162)&gt;1,"ERRO: período e curso duplicados","OK"))))</f>
        <v/>
      </c>
    </row>
    <row r="1163" ht="15" customHeight="1" s="131">
      <c r="A1163" s="320" t="n"/>
      <c r="B1163" s="323" t="n"/>
      <c r="C1163" s="320" t="n"/>
      <c r="D1163" s="320" t="n"/>
      <c r="E1163" s="320" t="n"/>
      <c r="F1163" s="320" t="n"/>
      <c r="G1163" s="284">
        <f>IFERROR((D1163-F1163)/C1163*100,"")</f>
        <v/>
      </c>
      <c r="H1163" s="324" t="n"/>
      <c r="I1163" s="320" t="n"/>
      <c r="J1163" s="325">
        <f>IF(COUNTA(A1163:F1163)=0,"",IF(OR(C1163&lt;0,D1163&lt;0,E1163&lt;0,F1163&lt;0),"ERRO: valor negativo",IF(C1163&lt;&gt;SUM(D1163:F1163),"ERRO: categorias diferem dos respondentes",IF(COUNTIFS($A$5:$A$1200,A1163,$B$5:$B$1200,B1163)&gt;1,"ERRO: período e curso duplicados","OK"))))</f>
        <v/>
      </c>
    </row>
    <row r="1164" ht="15" customHeight="1" s="131">
      <c r="A1164" s="320" t="n"/>
      <c r="B1164" s="323" t="n"/>
      <c r="C1164" s="320" t="n"/>
      <c r="D1164" s="320" t="n"/>
      <c r="E1164" s="320" t="n"/>
      <c r="F1164" s="320" t="n"/>
      <c r="G1164" s="284">
        <f>IFERROR((D1164-F1164)/C1164*100,"")</f>
        <v/>
      </c>
      <c r="H1164" s="324" t="n"/>
      <c r="I1164" s="320" t="n"/>
      <c r="J1164" s="325">
        <f>IF(COUNTA(A1164:F1164)=0,"",IF(OR(C1164&lt;0,D1164&lt;0,E1164&lt;0,F1164&lt;0),"ERRO: valor negativo",IF(C1164&lt;&gt;SUM(D1164:F1164),"ERRO: categorias diferem dos respondentes",IF(COUNTIFS($A$5:$A$1200,A1164,$B$5:$B$1200,B1164)&gt;1,"ERRO: período e curso duplicados","OK"))))</f>
        <v/>
      </c>
    </row>
    <row r="1165" ht="15" customHeight="1" s="131">
      <c r="A1165" s="320" t="n"/>
      <c r="B1165" s="323" t="n"/>
      <c r="C1165" s="320" t="n"/>
      <c r="D1165" s="320" t="n"/>
      <c r="E1165" s="320" t="n"/>
      <c r="F1165" s="320" t="n"/>
      <c r="G1165" s="284">
        <f>IFERROR((D1165-F1165)/C1165*100,"")</f>
        <v/>
      </c>
      <c r="H1165" s="324" t="n"/>
      <c r="I1165" s="320" t="n"/>
      <c r="J1165" s="325">
        <f>IF(COUNTA(A1165:F1165)=0,"",IF(OR(C1165&lt;0,D1165&lt;0,E1165&lt;0,F1165&lt;0),"ERRO: valor negativo",IF(C1165&lt;&gt;SUM(D1165:F1165),"ERRO: categorias diferem dos respondentes",IF(COUNTIFS($A$5:$A$1200,A1165,$B$5:$B$1200,B1165)&gt;1,"ERRO: período e curso duplicados","OK"))))</f>
        <v/>
      </c>
    </row>
    <row r="1166" ht="15" customHeight="1" s="131">
      <c r="A1166" s="320" t="n"/>
      <c r="B1166" s="323" t="n"/>
      <c r="C1166" s="320" t="n"/>
      <c r="D1166" s="320" t="n"/>
      <c r="E1166" s="320" t="n"/>
      <c r="F1166" s="320" t="n"/>
      <c r="G1166" s="284">
        <f>IFERROR((D1166-F1166)/C1166*100,"")</f>
        <v/>
      </c>
      <c r="H1166" s="324" t="n"/>
      <c r="I1166" s="320" t="n"/>
      <c r="J1166" s="325">
        <f>IF(COUNTA(A1166:F1166)=0,"",IF(OR(C1166&lt;0,D1166&lt;0,E1166&lt;0,F1166&lt;0),"ERRO: valor negativo",IF(C1166&lt;&gt;SUM(D1166:F1166),"ERRO: categorias diferem dos respondentes",IF(COUNTIFS($A$5:$A$1200,A1166,$B$5:$B$1200,B1166)&gt;1,"ERRO: período e curso duplicados","OK"))))</f>
        <v/>
      </c>
    </row>
    <row r="1167" ht="15" customHeight="1" s="131">
      <c r="A1167" s="320" t="n"/>
      <c r="B1167" s="323" t="n"/>
      <c r="C1167" s="320" t="n"/>
      <c r="D1167" s="320" t="n"/>
      <c r="E1167" s="320" t="n"/>
      <c r="F1167" s="320" t="n"/>
      <c r="G1167" s="284">
        <f>IFERROR((D1167-F1167)/C1167*100,"")</f>
        <v/>
      </c>
      <c r="H1167" s="324" t="n"/>
      <c r="I1167" s="320" t="n"/>
      <c r="J1167" s="325">
        <f>IF(COUNTA(A1167:F1167)=0,"",IF(OR(C1167&lt;0,D1167&lt;0,E1167&lt;0,F1167&lt;0),"ERRO: valor negativo",IF(C1167&lt;&gt;SUM(D1167:F1167),"ERRO: categorias diferem dos respondentes",IF(COUNTIFS($A$5:$A$1200,A1167,$B$5:$B$1200,B1167)&gt;1,"ERRO: período e curso duplicados","OK"))))</f>
        <v/>
      </c>
    </row>
    <row r="1168" ht="15" customHeight="1" s="131">
      <c r="A1168" s="320" t="n"/>
      <c r="B1168" s="323" t="n"/>
      <c r="C1168" s="320" t="n"/>
      <c r="D1168" s="320" t="n"/>
      <c r="E1168" s="320" t="n"/>
      <c r="F1168" s="320" t="n"/>
      <c r="G1168" s="284">
        <f>IFERROR((D1168-F1168)/C1168*100,"")</f>
        <v/>
      </c>
      <c r="H1168" s="324" t="n"/>
      <c r="I1168" s="320" t="n"/>
      <c r="J1168" s="325">
        <f>IF(COUNTA(A1168:F1168)=0,"",IF(OR(C1168&lt;0,D1168&lt;0,E1168&lt;0,F1168&lt;0),"ERRO: valor negativo",IF(C1168&lt;&gt;SUM(D1168:F1168),"ERRO: categorias diferem dos respondentes",IF(COUNTIFS($A$5:$A$1200,A1168,$B$5:$B$1200,B1168)&gt;1,"ERRO: período e curso duplicados","OK"))))</f>
        <v/>
      </c>
    </row>
    <row r="1169" ht="15" customHeight="1" s="131">
      <c r="A1169" s="320" t="n"/>
      <c r="B1169" s="323" t="n"/>
      <c r="C1169" s="320" t="n"/>
      <c r="D1169" s="320" t="n"/>
      <c r="E1169" s="320" t="n"/>
      <c r="F1169" s="320" t="n"/>
      <c r="G1169" s="284">
        <f>IFERROR((D1169-F1169)/C1169*100,"")</f>
        <v/>
      </c>
      <c r="H1169" s="324" t="n"/>
      <c r="I1169" s="320" t="n"/>
      <c r="J1169" s="325">
        <f>IF(COUNTA(A1169:F1169)=0,"",IF(OR(C1169&lt;0,D1169&lt;0,E1169&lt;0,F1169&lt;0),"ERRO: valor negativo",IF(C1169&lt;&gt;SUM(D1169:F1169),"ERRO: categorias diferem dos respondentes",IF(COUNTIFS($A$5:$A$1200,A1169,$B$5:$B$1200,B1169)&gt;1,"ERRO: período e curso duplicados","OK"))))</f>
        <v/>
      </c>
    </row>
    <row r="1170" ht="15" customHeight="1" s="131">
      <c r="A1170" s="320" t="n"/>
      <c r="B1170" s="323" t="n"/>
      <c r="C1170" s="320" t="n"/>
      <c r="D1170" s="320" t="n"/>
      <c r="E1170" s="320" t="n"/>
      <c r="F1170" s="320" t="n"/>
      <c r="G1170" s="284">
        <f>IFERROR((D1170-F1170)/C1170*100,"")</f>
        <v/>
      </c>
      <c r="H1170" s="324" t="n"/>
      <c r="I1170" s="320" t="n"/>
      <c r="J1170" s="325">
        <f>IF(COUNTA(A1170:F1170)=0,"",IF(OR(C1170&lt;0,D1170&lt;0,E1170&lt;0,F1170&lt;0),"ERRO: valor negativo",IF(C1170&lt;&gt;SUM(D1170:F1170),"ERRO: categorias diferem dos respondentes",IF(COUNTIFS($A$5:$A$1200,A1170,$B$5:$B$1200,B1170)&gt;1,"ERRO: período e curso duplicados","OK"))))</f>
        <v/>
      </c>
    </row>
    <row r="1171" ht="15" customHeight="1" s="131">
      <c r="A1171" s="320" t="n"/>
      <c r="B1171" s="323" t="n"/>
      <c r="C1171" s="320" t="n"/>
      <c r="D1171" s="320" t="n"/>
      <c r="E1171" s="320" t="n"/>
      <c r="F1171" s="320" t="n"/>
      <c r="G1171" s="284">
        <f>IFERROR((D1171-F1171)/C1171*100,"")</f>
        <v/>
      </c>
      <c r="H1171" s="324" t="n"/>
      <c r="I1171" s="320" t="n"/>
      <c r="J1171" s="325">
        <f>IF(COUNTA(A1171:F1171)=0,"",IF(OR(C1171&lt;0,D1171&lt;0,E1171&lt;0,F1171&lt;0),"ERRO: valor negativo",IF(C1171&lt;&gt;SUM(D1171:F1171),"ERRO: categorias diferem dos respondentes",IF(COUNTIFS($A$5:$A$1200,A1171,$B$5:$B$1200,B1171)&gt;1,"ERRO: período e curso duplicados","OK"))))</f>
        <v/>
      </c>
    </row>
    <row r="1172" ht="15" customHeight="1" s="131">
      <c r="A1172" s="320" t="n"/>
      <c r="B1172" s="323" t="n"/>
      <c r="C1172" s="320" t="n"/>
      <c r="D1172" s="320" t="n"/>
      <c r="E1172" s="320" t="n"/>
      <c r="F1172" s="320" t="n"/>
      <c r="G1172" s="284">
        <f>IFERROR((D1172-F1172)/C1172*100,"")</f>
        <v/>
      </c>
      <c r="H1172" s="324" t="n"/>
      <c r="I1172" s="320" t="n"/>
      <c r="J1172" s="325">
        <f>IF(COUNTA(A1172:F1172)=0,"",IF(OR(C1172&lt;0,D1172&lt;0,E1172&lt;0,F1172&lt;0),"ERRO: valor negativo",IF(C1172&lt;&gt;SUM(D1172:F1172),"ERRO: categorias diferem dos respondentes",IF(COUNTIFS($A$5:$A$1200,A1172,$B$5:$B$1200,B1172)&gt;1,"ERRO: período e curso duplicados","OK"))))</f>
        <v/>
      </c>
    </row>
    <row r="1173" ht="15" customHeight="1" s="131">
      <c r="A1173" s="320" t="n"/>
      <c r="B1173" s="323" t="n"/>
      <c r="C1173" s="320" t="n"/>
      <c r="D1173" s="320" t="n"/>
      <c r="E1173" s="320" t="n"/>
      <c r="F1173" s="320" t="n"/>
      <c r="G1173" s="284">
        <f>IFERROR((D1173-F1173)/C1173*100,"")</f>
        <v/>
      </c>
      <c r="H1173" s="324" t="n"/>
      <c r="I1173" s="320" t="n"/>
      <c r="J1173" s="325">
        <f>IF(COUNTA(A1173:F1173)=0,"",IF(OR(C1173&lt;0,D1173&lt;0,E1173&lt;0,F1173&lt;0),"ERRO: valor negativo",IF(C1173&lt;&gt;SUM(D1173:F1173),"ERRO: categorias diferem dos respondentes",IF(COUNTIFS($A$5:$A$1200,A1173,$B$5:$B$1200,B1173)&gt;1,"ERRO: período e curso duplicados","OK"))))</f>
        <v/>
      </c>
    </row>
    <row r="1174" ht="15" customHeight="1" s="131">
      <c r="A1174" s="320" t="n"/>
      <c r="B1174" s="323" t="n"/>
      <c r="C1174" s="320" t="n"/>
      <c r="D1174" s="320" t="n"/>
      <c r="E1174" s="320" t="n"/>
      <c r="F1174" s="320" t="n"/>
      <c r="G1174" s="284">
        <f>IFERROR((D1174-F1174)/C1174*100,"")</f>
        <v/>
      </c>
      <c r="H1174" s="324" t="n"/>
      <c r="I1174" s="320" t="n"/>
      <c r="J1174" s="325">
        <f>IF(COUNTA(A1174:F1174)=0,"",IF(OR(C1174&lt;0,D1174&lt;0,E1174&lt;0,F1174&lt;0),"ERRO: valor negativo",IF(C1174&lt;&gt;SUM(D1174:F1174),"ERRO: categorias diferem dos respondentes",IF(COUNTIFS($A$5:$A$1200,A1174,$B$5:$B$1200,B1174)&gt;1,"ERRO: período e curso duplicados","OK"))))</f>
        <v/>
      </c>
    </row>
    <row r="1175" ht="15" customHeight="1" s="131">
      <c r="A1175" s="320" t="n"/>
      <c r="B1175" s="323" t="n"/>
      <c r="C1175" s="320" t="n"/>
      <c r="D1175" s="320" t="n"/>
      <c r="E1175" s="320" t="n"/>
      <c r="F1175" s="320" t="n"/>
      <c r="G1175" s="284">
        <f>IFERROR((D1175-F1175)/C1175*100,"")</f>
        <v/>
      </c>
      <c r="H1175" s="324" t="n"/>
      <c r="I1175" s="320" t="n"/>
      <c r="J1175" s="325">
        <f>IF(COUNTA(A1175:F1175)=0,"",IF(OR(C1175&lt;0,D1175&lt;0,E1175&lt;0,F1175&lt;0),"ERRO: valor negativo",IF(C1175&lt;&gt;SUM(D1175:F1175),"ERRO: categorias diferem dos respondentes",IF(COUNTIFS($A$5:$A$1200,A1175,$B$5:$B$1200,B1175)&gt;1,"ERRO: período e curso duplicados","OK"))))</f>
        <v/>
      </c>
    </row>
    <row r="1176" ht="15" customHeight="1" s="131">
      <c r="A1176" s="320" t="n"/>
      <c r="B1176" s="323" t="n"/>
      <c r="C1176" s="320" t="n"/>
      <c r="D1176" s="320" t="n"/>
      <c r="E1176" s="320" t="n"/>
      <c r="F1176" s="320" t="n"/>
      <c r="G1176" s="284">
        <f>IFERROR((D1176-F1176)/C1176*100,"")</f>
        <v/>
      </c>
      <c r="H1176" s="324" t="n"/>
      <c r="I1176" s="320" t="n"/>
      <c r="J1176" s="325">
        <f>IF(COUNTA(A1176:F1176)=0,"",IF(OR(C1176&lt;0,D1176&lt;0,E1176&lt;0,F1176&lt;0),"ERRO: valor negativo",IF(C1176&lt;&gt;SUM(D1176:F1176),"ERRO: categorias diferem dos respondentes",IF(COUNTIFS($A$5:$A$1200,A1176,$B$5:$B$1200,B1176)&gt;1,"ERRO: período e curso duplicados","OK"))))</f>
        <v/>
      </c>
    </row>
    <row r="1177" ht="15" customHeight="1" s="131">
      <c r="A1177" s="320" t="n"/>
      <c r="B1177" s="323" t="n"/>
      <c r="C1177" s="320" t="n"/>
      <c r="D1177" s="320" t="n"/>
      <c r="E1177" s="320" t="n"/>
      <c r="F1177" s="320" t="n"/>
      <c r="G1177" s="284">
        <f>IFERROR((D1177-F1177)/C1177*100,"")</f>
        <v/>
      </c>
      <c r="H1177" s="324" t="n"/>
      <c r="I1177" s="320" t="n"/>
      <c r="J1177" s="325">
        <f>IF(COUNTA(A1177:F1177)=0,"",IF(OR(C1177&lt;0,D1177&lt;0,E1177&lt;0,F1177&lt;0),"ERRO: valor negativo",IF(C1177&lt;&gt;SUM(D1177:F1177),"ERRO: categorias diferem dos respondentes",IF(COUNTIFS($A$5:$A$1200,A1177,$B$5:$B$1200,B1177)&gt;1,"ERRO: período e curso duplicados","OK"))))</f>
        <v/>
      </c>
    </row>
    <row r="1178" ht="15" customHeight="1" s="131">
      <c r="A1178" s="320" t="n"/>
      <c r="B1178" s="323" t="n"/>
      <c r="C1178" s="320" t="n"/>
      <c r="D1178" s="320" t="n"/>
      <c r="E1178" s="320" t="n"/>
      <c r="F1178" s="320" t="n"/>
      <c r="G1178" s="284">
        <f>IFERROR((D1178-F1178)/C1178*100,"")</f>
        <v/>
      </c>
      <c r="H1178" s="324" t="n"/>
      <c r="I1178" s="320" t="n"/>
      <c r="J1178" s="325">
        <f>IF(COUNTA(A1178:F1178)=0,"",IF(OR(C1178&lt;0,D1178&lt;0,E1178&lt;0,F1178&lt;0),"ERRO: valor negativo",IF(C1178&lt;&gt;SUM(D1178:F1178),"ERRO: categorias diferem dos respondentes",IF(COUNTIFS($A$5:$A$1200,A1178,$B$5:$B$1200,B1178)&gt;1,"ERRO: período e curso duplicados","OK"))))</f>
        <v/>
      </c>
    </row>
    <row r="1179" ht="15" customHeight="1" s="131">
      <c r="A1179" s="320" t="n"/>
      <c r="B1179" s="323" t="n"/>
      <c r="C1179" s="320" t="n"/>
      <c r="D1179" s="320" t="n"/>
      <c r="E1179" s="320" t="n"/>
      <c r="F1179" s="320" t="n"/>
      <c r="G1179" s="284">
        <f>IFERROR((D1179-F1179)/C1179*100,"")</f>
        <v/>
      </c>
      <c r="H1179" s="324" t="n"/>
      <c r="I1179" s="320" t="n"/>
      <c r="J1179" s="325">
        <f>IF(COUNTA(A1179:F1179)=0,"",IF(OR(C1179&lt;0,D1179&lt;0,E1179&lt;0,F1179&lt;0),"ERRO: valor negativo",IF(C1179&lt;&gt;SUM(D1179:F1179),"ERRO: categorias diferem dos respondentes",IF(COUNTIFS($A$5:$A$1200,A1179,$B$5:$B$1200,B1179)&gt;1,"ERRO: período e curso duplicados","OK"))))</f>
        <v/>
      </c>
    </row>
    <row r="1180" ht="15" customHeight="1" s="131">
      <c r="A1180" s="320" t="n"/>
      <c r="B1180" s="323" t="n"/>
      <c r="C1180" s="320" t="n"/>
      <c r="D1180" s="320" t="n"/>
      <c r="E1180" s="320" t="n"/>
      <c r="F1180" s="320" t="n"/>
      <c r="G1180" s="284">
        <f>IFERROR((D1180-F1180)/C1180*100,"")</f>
        <v/>
      </c>
      <c r="H1180" s="324" t="n"/>
      <c r="I1180" s="320" t="n"/>
      <c r="J1180" s="325">
        <f>IF(COUNTA(A1180:F1180)=0,"",IF(OR(C1180&lt;0,D1180&lt;0,E1180&lt;0,F1180&lt;0),"ERRO: valor negativo",IF(C1180&lt;&gt;SUM(D1180:F1180),"ERRO: categorias diferem dos respondentes",IF(COUNTIFS($A$5:$A$1200,A1180,$B$5:$B$1200,B1180)&gt;1,"ERRO: período e curso duplicados","OK"))))</f>
        <v/>
      </c>
    </row>
    <row r="1181" ht="15" customHeight="1" s="131">
      <c r="A1181" s="320" t="n"/>
      <c r="B1181" s="323" t="n"/>
      <c r="C1181" s="320" t="n"/>
      <c r="D1181" s="320" t="n"/>
      <c r="E1181" s="320" t="n"/>
      <c r="F1181" s="320" t="n"/>
      <c r="G1181" s="284">
        <f>IFERROR((D1181-F1181)/C1181*100,"")</f>
        <v/>
      </c>
      <c r="H1181" s="324" t="n"/>
      <c r="I1181" s="320" t="n"/>
      <c r="J1181" s="325">
        <f>IF(COUNTA(A1181:F1181)=0,"",IF(OR(C1181&lt;0,D1181&lt;0,E1181&lt;0,F1181&lt;0),"ERRO: valor negativo",IF(C1181&lt;&gt;SUM(D1181:F1181),"ERRO: categorias diferem dos respondentes",IF(COUNTIFS($A$5:$A$1200,A1181,$B$5:$B$1200,B1181)&gt;1,"ERRO: período e curso duplicados","OK"))))</f>
        <v/>
      </c>
    </row>
    <row r="1182" ht="15" customHeight="1" s="131">
      <c r="A1182" s="320" t="n"/>
      <c r="B1182" s="323" t="n"/>
      <c r="C1182" s="320" t="n"/>
      <c r="D1182" s="320" t="n"/>
      <c r="E1182" s="320" t="n"/>
      <c r="F1182" s="320" t="n"/>
      <c r="G1182" s="284">
        <f>IFERROR((D1182-F1182)/C1182*100,"")</f>
        <v/>
      </c>
      <c r="H1182" s="324" t="n"/>
      <c r="I1182" s="320" t="n"/>
      <c r="J1182" s="325">
        <f>IF(COUNTA(A1182:F1182)=0,"",IF(OR(C1182&lt;0,D1182&lt;0,E1182&lt;0,F1182&lt;0),"ERRO: valor negativo",IF(C1182&lt;&gt;SUM(D1182:F1182),"ERRO: categorias diferem dos respondentes",IF(COUNTIFS($A$5:$A$1200,A1182,$B$5:$B$1200,B1182)&gt;1,"ERRO: período e curso duplicados","OK"))))</f>
        <v/>
      </c>
    </row>
    <row r="1183" ht="15" customHeight="1" s="131">
      <c r="A1183" s="320" t="n"/>
      <c r="B1183" s="323" t="n"/>
      <c r="C1183" s="320" t="n"/>
      <c r="D1183" s="320" t="n"/>
      <c r="E1183" s="320" t="n"/>
      <c r="F1183" s="320" t="n"/>
      <c r="G1183" s="284">
        <f>IFERROR((D1183-F1183)/C1183*100,"")</f>
        <v/>
      </c>
      <c r="H1183" s="324" t="n"/>
      <c r="I1183" s="320" t="n"/>
      <c r="J1183" s="325">
        <f>IF(COUNTA(A1183:F1183)=0,"",IF(OR(C1183&lt;0,D1183&lt;0,E1183&lt;0,F1183&lt;0),"ERRO: valor negativo",IF(C1183&lt;&gt;SUM(D1183:F1183),"ERRO: categorias diferem dos respondentes",IF(COUNTIFS($A$5:$A$1200,A1183,$B$5:$B$1200,B1183)&gt;1,"ERRO: período e curso duplicados","OK"))))</f>
        <v/>
      </c>
    </row>
    <row r="1184" ht="15" customHeight="1" s="131">
      <c r="A1184" s="320" t="n"/>
      <c r="B1184" s="323" t="n"/>
      <c r="C1184" s="320" t="n"/>
      <c r="D1184" s="320" t="n"/>
      <c r="E1184" s="320" t="n"/>
      <c r="F1184" s="320" t="n"/>
      <c r="G1184" s="284">
        <f>IFERROR((D1184-F1184)/C1184*100,"")</f>
        <v/>
      </c>
      <c r="H1184" s="324" t="n"/>
      <c r="I1184" s="320" t="n"/>
      <c r="J1184" s="325">
        <f>IF(COUNTA(A1184:F1184)=0,"",IF(OR(C1184&lt;0,D1184&lt;0,E1184&lt;0,F1184&lt;0),"ERRO: valor negativo",IF(C1184&lt;&gt;SUM(D1184:F1184),"ERRO: categorias diferem dos respondentes",IF(COUNTIFS($A$5:$A$1200,A1184,$B$5:$B$1200,B1184)&gt;1,"ERRO: período e curso duplicados","OK"))))</f>
        <v/>
      </c>
    </row>
    <row r="1185" ht="15" customHeight="1" s="131">
      <c r="A1185" s="320" t="n"/>
      <c r="B1185" s="323" t="n"/>
      <c r="C1185" s="320" t="n"/>
      <c r="D1185" s="320" t="n"/>
      <c r="E1185" s="320" t="n"/>
      <c r="F1185" s="320" t="n"/>
      <c r="G1185" s="284">
        <f>IFERROR((D1185-F1185)/C1185*100,"")</f>
        <v/>
      </c>
      <c r="H1185" s="324" t="n"/>
      <c r="I1185" s="320" t="n"/>
      <c r="J1185" s="325">
        <f>IF(COUNTA(A1185:F1185)=0,"",IF(OR(C1185&lt;0,D1185&lt;0,E1185&lt;0,F1185&lt;0),"ERRO: valor negativo",IF(C1185&lt;&gt;SUM(D1185:F1185),"ERRO: categorias diferem dos respondentes",IF(COUNTIFS($A$5:$A$1200,A1185,$B$5:$B$1200,B1185)&gt;1,"ERRO: período e curso duplicados","OK"))))</f>
        <v/>
      </c>
    </row>
    <row r="1186" ht="15" customHeight="1" s="131">
      <c r="A1186" s="320" t="n"/>
      <c r="B1186" s="323" t="n"/>
      <c r="C1186" s="320" t="n"/>
      <c r="D1186" s="320" t="n"/>
      <c r="E1186" s="320" t="n"/>
      <c r="F1186" s="320" t="n"/>
      <c r="G1186" s="284">
        <f>IFERROR((D1186-F1186)/C1186*100,"")</f>
        <v/>
      </c>
      <c r="H1186" s="324" t="n"/>
      <c r="I1186" s="320" t="n"/>
      <c r="J1186" s="325">
        <f>IF(COUNTA(A1186:F1186)=0,"",IF(OR(C1186&lt;0,D1186&lt;0,E1186&lt;0,F1186&lt;0),"ERRO: valor negativo",IF(C1186&lt;&gt;SUM(D1186:F1186),"ERRO: categorias diferem dos respondentes",IF(COUNTIFS($A$5:$A$1200,A1186,$B$5:$B$1200,B1186)&gt;1,"ERRO: período e curso duplicados","OK"))))</f>
        <v/>
      </c>
    </row>
    <row r="1187" ht="15" customHeight="1" s="131">
      <c r="A1187" s="320" t="n"/>
      <c r="B1187" s="323" t="n"/>
      <c r="C1187" s="320" t="n"/>
      <c r="D1187" s="320" t="n"/>
      <c r="E1187" s="320" t="n"/>
      <c r="F1187" s="320" t="n"/>
      <c r="G1187" s="284">
        <f>IFERROR((D1187-F1187)/C1187*100,"")</f>
        <v/>
      </c>
      <c r="H1187" s="324" t="n"/>
      <c r="I1187" s="320" t="n"/>
      <c r="J1187" s="325">
        <f>IF(COUNTA(A1187:F1187)=0,"",IF(OR(C1187&lt;0,D1187&lt;0,E1187&lt;0,F1187&lt;0),"ERRO: valor negativo",IF(C1187&lt;&gt;SUM(D1187:F1187),"ERRO: categorias diferem dos respondentes",IF(COUNTIFS($A$5:$A$1200,A1187,$B$5:$B$1200,B1187)&gt;1,"ERRO: período e curso duplicados","OK"))))</f>
        <v/>
      </c>
    </row>
    <row r="1188" ht="15" customHeight="1" s="131">
      <c r="A1188" s="320" t="n"/>
      <c r="B1188" s="323" t="n"/>
      <c r="C1188" s="320" t="n"/>
      <c r="D1188" s="320" t="n"/>
      <c r="E1188" s="320" t="n"/>
      <c r="F1188" s="320" t="n"/>
      <c r="G1188" s="284">
        <f>IFERROR((D1188-F1188)/C1188*100,"")</f>
        <v/>
      </c>
      <c r="H1188" s="324" t="n"/>
      <c r="I1188" s="320" t="n"/>
      <c r="J1188" s="325">
        <f>IF(COUNTA(A1188:F1188)=0,"",IF(OR(C1188&lt;0,D1188&lt;0,E1188&lt;0,F1188&lt;0),"ERRO: valor negativo",IF(C1188&lt;&gt;SUM(D1188:F1188),"ERRO: categorias diferem dos respondentes",IF(COUNTIFS($A$5:$A$1200,A1188,$B$5:$B$1200,B1188)&gt;1,"ERRO: período e curso duplicados","OK"))))</f>
        <v/>
      </c>
    </row>
    <row r="1189" ht="15" customHeight="1" s="131">
      <c r="A1189" s="320" t="n"/>
      <c r="B1189" s="323" t="n"/>
      <c r="C1189" s="320" t="n"/>
      <c r="D1189" s="320" t="n"/>
      <c r="E1189" s="320" t="n"/>
      <c r="F1189" s="320" t="n"/>
      <c r="G1189" s="284">
        <f>IFERROR((D1189-F1189)/C1189*100,"")</f>
        <v/>
      </c>
      <c r="H1189" s="324" t="n"/>
      <c r="I1189" s="320" t="n"/>
      <c r="J1189" s="325">
        <f>IF(COUNTA(A1189:F1189)=0,"",IF(OR(C1189&lt;0,D1189&lt;0,E1189&lt;0,F1189&lt;0),"ERRO: valor negativo",IF(C1189&lt;&gt;SUM(D1189:F1189),"ERRO: categorias diferem dos respondentes",IF(COUNTIFS($A$5:$A$1200,A1189,$B$5:$B$1200,B1189)&gt;1,"ERRO: período e curso duplicados","OK"))))</f>
        <v/>
      </c>
    </row>
    <row r="1190" ht="15" customHeight="1" s="131">
      <c r="A1190" s="320" t="n"/>
      <c r="B1190" s="323" t="n"/>
      <c r="C1190" s="320" t="n"/>
      <c r="D1190" s="320" t="n"/>
      <c r="E1190" s="320" t="n"/>
      <c r="F1190" s="320" t="n"/>
      <c r="G1190" s="284">
        <f>IFERROR((D1190-F1190)/C1190*100,"")</f>
        <v/>
      </c>
      <c r="H1190" s="324" t="n"/>
      <c r="I1190" s="320" t="n"/>
      <c r="J1190" s="325">
        <f>IF(COUNTA(A1190:F1190)=0,"",IF(OR(C1190&lt;0,D1190&lt;0,E1190&lt;0,F1190&lt;0),"ERRO: valor negativo",IF(C1190&lt;&gt;SUM(D1190:F1190),"ERRO: categorias diferem dos respondentes",IF(COUNTIFS($A$5:$A$1200,A1190,$B$5:$B$1200,B1190)&gt;1,"ERRO: período e curso duplicados","OK"))))</f>
        <v/>
      </c>
    </row>
    <row r="1191" ht="15" customHeight="1" s="131">
      <c r="A1191" s="320" t="n"/>
      <c r="B1191" s="323" t="n"/>
      <c r="C1191" s="320" t="n"/>
      <c r="D1191" s="320" t="n"/>
      <c r="E1191" s="320" t="n"/>
      <c r="F1191" s="320" t="n"/>
      <c r="G1191" s="284">
        <f>IFERROR((D1191-F1191)/C1191*100,"")</f>
        <v/>
      </c>
      <c r="H1191" s="324" t="n"/>
      <c r="I1191" s="320" t="n"/>
      <c r="J1191" s="325">
        <f>IF(COUNTA(A1191:F1191)=0,"",IF(OR(C1191&lt;0,D1191&lt;0,E1191&lt;0,F1191&lt;0),"ERRO: valor negativo",IF(C1191&lt;&gt;SUM(D1191:F1191),"ERRO: categorias diferem dos respondentes",IF(COUNTIFS($A$5:$A$1200,A1191,$B$5:$B$1200,B1191)&gt;1,"ERRO: período e curso duplicados","OK"))))</f>
        <v/>
      </c>
    </row>
    <row r="1192" ht="15" customHeight="1" s="131">
      <c r="A1192" s="320" t="n"/>
      <c r="B1192" s="323" t="n"/>
      <c r="C1192" s="320" t="n"/>
      <c r="D1192" s="320" t="n"/>
      <c r="E1192" s="320" t="n"/>
      <c r="F1192" s="320" t="n"/>
      <c r="G1192" s="284">
        <f>IFERROR((D1192-F1192)/C1192*100,"")</f>
        <v/>
      </c>
      <c r="H1192" s="324" t="n"/>
      <c r="I1192" s="320" t="n"/>
      <c r="J1192" s="325">
        <f>IF(COUNTA(A1192:F1192)=0,"",IF(OR(C1192&lt;0,D1192&lt;0,E1192&lt;0,F1192&lt;0),"ERRO: valor negativo",IF(C1192&lt;&gt;SUM(D1192:F1192),"ERRO: categorias diferem dos respondentes",IF(COUNTIFS($A$5:$A$1200,A1192,$B$5:$B$1200,B1192)&gt;1,"ERRO: período e curso duplicados","OK"))))</f>
        <v/>
      </c>
    </row>
    <row r="1193" ht="15" customHeight="1" s="131">
      <c r="A1193" s="320" t="n"/>
      <c r="B1193" s="323" t="n"/>
      <c r="C1193" s="320" t="n"/>
      <c r="D1193" s="320" t="n"/>
      <c r="E1193" s="320" t="n"/>
      <c r="F1193" s="320" t="n"/>
      <c r="G1193" s="284">
        <f>IFERROR((D1193-F1193)/C1193*100,"")</f>
        <v/>
      </c>
      <c r="H1193" s="324" t="n"/>
      <c r="I1193" s="320" t="n"/>
      <c r="J1193" s="325">
        <f>IF(COUNTA(A1193:F1193)=0,"",IF(OR(C1193&lt;0,D1193&lt;0,E1193&lt;0,F1193&lt;0),"ERRO: valor negativo",IF(C1193&lt;&gt;SUM(D1193:F1193),"ERRO: categorias diferem dos respondentes",IF(COUNTIFS($A$5:$A$1200,A1193,$B$5:$B$1200,B1193)&gt;1,"ERRO: período e curso duplicados","OK"))))</f>
        <v/>
      </c>
    </row>
    <row r="1194" ht="15" customHeight="1" s="131">
      <c r="A1194" s="320" t="n"/>
      <c r="B1194" s="323" t="n"/>
      <c r="C1194" s="320" t="n"/>
      <c r="D1194" s="320" t="n"/>
      <c r="E1194" s="320" t="n"/>
      <c r="F1194" s="320" t="n"/>
      <c r="G1194" s="284">
        <f>IFERROR((D1194-F1194)/C1194*100,"")</f>
        <v/>
      </c>
      <c r="H1194" s="324" t="n"/>
      <c r="I1194" s="320" t="n"/>
      <c r="J1194" s="325">
        <f>IF(COUNTA(A1194:F1194)=0,"",IF(OR(C1194&lt;0,D1194&lt;0,E1194&lt;0,F1194&lt;0),"ERRO: valor negativo",IF(C1194&lt;&gt;SUM(D1194:F1194),"ERRO: categorias diferem dos respondentes",IF(COUNTIFS($A$5:$A$1200,A1194,$B$5:$B$1200,B1194)&gt;1,"ERRO: período e curso duplicados","OK"))))</f>
        <v/>
      </c>
    </row>
    <row r="1195" ht="15" customHeight="1" s="131">
      <c r="A1195" s="320" t="n"/>
      <c r="B1195" s="323" t="n"/>
      <c r="C1195" s="320" t="n"/>
      <c r="D1195" s="320" t="n"/>
      <c r="E1195" s="320" t="n"/>
      <c r="F1195" s="320" t="n"/>
      <c r="G1195" s="284">
        <f>IFERROR((D1195-F1195)/C1195*100,"")</f>
        <v/>
      </c>
      <c r="H1195" s="324" t="n"/>
      <c r="I1195" s="320" t="n"/>
      <c r="J1195" s="325">
        <f>IF(COUNTA(A1195:F1195)=0,"",IF(OR(C1195&lt;0,D1195&lt;0,E1195&lt;0,F1195&lt;0),"ERRO: valor negativo",IF(C1195&lt;&gt;SUM(D1195:F1195),"ERRO: categorias diferem dos respondentes",IF(COUNTIFS($A$5:$A$1200,A1195,$B$5:$B$1200,B1195)&gt;1,"ERRO: período e curso duplicados","OK"))))</f>
        <v/>
      </c>
    </row>
    <row r="1196" ht="15" customHeight="1" s="131">
      <c r="A1196" s="320" t="n"/>
      <c r="B1196" s="323" t="n"/>
      <c r="C1196" s="320" t="n"/>
      <c r="D1196" s="320" t="n"/>
      <c r="E1196" s="320" t="n"/>
      <c r="F1196" s="320" t="n"/>
      <c r="G1196" s="284">
        <f>IFERROR((D1196-F1196)/C1196*100,"")</f>
        <v/>
      </c>
      <c r="H1196" s="324" t="n"/>
      <c r="I1196" s="320" t="n"/>
      <c r="J1196" s="325">
        <f>IF(COUNTA(A1196:F1196)=0,"",IF(OR(C1196&lt;0,D1196&lt;0,E1196&lt;0,F1196&lt;0),"ERRO: valor negativo",IF(C1196&lt;&gt;SUM(D1196:F1196),"ERRO: categorias diferem dos respondentes",IF(COUNTIFS($A$5:$A$1200,A1196,$B$5:$B$1200,B1196)&gt;1,"ERRO: período e curso duplicados","OK"))))</f>
        <v/>
      </c>
    </row>
    <row r="1197" ht="15" customHeight="1" s="131">
      <c r="A1197" s="320" t="n"/>
      <c r="B1197" s="323" t="n"/>
      <c r="C1197" s="320" t="n"/>
      <c r="D1197" s="320" t="n"/>
      <c r="E1197" s="320" t="n"/>
      <c r="F1197" s="320" t="n"/>
      <c r="G1197" s="284">
        <f>IFERROR((D1197-F1197)/C1197*100,"")</f>
        <v/>
      </c>
      <c r="H1197" s="324" t="n"/>
      <c r="I1197" s="320" t="n"/>
      <c r="J1197" s="325">
        <f>IF(COUNTA(A1197:F1197)=0,"",IF(OR(C1197&lt;0,D1197&lt;0,E1197&lt;0,F1197&lt;0),"ERRO: valor negativo",IF(C1197&lt;&gt;SUM(D1197:F1197),"ERRO: categorias diferem dos respondentes",IF(COUNTIFS($A$5:$A$1200,A1197,$B$5:$B$1200,B1197)&gt;1,"ERRO: período e curso duplicados","OK"))))</f>
        <v/>
      </c>
    </row>
    <row r="1198" ht="15" customHeight="1" s="131">
      <c r="A1198" s="320" t="n"/>
      <c r="B1198" s="323" t="n"/>
      <c r="C1198" s="320" t="n"/>
      <c r="D1198" s="320" t="n"/>
      <c r="E1198" s="320" t="n"/>
      <c r="F1198" s="320" t="n"/>
      <c r="G1198" s="284">
        <f>IFERROR((D1198-F1198)/C1198*100,"")</f>
        <v/>
      </c>
      <c r="H1198" s="324" t="n"/>
      <c r="I1198" s="320" t="n"/>
      <c r="J1198" s="325">
        <f>IF(COUNTA(A1198:F1198)=0,"",IF(OR(C1198&lt;0,D1198&lt;0,E1198&lt;0,F1198&lt;0),"ERRO: valor negativo",IF(C1198&lt;&gt;SUM(D1198:F1198),"ERRO: categorias diferem dos respondentes",IF(COUNTIFS($A$5:$A$1200,A1198,$B$5:$B$1200,B1198)&gt;1,"ERRO: período e curso duplicados","OK"))))</f>
        <v/>
      </c>
    </row>
    <row r="1199" ht="15" customHeight="1" s="131">
      <c r="A1199" s="320" t="n"/>
      <c r="B1199" s="323" t="n"/>
      <c r="C1199" s="320" t="n"/>
      <c r="D1199" s="320" t="n"/>
      <c r="E1199" s="320" t="n"/>
      <c r="F1199" s="320" t="n"/>
      <c r="G1199" s="284">
        <f>IFERROR((D1199-F1199)/C1199*100,"")</f>
        <v/>
      </c>
      <c r="H1199" s="324" t="n"/>
      <c r="I1199" s="320" t="n"/>
      <c r="J1199" s="325">
        <f>IF(COUNTA(A1199:F1199)=0,"",IF(OR(C1199&lt;0,D1199&lt;0,E1199&lt;0,F1199&lt;0),"ERRO: valor negativo",IF(C1199&lt;&gt;SUM(D1199:F1199),"ERRO: categorias diferem dos respondentes",IF(COUNTIFS($A$5:$A$1200,A1199,$B$5:$B$1200,B1199)&gt;1,"ERRO: período e curso duplicados","OK"))))</f>
        <v/>
      </c>
    </row>
    <row r="1200" ht="15" customHeight="1" s="131">
      <c r="A1200" s="320" t="n"/>
      <c r="B1200" s="323" t="n"/>
      <c r="C1200" s="320" t="n"/>
      <c r="D1200" s="320" t="n"/>
      <c r="E1200" s="320" t="n"/>
      <c r="F1200" s="320" t="n"/>
      <c r="G1200" s="284">
        <f>IFERROR((D1200-F1200)/C1200*100,"")</f>
        <v/>
      </c>
      <c r="H1200" s="324" t="n"/>
      <c r="I1200" s="320" t="n"/>
      <c r="J1200" s="325">
        <f>IF(COUNTA(A1200:F1200)=0,"",IF(OR(C1200&lt;0,D1200&lt;0,E1200&lt;0,F1200&lt;0),"ERRO: valor negativo",IF(C1200&lt;&gt;SUM(D1200:F1200),"ERRO: categorias diferem dos respondentes",IF(COUNTIFS($A$5:$A$1200,A1200,$B$5:$B$1200,B1200)&gt;1,"ERRO: período e curso duplicados","OK"))))</f>
        <v/>
      </c>
    </row>
  </sheetData>
  <mergeCells count="2">
    <mergeCell ref="A1:J1"/>
    <mergeCell ref="A2:J2"/>
  </mergeCells>
  <conditionalFormatting sqref="J5:J1200">
    <cfRule type="expression" priority="2" dxfId="16">
      <formula>LEFT(J5,4)="ERRO"</formula>
    </cfRule>
    <cfRule type="expression" priority="3" dxfId="17">
      <formula>J5="OK"</formula>
    </cfRule>
  </conditionalFormatting>
  <dataValidations count="2">
    <dataValidation sqref="B5:B1200" showDropDown="0" showInputMessage="0" showErrorMessage="0" allowBlank="1" type="list">
      <formula1>LST_CURSOS</formula1>
    </dataValidation>
    <dataValidation sqref="C5:F1200" showDropDown="0" showInputMessage="0" showErrorMessage="0" allowBlank="1" type="whole" operator="greaterThanOrEqual">
      <formula1>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I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8" customWidth="1" style="130" min="2" max="2"/>
    <col width="44" customWidth="1" style="130" min="3" max="3"/>
    <col width="34" customWidth="1" style="130" min="4" max="4"/>
    <col width="15" customWidth="1" style="130" min="5" max="5"/>
    <col width="20" customWidth="1" style="130" min="6" max="6"/>
    <col width="18" customWidth="1" style="130" min="7" max="7"/>
    <col width="28" customWidth="1" style="131" min="8" max="8"/>
    <col width="34" customWidth="1" style="131" min="9" max="9"/>
  </cols>
  <sheetData>
    <row r="1" ht="24" customHeight="1" s="131">
      <c r="A1" s="262" t="inlineStr">
        <is>
          <t>ENTRADA — DTNH-02 · Avaliação Docente pelo Aluno</t>
        </is>
      </c>
    </row>
    <row r="2" ht="30" customHeight="1" s="131">
      <c r="A2" s="263" t="inlineStr">
        <is>
          <t>Fonte semestral. Na visualização mensal, o resultado do semestre é repetido nos seis meses.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Disciplina</t>
        </is>
      </c>
      <c r="D4" s="282" t="inlineStr">
        <is>
          <t>Professor</t>
        </is>
      </c>
      <c r="E4" s="282" t="inlineStr">
        <is>
          <t>Respondentes</t>
        </is>
      </c>
      <c r="F4" s="282" t="inlineStr">
        <is>
          <t>Nota Média (0-10)</t>
        </is>
      </c>
      <c r="G4" s="282" t="inlineStr">
        <is>
          <t>Data do lançamento</t>
        </is>
      </c>
      <c r="H4" s="282" t="inlineStr">
        <is>
          <t>Lançado por</t>
        </is>
      </c>
      <c r="I4" s="282" t="inlineStr">
        <is>
          <t>Validação da linha</t>
        </is>
      </c>
    </row>
    <row r="5" ht="15" customHeight="1" s="131">
      <c r="A5" s="320" t="n"/>
      <c r="B5" s="323" t="n"/>
      <c r="C5" s="320" t="n"/>
      <c r="D5" s="326" t="n"/>
      <c r="E5" s="324" t="n"/>
      <c r="F5" s="320" t="n"/>
      <c r="G5" s="327" t="n"/>
      <c r="H5" s="271" t="n"/>
      <c r="I5" s="275">
        <f>IF(COUNTA(A5:F5)=0,"",IF(OR(E5&lt;0,F5&lt;0,F5&gt;10),"ERRO: valores inválidos",IF(COUNTIFS($A$5:$A$1200,A5,$B$5:$B$1200,B5,$C$5:$C$1200,C5,$D$5:$D$1200,D5)&gt;1,"ERRO: chave duplicada","OK")))</f>
        <v/>
      </c>
    </row>
    <row r="6" ht="15" customHeight="1" s="131">
      <c r="A6" s="320" t="n"/>
      <c r="B6" s="323" t="n"/>
      <c r="C6" s="320" t="n"/>
      <c r="D6" s="326" t="n"/>
      <c r="E6" s="324" t="n"/>
      <c r="F6" s="320" t="n"/>
      <c r="G6" s="327" t="n"/>
      <c r="H6" s="271" t="n"/>
      <c r="I6" s="275">
        <f>IF(COUNTA(A6:F6)=0,"",IF(OR(E6&lt;0,F6&lt;0,F6&gt;10),"ERRO: valores inválidos",IF(COUNTIFS($A$5:$A$1200,A6,$B$5:$B$1200,B6,$C$5:$C$1200,C6,$D$5:$D$1200,D6)&gt;1,"ERRO: chave duplicada","OK")))</f>
        <v/>
      </c>
    </row>
    <row r="7" ht="15" customHeight="1" s="131">
      <c r="A7" s="320" t="n"/>
      <c r="B7" s="323" t="n"/>
      <c r="C7" s="320" t="n"/>
      <c r="D7" s="326" t="n"/>
      <c r="E7" s="324" t="n"/>
      <c r="F7" s="320" t="n"/>
      <c r="G7" s="327" t="n"/>
      <c r="H7" s="271" t="n"/>
      <c r="I7" s="275">
        <f>IF(COUNTA(A7:F7)=0,"",IF(OR(E7&lt;0,F7&lt;0,F7&gt;10),"ERRO: valores inválidos",IF(COUNTIFS($A$5:$A$1200,A7,$B$5:$B$1200,B7,$C$5:$C$1200,C7,$D$5:$D$1200,D7)&gt;1,"ERRO: chave duplicada","OK")))</f>
        <v/>
      </c>
    </row>
    <row r="8" ht="15" customHeight="1" s="131">
      <c r="A8" s="320" t="n"/>
      <c r="B8" s="323" t="n"/>
      <c r="C8" s="320" t="n"/>
      <c r="D8" s="326" t="n"/>
      <c r="E8" s="324" t="n"/>
      <c r="F8" s="320" t="n"/>
      <c r="G8" s="327" t="n"/>
      <c r="H8" s="271" t="n"/>
      <c r="I8" s="275">
        <f>IF(COUNTA(A8:F8)=0,"",IF(OR(E8&lt;0,F8&lt;0,F8&gt;10),"ERRO: valores inválidos",IF(COUNTIFS($A$5:$A$1200,A8,$B$5:$B$1200,B8,$C$5:$C$1200,C8,$D$5:$D$1200,D8)&gt;1,"ERRO: chave duplicada","OK")))</f>
        <v/>
      </c>
    </row>
    <row r="9" ht="15" customHeight="1" s="131">
      <c r="A9" s="320" t="n"/>
      <c r="B9" s="323" t="n"/>
      <c r="C9" s="320" t="n"/>
      <c r="D9" s="326" t="n"/>
      <c r="E9" s="324" t="n"/>
      <c r="F9" s="320" t="n"/>
      <c r="G9" s="327" t="n"/>
      <c r="H9" s="271" t="n"/>
      <c r="I9" s="275">
        <f>IF(COUNTA(A9:F9)=0,"",IF(OR(E9&lt;0,F9&lt;0,F9&gt;10),"ERRO: valores inválidos",IF(COUNTIFS($A$5:$A$1200,A9,$B$5:$B$1200,B9,$C$5:$C$1200,C9,$D$5:$D$1200,D9)&gt;1,"ERRO: chave duplicada","OK")))</f>
        <v/>
      </c>
    </row>
    <row r="10" ht="15" customHeight="1" s="131">
      <c r="A10" s="320" t="n"/>
      <c r="B10" s="323" t="n"/>
      <c r="C10" s="320" t="n"/>
      <c r="D10" s="326" t="n"/>
      <c r="E10" s="324" t="n"/>
      <c r="F10" s="320" t="n"/>
      <c r="G10" s="327" t="n"/>
      <c r="H10" s="271" t="n"/>
      <c r="I10" s="275">
        <f>IF(COUNTA(A10:F10)=0,"",IF(OR(E10&lt;0,F10&lt;0,F10&gt;10),"ERRO: valores inválidos",IF(COUNTIFS($A$5:$A$1200,A10,$B$5:$B$1200,B10,$C$5:$C$1200,C10,$D$5:$D$1200,D10)&gt;1,"ERRO: chave duplicada","OK")))</f>
        <v/>
      </c>
    </row>
    <row r="11" ht="15" customHeight="1" s="131">
      <c r="A11" s="320" t="n"/>
      <c r="B11" s="323" t="n"/>
      <c r="C11" s="320" t="n"/>
      <c r="D11" s="326" t="n"/>
      <c r="E11" s="324" t="n"/>
      <c r="F11" s="320" t="n"/>
      <c r="G11" s="327" t="n"/>
      <c r="H11" s="271" t="n"/>
      <c r="I11" s="275">
        <f>IF(COUNTA(A11:F11)=0,"",IF(OR(E11&lt;0,F11&lt;0,F11&gt;10),"ERRO: valores inválidos",IF(COUNTIFS($A$5:$A$1200,A11,$B$5:$B$1200,B11,$C$5:$C$1200,C11,$D$5:$D$1200,D11)&gt;1,"ERRO: chave duplicada","OK")))</f>
        <v/>
      </c>
    </row>
    <row r="12" ht="15" customHeight="1" s="131">
      <c r="A12" s="320" t="n"/>
      <c r="B12" s="323" t="n"/>
      <c r="C12" s="320" t="n"/>
      <c r="D12" s="326" t="n"/>
      <c r="E12" s="324" t="n"/>
      <c r="F12" s="320" t="n"/>
      <c r="G12" s="327" t="n"/>
      <c r="H12" s="271" t="n"/>
      <c r="I12" s="275">
        <f>IF(COUNTA(A12:F12)=0,"",IF(OR(E12&lt;0,F12&lt;0,F12&gt;10),"ERRO: valores inválidos",IF(COUNTIFS($A$5:$A$1200,A12,$B$5:$B$1200,B12,$C$5:$C$1200,C12,$D$5:$D$1200,D12)&gt;1,"ERRO: chave duplicada","OK")))</f>
        <v/>
      </c>
    </row>
    <row r="13" ht="15" customHeight="1" s="131">
      <c r="A13" s="320" t="n"/>
      <c r="B13" s="323" t="n"/>
      <c r="C13" s="320" t="n"/>
      <c r="D13" s="326" t="n"/>
      <c r="E13" s="324" t="n"/>
      <c r="F13" s="320" t="n"/>
      <c r="G13" s="327" t="n"/>
      <c r="H13" s="271" t="n"/>
      <c r="I13" s="275">
        <f>IF(COUNTA(A13:F13)=0,"",IF(OR(E13&lt;0,F13&lt;0,F13&gt;10),"ERRO: valores inválidos",IF(COUNTIFS($A$5:$A$1200,A13,$B$5:$B$1200,B13,$C$5:$C$1200,C13,$D$5:$D$1200,D13)&gt;1,"ERRO: chave duplicada","OK")))</f>
        <v/>
      </c>
    </row>
    <row r="14" ht="15" customHeight="1" s="131">
      <c r="A14" s="320" t="n"/>
      <c r="B14" s="323" t="n"/>
      <c r="C14" s="320" t="n"/>
      <c r="D14" s="326" t="n"/>
      <c r="E14" s="324" t="n"/>
      <c r="F14" s="320" t="n"/>
      <c r="G14" s="327" t="n"/>
      <c r="H14" s="271" t="n"/>
      <c r="I14" s="275">
        <f>IF(COUNTA(A14:F14)=0,"",IF(OR(E14&lt;0,F14&lt;0,F14&gt;10),"ERRO: valores inválidos",IF(COUNTIFS($A$5:$A$1200,A14,$B$5:$B$1200,B14,$C$5:$C$1200,C14,$D$5:$D$1200,D14)&gt;1,"ERRO: chave duplicada","OK")))</f>
        <v/>
      </c>
    </row>
    <row r="15" ht="15" customHeight="1" s="131">
      <c r="A15" s="320" t="n"/>
      <c r="B15" s="323" t="n"/>
      <c r="C15" s="320" t="n"/>
      <c r="D15" s="326" t="n"/>
      <c r="E15" s="324" t="n"/>
      <c r="F15" s="320" t="n"/>
      <c r="G15" s="327" t="n"/>
      <c r="H15" s="271" t="n"/>
      <c r="I15" s="275">
        <f>IF(COUNTA(A15:F15)=0,"",IF(OR(E15&lt;0,F15&lt;0,F15&gt;10),"ERRO: valores inválidos",IF(COUNTIFS($A$5:$A$1200,A15,$B$5:$B$1200,B15,$C$5:$C$1200,C15,$D$5:$D$1200,D15)&gt;1,"ERRO: chave duplicada","OK")))</f>
        <v/>
      </c>
    </row>
    <row r="16" ht="15" customHeight="1" s="131">
      <c r="A16" s="320" t="n"/>
      <c r="B16" s="323" t="n"/>
      <c r="C16" s="320" t="n"/>
      <c r="D16" s="326" t="n"/>
      <c r="E16" s="324" t="n"/>
      <c r="F16" s="320" t="n"/>
      <c r="G16" s="327" t="n"/>
      <c r="H16" s="271" t="n"/>
      <c r="I16" s="275">
        <f>IF(COUNTA(A16:F16)=0,"",IF(OR(E16&lt;0,F16&lt;0,F16&gt;10),"ERRO: valores inválidos",IF(COUNTIFS($A$5:$A$1200,A16,$B$5:$B$1200,B16,$C$5:$C$1200,C16,$D$5:$D$1200,D16)&gt;1,"ERRO: chave duplicada","OK")))</f>
        <v/>
      </c>
    </row>
    <row r="17" ht="15" customHeight="1" s="131">
      <c r="A17" s="320" t="n"/>
      <c r="B17" s="323" t="n"/>
      <c r="C17" s="320" t="n"/>
      <c r="D17" s="326" t="n"/>
      <c r="E17" s="324" t="n"/>
      <c r="F17" s="320" t="n"/>
      <c r="G17" s="327" t="n"/>
      <c r="H17" s="271" t="n"/>
      <c r="I17" s="275">
        <f>IF(COUNTA(A17:F17)=0,"",IF(OR(E17&lt;0,F17&lt;0,F17&gt;10),"ERRO: valores inválidos",IF(COUNTIFS($A$5:$A$1200,A17,$B$5:$B$1200,B17,$C$5:$C$1200,C17,$D$5:$D$1200,D17)&gt;1,"ERRO: chave duplicada","OK")))</f>
        <v/>
      </c>
    </row>
    <row r="18" ht="15" customHeight="1" s="131">
      <c r="A18" s="320" t="n"/>
      <c r="B18" s="323" t="n"/>
      <c r="C18" s="320" t="n"/>
      <c r="D18" s="326" t="n"/>
      <c r="E18" s="324" t="n"/>
      <c r="F18" s="320" t="n"/>
      <c r="G18" s="327" t="n"/>
      <c r="H18" s="271" t="n"/>
      <c r="I18" s="275">
        <f>IF(COUNTA(A18:F18)=0,"",IF(OR(E18&lt;0,F18&lt;0,F18&gt;10),"ERRO: valores inválidos",IF(COUNTIFS($A$5:$A$1200,A18,$B$5:$B$1200,B18,$C$5:$C$1200,C18,$D$5:$D$1200,D18)&gt;1,"ERRO: chave duplicada","OK")))</f>
        <v/>
      </c>
    </row>
    <row r="19" ht="15" customHeight="1" s="131">
      <c r="A19" s="320" t="n"/>
      <c r="B19" s="323" t="n"/>
      <c r="C19" s="320" t="n"/>
      <c r="D19" s="326" t="n"/>
      <c r="E19" s="324" t="n"/>
      <c r="F19" s="320" t="n"/>
      <c r="G19" s="327" t="n"/>
      <c r="H19" s="271" t="n"/>
      <c r="I19" s="275">
        <f>IF(COUNTA(A19:F19)=0,"",IF(OR(E19&lt;0,F19&lt;0,F19&gt;10),"ERRO: valores inválidos",IF(COUNTIFS($A$5:$A$1200,A19,$B$5:$B$1200,B19,$C$5:$C$1200,C19,$D$5:$D$1200,D19)&gt;1,"ERRO: chave duplicada","OK")))</f>
        <v/>
      </c>
    </row>
    <row r="20" ht="15" customHeight="1" s="131">
      <c r="A20" s="320" t="n"/>
      <c r="B20" s="323" t="n"/>
      <c r="C20" s="320" t="n"/>
      <c r="D20" s="326" t="n"/>
      <c r="E20" s="324" t="n"/>
      <c r="F20" s="320" t="n"/>
      <c r="G20" s="327" t="n"/>
      <c r="H20" s="271" t="n"/>
      <c r="I20" s="275">
        <f>IF(COUNTA(A20:F20)=0,"",IF(OR(E20&lt;0,F20&lt;0,F20&gt;10),"ERRO: valores inválidos",IF(COUNTIFS($A$5:$A$1200,A20,$B$5:$B$1200,B20,$C$5:$C$1200,C20,$D$5:$D$1200,D20)&gt;1,"ERRO: chave duplicada","OK")))</f>
        <v/>
      </c>
    </row>
    <row r="21" ht="15" customHeight="1" s="131">
      <c r="A21" s="320" t="n"/>
      <c r="B21" s="323" t="n"/>
      <c r="C21" s="320" t="n"/>
      <c r="D21" s="326" t="n"/>
      <c r="E21" s="324" t="n"/>
      <c r="F21" s="320" t="n"/>
      <c r="G21" s="327" t="n"/>
      <c r="H21" s="271" t="n"/>
      <c r="I21" s="275">
        <f>IF(COUNTA(A21:F21)=0,"",IF(OR(E21&lt;0,F21&lt;0,F21&gt;10),"ERRO: valores inválidos",IF(COUNTIFS($A$5:$A$1200,A21,$B$5:$B$1200,B21,$C$5:$C$1200,C21,$D$5:$D$1200,D21)&gt;1,"ERRO: chave duplicada","OK")))</f>
        <v/>
      </c>
    </row>
    <row r="22" ht="15" customHeight="1" s="131">
      <c r="A22" s="320" t="n"/>
      <c r="B22" s="323" t="n"/>
      <c r="C22" s="320" t="n"/>
      <c r="D22" s="326" t="n"/>
      <c r="E22" s="324" t="n"/>
      <c r="F22" s="320" t="n"/>
      <c r="G22" s="327" t="n"/>
      <c r="H22" s="271" t="n"/>
      <c r="I22" s="275">
        <f>IF(COUNTA(A22:F22)=0,"",IF(OR(E22&lt;0,F22&lt;0,F22&gt;10),"ERRO: valores inválidos",IF(COUNTIFS($A$5:$A$1200,A22,$B$5:$B$1200,B22,$C$5:$C$1200,C22,$D$5:$D$1200,D22)&gt;1,"ERRO: chave duplicada","OK")))</f>
        <v/>
      </c>
    </row>
    <row r="23" ht="15" customHeight="1" s="131">
      <c r="A23" s="320" t="n"/>
      <c r="B23" s="323" t="n"/>
      <c r="C23" s="320" t="n"/>
      <c r="D23" s="326" t="n"/>
      <c r="E23" s="324" t="n"/>
      <c r="F23" s="320" t="n"/>
      <c r="G23" s="327" t="n"/>
      <c r="H23" s="271" t="n"/>
      <c r="I23" s="275">
        <f>IF(COUNTA(A23:F23)=0,"",IF(OR(E23&lt;0,F23&lt;0,F23&gt;10),"ERRO: valores inválidos",IF(COUNTIFS($A$5:$A$1200,A23,$B$5:$B$1200,B23,$C$5:$C$1200,C23,$D$5:$D$1200,D23)&gt;1,"ERRO: chave duplicada","OK")))</f>
        <v/>
      </c>
    </row>
    <row r="24" ht="15" customHeight="1" s="131">
      <c r="A24" s="320" t="n"/>
      <c r="B24" s="323" t="n"/>
      <c r="C24" s="320" t="n"/>
      <c r="D24" s="326" t="n"/>
      <c r="E24" s="324" t="n"/>
      <c r="F24" s="320" t="n"/>
      <c r="G24" s="327" t="n"/>
      <c r="H24" s="271" t="n"/>
      <c r="I24" s="275">
        <f>IF(COUNTA(A24:F24)=0,"",IF(OR(E24&lt;0,F24&lt;0,F24&gt;10),"ERRO: valores inválidos",IF(COUNTIFS($A$5:$A$1200,A24,$B$5:$B$1200,B24,$C$5:$C$1200,C24,$D$5:$D$1200,D24)&gt;1,"ERRO: chave duplicada","OK")))</f>
        <v/>
      </c>
    </row>
    <row r="25" ht="15" customHeight="1" s="131">
      <c r="A25" s="320" t="n"/>
      <c r="B25" s="323" t="n"/>
      <c r="C25" s="320" t="n"/>
      <c r="D25" s="326" t="n"/>
      <c r="E25" s="324" t="n"/>
      <c r="F25" s="320" t="n"/>
      <c r="G25" s="327" t="n"/>
      <c r="H25" s="271" t="n"/>
      <c r="I25" s="275">
        <f>IF(COUNTA(A25:F25)=0,"",IF(OR(E25&lt;0,F25&lt;0,F25&gt;10),"ERRO: valores inválidos",IF(COUNTIFS($A$5:$A$1200,A25,$B$5:$B$1200,B25,$C$5:$C$1200,C25,$D$5:$D$1200,D25)&gt;1,"ERRO: chave duplicada","OK")))</f>
        <v/>
      </c>
    </row>
    <row r="26" ht="15" customHeight="1" s="131">
      <c r="A26" s="320" t="n"/>
      <c r="B26" s="323" t="n"/>
      <c r="C26" s="320" t="n"/>
      <c r="D26" s="326" t="n"/>
      <c r="E26" s="324" t="n"/>
      <c r="F26" s="320" t="n"/>
      <c r="G26" s="327" t="n"/>
      <c r="H26" s="271" t="n"/>
      <c r="I26" s="275">
        <f>IF(COUNTA(A26:F26)=0,"",IF(OR(E26&lt;0,F26&lt;0,F26&gt;10),"ERRO: valores inválidos",IF(COUNTIFS($A$5:$A$1200,A26,$B$5:$B$1200,B26,$C$5:$C$1200,C26,$D$5:$D$1200,D26)&gt;1,"ERRO: chave duplicada","OK")))</f>
        <v/>
      </c>
    </row>
    <row r="27" ht="15" customHeight="1" s="131">
      <c r="A27" s="320" t="n"/>
      <c r="B27" s="323" t="n"/>
      <c r="C27" s="320" t="n"/>
      <c r="D27" s="326" t="n"/>
      <c r="E27" s="324" t="n"/>
      <c r="F27" s="320" t="n"/>
      <c r="G27" s="327" t="n"/>
      <c r="H27" s="271" t="n"/>
      <c r="I27" s="275">
        <f>IF(COUNTA(A27:F27)=0,"",IF(OR(E27&lt;0,F27&lt;0,F27&gt;10),"ERRO: valores inválidos",IF(COUNTIFS($A$5:$A$1200,A27,$B$5:$B$1200,B27,$C$5:$C$1200,C27,$D$5:$D$1200,D27)&gt;1,"ERRO: chave duplicada","OK")))</f>
        <v/>
      </c>
    </row>
    <row r="28" ht="15" customHeight="1" s="131">
      <c r="A28" s="320" t="n"/>
      <c r="B28" s="323" t="n"/>
      <c r="C28" s="320" t="n"/>
      <c r="D28" s="326" t="n"/>
      <c r="E28" s="324" t="n"/>
      <c r="F28" s="320" t="n"/>
      <c r="G28" s="327" t="n"/>
      <c r="H28" s="271" t="n"/>
      <c r="I28" s="275">
        <f>IF(COUNTA(A28:F28)=0,"",IF(OR(E28&lt;0,F28&lt;0,F28&gt;10),"ERRO: valores inválidos",IF(COUNTIFS($A$5:$A$1200,A28,$B$5:$B$1200,B28,$C$5:$C$1200,C28,$D$5:$D$1200,D28)&gt;1,"ERRO: chave duplicada","OK")))</f>
        <v/>
      </c>
    </row>
    <row r="29" ht="15" customHeight="1" s="131">
      <c r="A29" s="320" t="n"/>
      <c r="B29" s="323" t="n"/>
      <c r="C29" s="320" t="n"/>
      <c r="D29" s="326" t="n"/>
      <c r="E29" s="324" t="n"/>
      <c r="F29" s="320" t="n"/>
      <c r="G29" s="327" t="n"/>
      <c r="H29" s="271" t="n"/>
      <c r="I29" s="275">
        <f>IF(COUNTA(A29:F29)=0,"",IF(OR(E29&lt;0,F29&lt;0,F29&gt;10),"ERRO: valores inválidos",IF(COUNTIFS($A$5:$A$1200,A29,$B$5:$B$1200,B29,$C$5:$C$1200,C29,$D$5:$D$1200,D29)&gt;1,"ERRO: chave duplicada","OK")))</f>
        <v/>
      </c>
    </row>
    <row r="30" ht="15" customHeight="1" s="131">
      <c r="A30" s="320" t="n"/>
      <c r="B30" s="323" t="n"/>
      <c r="C30" s="320" t="n"/>
      <c r="D30" s="326" t="n"/>
      <c r="E30" s="324" t="n"/>
      <c r="F30" s="320" t="n"/>
      <c r="G30" s="327" t="n"/>
      <c r="H30" s="271" t="n"/>
      <c r="I30" s="275">
        <f>IF(COUNTA(A30:F30)=0,"",IF(OR(E30&lt;0,F30&lt;0,F30&gt;10),"ERRO: valores inválidos",IF(COUNTIFS($A$5:$A$1200,A30,$B$5:$B$1200,B30,$C$5:$C$1200,C30,$D$5:$D$1200,D30)&gt;1,"ERRO: chave duplicada","OK")))</f>
        <v/>
      </c>
    </row>
    <row r="31" ht="15" customHeight="1" s="131">
      <c r="A31" s="320" t="n"/>
      <c r="B31" s="323" t="n"/>
      <c r="C31" s="320" t="n"/>
      <c r="D31" s="326" t="n"/>
      <c r="E31" s="324" t="n"/>
      <c r="F31" s="320" t="n"/>
      <c r="G31" s="327" t="n"/>
      <c r="H31" s="271" t="n"/>
      <c r="I31" s="275">
        <f>IF(COUNTA(A31:F31)=0,"",IF(OR(E31&lt;0,F31&lt;0,F31&gt;10),"ERRO: valores inválidos",IF(COUNTIFS($A$5:$A$1200,A31,$B$5:$B$1200,B31,$C$5:$C$1200,C31,$D$5:$D$1200,D31)&gt;1,"ERRO: chave duplicada","OK")))</f>
        <v/>
      </c>
    </row>
    <row r="32" ht="15" customHeight="1" s="131">
      <c r="A32" s="320" t="n"/>
      <c r="B32" s="323" t="n"/>
      <c r="C32" s="320" t="n"/>
      <c r="D32" s="326" t="n"/>
      <c r="E32" s="324" t="n"/>
      <c r="F32" s="320" t="n"/>
      <c r="G32" s="327" t="n"/>
      <c r="H32" s="271" t="n"/>
      <c r="I32" s="275">
        <f>IF(COUNTA(A32:F32)=0,"",IF(OR(E32&lt;0,F32&lt;0,F32&gt;10),"ERRO: valores inválidos",IF(COUNTIFS($A$5:$A$1200,A32,$B$5:$B$1200,B32,$C$5:$C$1200,C32,$D$5:$D$1200,D32)&gt;1,"ERRO: chave duplicada","OK")))</f>
        <v/>
      </c>
    </row>
    <row r="33" ht="15" customHeight="1" s="131">
      <c r="A33" s="320" t="n"/>
      <c r="B33" s="323" t="n"/>
      <c r="C33" s="320" t="n"/>
      <c r="D33" s="326" t="n"/>
      <c r="E33" s="324" t="n"/>
      <c r="F33" s="320" t="n"/>
      <c r="G33" s="327" t="n"/>
      <c r="H33" s="271" t="n"/>
      <c r="I33" s="275">
        <f>IF(COUNTA(A33:F33)=0,"",IF(OR(E33&lt;0,F33&lt;0,F33&gt;10),"ERRO: valores inválidos",IF(COUNTIFS($A$5:$A$1200,A33,$B$5:$B$1200,B33,$C$5:$C$1200,C33,$D$5:$D$1200,D33)&gt;1,"ERRO: chave duplicada","OK")))</f>
        <v/>
      </c>
    </row>
    <row r="34" ht="15" customHeight="1" s="131">
      <c r="A34" s="320" t="n"/>
      <c r="B34" s="323" t="n"/>
      <c r="C34" s="320" t="n"/>
      <c r="D34" s="326" t="n"/>
      <c r="E34" s="324" t="n"/>
      <c r="F34" s="320" t="n"/>
      <c r="G34" s="327" t="n"/>
      <c r="H34" s="271" t="n"/>
      <c r="I34" s="275">
        <f>IF(COUNTA(A34:F34)=0,"",IF(OR(E34&lt;0,F34&lt;0,F34&gt;10),"ERRO: valores inválidos",IF(COUNTIFS($A$5:$A$1200,A34,$B$5:$B$1200,B34,$C$5:$C$1200,C34,$D$5:$D$1200,D34)&gt;1,"ERRO: chave duplicada","OK")))</f>
        <v/>
      </c>
    </row>
    <row r="35" ht="15" customHeight="1" s="131">
      <c r="A35" s="320" t="n"/>
      <c r="B35" s="323" t="n"/>
      <c r="C35" s="320" t="n"/>
      <c r="D35" s="326" t="n"/>
      <c r="E35" s="324" t="n"/>
      <c r="F35" s="320" t="n"/>
      <c r="G35" s="327" t="n"/>
      <c r="H35" s="271" t="n"/>
      <c r="I35" s="275">
        <f>IF(COUNTA(A35:F35)=0,"",IF(OR(E35&lt;0,F35&lt;0,F35&gt;10),"ERRO: valores inválidos",IF(COUNTIFS($A$5:$A$1200,A35,$B$5:$B$1200,B35,$C$5:$C$1200,C35,$D$5:$D$1200,D35)&gt;1,"ERRO: chave duplicada","OK")))</f>
        <v/>
      </c>
    </row>
    <row r="36" ht="15" customHeight="1" s="131">
      <c r="A36" s="320" t="n"/>
      <c r="B36" s="323" t="n"/>
      <c r="C36" s="320" t="n"/>
      <c r="D36" s="326" t="n"/>
      <c r="E36" s="324" t="n"/>
      <c r="F36" s="320" t="n"/>
      <c r="G36" s="327" t="n"/>
      <c r="H36" s="271" t="n"/>
      <c r="I36" s="275">
        <f>IF(COUNTA(A36:F36)=0,"",IF(OR(E36&lt;0,F36&lt;0,F36&gt;10),"ERRO: valores inválidos",IF(COUNTIFS($A$5:$A$1200,A36,$B$5:$B$1200,B36,$C$5:$C$1200,C36,$D$5:$D$1200,D36)&gt;1,"ERRO: chave duplicada","OK")))</f>
        <v/>
      </c>
    </row>
    <row r="37" ht="15" customHeight="1" s="131">
      <c r="A37" s="320" t="n"/>
      <c r="B37" s="323" t="n"/>
      <c r="C37" s="320" t="n"/>
      <c r="D37" s="326" t="n"/>
      <c r="E37" s="324" t="n"/>
      <c r="F37" s="320" t="n"/>
      <c r="G37" s="327" t="n"/>
      <c r="H37" s="271" t="n"/>
      <c r="I37" s="275">
        <f>IF(COUNTA(A37:F37)=0,"",IF(OR(E37&lt;0,F37&lt;0,F37&gt;10),"ERRO: valores inválidos",IF(COUNTIFS($A$5:$A$1200,A37,$B$5:$B$1200,B37,$C$5:$C$1200,C37,$D$5:$D$1200,D37)&gt;1,"ERRO: chave duplicada","OK")))</f>
        <v/>
      </c>
    </row>
    <row r="38" ht="15" customHeight="1" s="131">
      <c r="A38" s="320" t="n"/>
      <c r="B38" s="323" t="n"/>
      <c r="C38" s="320" t="n"/>
      <c r="D38" s="326" t="n"/>
      <c r="E38" s="324" t="n"/>
      <c r="F38" s="320" t="n"/>
      <c r="G38" s="327" t="n"/>
      <c r="H38" s="271" t="n"/>
      <c r="I38" s="275">
        <f>IF(COUNTA(A38:F38)=0,"",IF(OR(E38&lt;0,F38&lt;0,F38&gt;10),"ERRO: valores inválidos",IF(COUNTIFS($A$5:$A$1200,A38,$B$5:$B$1200,B38,$C$5:$C$1200,C38,$D$5:$D$1200,D38)&gt;1,"ERRO: chave duplicada","OK")))</f>
        <v/>
      </c>
    </row>
    <row r="39" ht="15" customHeight="1" s="131">
      <c r="A39" s="320" t="n"/>
      <c r="B39" s="323" t="n"/>
      <c r="C39" s="320" t="n"/>
      <c r="D39" s="326" t="n"/>
      <c r="E39" s="324" t="n"/>
      <c r="F39" s="320" t="n"/>
      <c r="G39" s="327" t="n"/>
      <c r="H39" s="271" t="n"/>
      <c r="I39" s="275">
        <f>IF(COUNTA(A39:F39)=0,"",IF(OR(E39&lt;0,F39&lt;0,F39&gt;10),"ERRO: valores inválidos",IF(COUNTIFS($A$5:$A$1200,A39,$B$5:$B$1200,B39,$C$5:$C$1200,C39,$D$5:$D$1200,D39)&gt;1,"ERRO: chave duplicada","OK")))</f>
        <v/>
      </c>
    </row>
    <row r="40" ht="15" customHeight="1" s="131">
      <c r="A40" s="320" t="n"/>
      <c r="B40" s="323" t="n"/>
      <c r="C40" s="320" t="n"/>
      <c r="D40" s="326" t="n"/>
      <c r="E40" s="324" t="n"/>
      <c r="F40" s="320" t="n"/>
      <c r="G40" s="327" t="n"/>
      <c r="H40" s="271" t="n"/>
      <c r="I40" s="275">
        <f>IF(COUNTA(A40:F40)=0,"",IF(OR(E40&lt;0,F40&lt;0,F40&gt;10),"ERRO: valores inválidos",IF(COUNTIFS($A$5:$A$1200,A40,$B$5:$B$1200,B40,$C$5:$C$1200,C40,$D$5:$D$1200,D40)&gt;1,"ERRO: chave duplicada","OK")))</f>
        <v/>
      </c>
    </row>
    <row r="41" ht="15" customHeight="1" s="131">
      <c r="A41" s="320" t="n"/>
      <c r="B41" s="323" t="n"/>
      <c r="C41" s="320" t="n"/>
      <c r="D41" s="326" t="n"/>
      <c r="E41" s="324" t="n"/>
      <c r="F41" s="320" t="n"/>
      <c r="G41" s="327" t="n"/>
      <c r="H41" s="271" t="n"/>
      <c r="I41" s="275">
        <f>IF(COUNTA(A41:F41)=0,"",IF(OR(E41&lt;0,F41&lt;0,F41&gt;10),"ERRO: valores inválidos",IF(COUNTIFS($A$5:$A$1200,A41,$B$5:$B$1200,B41,$C$5:$C$1200,C41,$D$5:$D$1200,D41)&gt;1,"ERRO: chave duplicada","OK")))</f>
        <v/>
      </c>
    </row>
    <row r="42" ht="15" customHeight="1" s="131">
      <c r="A42" s="320" t="n"/>
      <c r="B42" s="323" t="n"/>
      <c r="C42" s="320" t="n"/>
      <c r="D42" s="326" t="n"/>
      <c r="E42" s="324" t="n"/>
      <c r="F42" s="320" t="n"/>
      <c r="G42" s="327" t="n"/>
      <c r="H42" s="271" t="n"/>
      <c r="I42" s="275">
        <f>IF(COUNTA(A42:F42)=0,"",IF(OR(E42&lt;0,F42&lt;0,F42&gt;10),"ERRO: valores inválidos",IF(COUNTIFS($A$5:$A$1200,A42,$B$5:$B$1200,B42,$C$5:$C$1200,C42,$D$5:$D$1200,D42)&gt;1,"ERRO: chave duplicada","OK")))</f>
        <v/>
      </c>
    </row>
    <row r="43" ht="15" customHeight="1" s="131">
      <c r="A43" s="320" t="n"/>
      <c r="B43" s="323" t="n"/>
      <c r="C43" s="320" t="n"/>
      <c r="D43" s="326" t="n"/>
      <c r="E43" s="324" t="n"/>
      <c r="F43" s="320" t="n"/>
      <c r="G43" s="327" t="n"/>
      <c r="H43" s="271" t="n"/>
      <c r="I43" s="275">
        <f>IF(COUNTA(A43:F43)=0,"",IF(OR(E43&lt;0,F43&lt;0,F43&gt;10),"ERRO: valores inválidos",IF(COUNTIFS($A$5:$A$1200,A43,$B$5:$B$1200,B43,$C$5:$C$1200,C43,$D$5:$D$1200,D43)&gt;1,"ERRO: chave duplicada","OK")))</f>
        <v/>
      </c>
    </row>
    <row r="44" ht="15" customHeight="1" s="131">
      <c r="A44" s="320" t="n"/>
      <c r="B44" s="323" t="n"/>
      <c r="C44" s="320" t="n"/>
      <c r="D44" s="326" t="n"/>
      <c r="E44" s="324" t="n"/>
      <c r="F44" s="320" t="n"/>
      <c r="G44" s="327" t="n"/>
      <c r="H44" s="271" t="n"/>
      <c r="I44" s="275">
        <f>IF(COUNTA(A44:F44)=0,"",IF(OR(E44&lt;0,F44&lt;0,F44&gt;10),"ERRO: valores inválidos",IF(COUNTIFS($A$5:$A$1200,A44,$B$5:$B$1200,B44,$C$5:$C$1200,C44,$D$5:$D$1200,D44)&gt;1,"ERRO: chave duplicada","OK")))</f>
        <v/>
      </c>
    </row>
    <row r="45" ht="15" customHeight="1" s="131">
      <c r="A45" s="320" t="n"/>
      <c r="B45" s="323" t="n"/>
      <c r="C45" s="320" t="n"/>
      <c r="D45" s="326" t="n"/>
      <c r="E45" s="324" t="n"/>
      <c r="F45" s="320" t="n"/>
      <c r="G45" s="327" t="n"/>
      <c r="H45" s="271" t="n"/>
      <c r="I45" s="275">
        <f>IF(COUNTA(A45:F45)=0,"",IF(OR(E45&lt;0,F45&lt;0,F45&gt;10),"ERRO: valores inválidos",IF(COUNTIFS($A$5:$A$1200,A45,$B$5:$B$1200,B45,$C$5:$C$1200,C45,$D$5:$D$1200,D45)&gt;1,"ERRO: chave duplicada","OK")))</f>
        <v/>
      </c>
    </row>
    <row r="46" ht="15" customHeight="1" s="131">
      <c r="A46" s="320" t="n"/>
      <c r="B46" s="323" t="n"/>
      <c r="C46" s="320" t="n"/>
      <c r="D46" s="326" t="n"/>
      <c r="E46" s="324" t="n"/>
      <c r="F46" s="320" t="n"/>
      <c r="G46" s="327" t="n"/>
      <c r="H46" s="271" t="n"/>
      <c r="I46" s="275">
        <f>IF(COUNTA(A46:F46)=0,"",IF(OR(E46&lt;0,F46&lt;0,F46&gt;10),"ERRO: valores inválidos",IF(COUNTIFS($A$5:$A$1200,A46,$B$5:$B$1200,B46,$C$5:$C$1200,C46,$D$5:$D$1200,D46)&gt;1,"ERRO: chave duplicada","OK")))</f>
        <v/>
      </c>
    </row>
    <row r="47" ht="15" customHeight="1" s="131">
      <c r="A47" s="320" t="n"/>
      <c r="B47" s="323" t="n"/>
      <c r="C47" s="320" t="n"/>
      <c r="D47" s="326" t="n"/>
      <c r="E47" s="324" t="n"/>
      <c r="F47" s="320" t="n"/>
      <c r="G47" s="327" t="n"/>
      <c r="H47" s="271" t="n"/>
      <c r="I47" s="275">
        <f>IF(COUNTA(A47:F47)=0,"",IF(OR(E47&lt;0,F47&lt;0,F47&gt;10),"ERRO: valores inválidos",IF(COUNTIFS($A$5:$A$1200,A47,$B$5:$B$1200,B47,$C$5:$C$1200,C47,$D$5:$D$1200,D47)&gt;1,"ERRO: chave duplicada","OK")))</f>
        <v/>
      </c>
    </row>
    <row r="48" ht="15" customHeight="1" s="131">
      <c r="A48" s="320" t="n"/>
      <c r="B48" s="323" t="n"/>
      <c r="C48" s="320" t="n"/>
      <c r="D48" s="326" t="n"/>
      <c r="E48" s="324" t="n"/>
      <c r="F48" s="320" t="n"/>
      <c r="G48" s="327" t="n"/>
      <c r="H48" s="271" t="n"/>
      <c r="I48" s="275">
        <f>IF(COUNTA(A48:F48)=0,"",IF(OR(E48&lt;0,F48&lt;0,F48&gt;10),"ERRO: valores inválidos",IF(COUNTIFS($A$5:$A$1200,A48,$B$5:$B$1200,B48,$C$5:$C$1200,C48,$D$5:$D$1200,D48)&gt;1,"ERRO: chave duplicada","OK")))</f>
        <v/>
      </c>
    </row>
    <row r="49" ht="15" customHeight="1" s="131">
      <c r="A49" s="320" t="n"/>
      <c r="B49" s="323" t="n"/>
      <c r="C49" s="320" t="n"/>
      <c r="D49" s="326" t="n"/>
      <c r="E49" s="324" t="n"/>
      <c r="F49" s="320" t="n"/>
      <c r="G49" s="327" t="n"/>
      <c r="H49" s="271" t="n"/>
      <c r="I49" s="275">
        <f>IF(COUNTA(A49:F49)=0,"",IF(OR(E49&lt;0,F49&lt;0,F49&gt;10),"ERRO: valores inválidos",IF(COUNTIFS($A$5:$A$1200,A49,$B$5:$B$1200,B49,$C$5:$C$1200,C49,$D$5:$D$1200,D49)&gt;1,"ERRO: chave duplicada","OK")))</f>
        <v/>
      </c>
    </row>
    <row r="50" ht="15" customHeight="1" s="131">
      <c r="A50" s="320" t="n"/>
      <c r="B50" s="323" t="n"/>
      <c r="C50" s="320" t="n"/>
      <c r="D50" s="326" t="n"/>
      <c r="E50" s="324" t="n"/>
      <c r="F50" s="320" t="n"/>
      <c r="G50" s="327" t="n"/>
      <c r="H50" s="271" t="n"/>
      <c r="I50" s="275">
        <f>IF(COUNTA(A50:F50)=0,"",IF(OR(E50&lt;0,F50&lt;0,F50&gt;10),"ERRO: valores inválidos",IF(COUNTIFS($A$5:$A$1200,A50,$B$5:$B$1200,B50,$C$5:$C$1200,C50,$D$5:$D$1200,D50)&gt;1,"ERRO: chave duplicada","OK")))</f>
        <v/>
      </c>
    </row>
    <row r="51" ht="15" customHeight="1" s="131">
      <c r="A51" s="320" t="n"/>
      <c r="B51" s="323" t="n"/>
      <c r="C51" s="320" t="n"/>
      <c r="D51" s="326" t="n"/>
      <c r="E51" s="324" t="n"/>
      <c r="F51" s="320" t="n"/>
      <c r="G51" s="327" t="n"/>
      <c r="H51" s="271" t="n"/>
      <c r="I51" s="275">
        <f>IF(COUNTA(A51:F51)=0,"",IF(OR(E51&lt;0,F51&lt;0,F51&gt;10),"ERRO: valores inválidos",IF(COUNTIFS($A$5:$A$1200,A51,$B$5:$B$1200,B51,$C$5:$C$1200,C51,$D$5:$D$1200,D51)&gt;1,"ERRO: chave duplicada","OK")))</f>
        <v/>
      </c>
    </row>
    <row r="52" ht="15" customHeight="1" s="131">
      <c r="A52" s="320" t="n"/>
      <c r="B52" s="323" t="n"/>
      <c r="C52" s="320" t="n"/>
      <c r="D52" s="326" t="n"/>
      <c r="E52" s="324" t="n"/>
      <c r="F52" s="320" t="n"/>
      <c r="G52" s="327" t="n"/>
      <c r="H52" s="271" t="n"/>
      <c r="I52" s="275">
        <f>IF(COUNTA(A52:F52)=0,"",IF(OR(E52&lt;0,F52&lt;0,F52&gt;10),"ERRO: valores inválidos",IF(COUNTIFS($A$5:$A$1200,A52,$B$5:$B$1200,B52,$C$5:$C$1200,C52,$D$5:$D$1200,D52)&gt;1,"ERRO: chave duplicada","OK")))</f>
        <v/>
      </c>
    </row>
    <row r="53" ht="15" customHeight="1" s="131">
      <c r="A53" s="320" t="n"/>
      <c r="B53" s="323" t="n"/>
      <c r="C53" s="320" t="n"/>
      <c r="D53" s="326" t="n"/>
      <c r="E53" s="324" t="n"/>
      <c r="F53" s="320" t="n"/>
      <c r="G53" s="327" t="n"/>
      <c r="H53" s="271" t="n"/>
      <c r="I53" s="275">
        <f>IF(COUNTA(A53:F53)=0,"",IF(OR(E53&lt;0,F53&lt;0,F53&gt;10),"ERRO: valores inválidos",IF(COUNTIFS($A$5:$A$1200,A53,$B$5:$B$1200,B53,$C$5:$C$1200,C53,$D$5:$D$1200,D53)&gt;1,"ERRO: chave duplicada","OK")))</f>
        <v/>
      </c>
    </row>
    <row r="54" ht="15" customHeight="1" s="131">
      <c r="A54" s="320" t="n"/>
      <c r="B54" s="323" t="n"/>
      <c r="C54" s="320" t="n"/>
      <c r="D54" s="326" t="n"/>
      <c r="E54" s="324" t="n"/>
      <c r="F54" s="320" t="n"/>
      <c r="G54" s="327" t="n"/>
      <c r="H54" s="271" t="n"/>
      <c r="I54" s="275">
        <f>IF(COUNTA(A54:F54)=0,"",IF(OR(E54&lt;0,F54&lt;0,F54&gt;10),"ERRO: valores inválidos",IF(COUNTIFS($A$5:$A$1200,A54,$B$5:$B$1200,B54,$C$5:$C$1200,C54,$D$5:$D$1200,D54)&gt;1,"ERRO: chave duplicada","OK")))</f>
        <v/>
      </c>
    </row>
    <row r="55" ht="15" customHeight="1" s="131">
      <c r="A55" s="320" t="n"/>
      <c r="B55" s="323" t="n"/>
      <c r="C55" s="320" t="n"/>
      <c r="D55" s="326" t="n"/>
      <c r="E55" s="324" t="n"/>
      <c r="F55" s="320" t="n"/>
      <c r="G55" s="327" t="n"/>
      <c r="H55" s="271" t="n"/>
      <c r="I55" s="275">
        <f>IF(COUNTA(A55:F55)=0,"",IF(OR(E55&lt;0,F55&lt;0,F55&gt;10),"ERRO: valores inválidos",IF(COUNTIFS($A$5:$A$1200,A55,$B$5:$B$1200,B55,$C$5:$C$1200,C55,$D$5:$D$1200,D55)&gt;1,"ERRO: chave duplicada","OK")))</f>
        <v/>
      </c>
    </row>
    <row r="56" ht="15" customHeight="1" s="131">
      <c r="A56" s="320" t="n"/>
      <c r="B56" s="323" t="n"/>
      <c r="C56" s="320" t="n"/>
      <c r="D56" s="326" t="n"/>
      <c r="E56" s="324" t="n"/>
      <c r="F56" s="320" t="n"/>
      <c r="G56" s="327" t="n"/>
      <c r="H56" s="271" t="n"/>
      <c r="I56" s="275">
        <f>IF(COUNTA(A56:F56)=0,"",IF(OR(E56&lt;0,F56&lt;0,F56&gt;10),"ERRO: valores inválidos",IF(COUNTIFS($A$5:$A$1200,A56,$B$5:$B$1200,B56,$C$5:$C$1200,C56,$D$5:$D$1200,D56)&gt;1,"ERRO: chave duplicada","OK")))</f>
        <v/>
      </c>
    </row>
    <row r="57" ht="15" customHeight="1" s="131">
      <c r="A57" s="320" t="n"/>
      <c r="B57" s="323" t="n"/>
      <c r="C57" s="320" t="n"/>
      <c r="D57" s="326" t="n"/>
      <c r="E57" s="324" t="n"/>
      <c r="F57" s="320" t="n"/>
      <c r="G57" s="327" t="n"/>
      <c r="H57" s="271" t="n"/>
      <c r="I57" s="275">
        <f>IF(COUNTA(A57:F57)=0,"",IF(OR(E57&lt;0,F57&lt;0,F57&gt;10),"ERRO: valores inválidos",IF(COUNTIFS($A$5:$A$1200,A57,$B$5:$B$1200,B57,$C$5:$C$1200,C57,$D$5:$D$1200,D57)&gt;1,"ERRO: chave duplicada","OK")))</f>
        <v/>
      </c>
    </row>
    <row r="58" ht="15" customHeight="1" s="131">
      <c r="A58" s="320" t="n"/>
      <c r="B58" s="323" t="n"/>
      <c r="C58" s="320" t="n"/>
      <c r="D58" s="326" t="n"/>
      <c r="E58" s="324" t="n"/>
      <c r="F58" s="320" t="n"/>
      <c r="G58" s="327" t="n"/>
      <c r="H58" s="271" t="n"/>
      <c r="I58" s="275">
        <f>IF(COUNTA(A58:F58)=0,"",IF(OR(E58&lt;0,F58&lt;0,F58&gt;10),"ERRO: valores inválidos",IF(COUNTIFS($A$5:$A$1200,A58,$B$5:$B$1200,B58,$C$5:$C$1200,C58,$D$5:$D$1200,D58)&gt;1,"ERRO: chave duplicada","OK")))</f>
        <v/>
      </c>
    </row>
    <row r="59" ht="15" customHeight="1" s="131">
      <c r="A59" s="320" t="n"/>
      <c r="B59" s="323" t="n"/>
      <c r="C59" s="320" t="n"/>
      <c r="D59" s="326" t="n"/>
      <c r="E59" s="324" t="n"/>
      <c r="F59" s="320" t="n"/>
      <c r="G59" s="327" t="n"/>
      <c r="H59" s="271" t="n"/>
      <c r="I59" s="275">
        <f>IF(COUNTA(A59:F59)=0,"",IF(OR(E59&lt;0,F59&lt;0,F59&gt;10),"ERRO: valores inválidos",IF(COUNTIFS($A$5:$A$1200,A59,$B$5:$B$1200,B59,$C$5:$C$1200,C59,$D$5:$D$1200,D59)&gt;1,"ERRO: chave duplicada","OK")))</f>
        <v/>
      </c>
    </row>
    <row r="60" ht="15" customHeight="1" s="131">
      <c r="A60" s="320" t="n"/>
      <c r="B60" s="323" t="n"/>
      <c r="C60" s="320" t="n"/>
      <c r="D60" s="326" t="n"/>
      <c r="E60" s="324" t="n"/>
      <c r="F60" s="320" t="n"/>
      <c r="G60" s="327" t="n"/>
      <c r="H60" s="271" t="n"/>
      <c r="I60" s="275">
        <f>IF(COUNTA(A60:F60)=0,"",IF(OR(E60&lt;0,F60&lt;0,F60&gt;10),"ERRO: valores inválidos",IF(COUNTIFS($A$5:$A$1200,A60,$B$5:$B$1200,B60,$C$5:$C$1200,C60,$D$5:$D$1200,D60)&gt;1,"ERRO: chave duplicada","OK")))</f>
        <v/>
      </c>
    </row>
    <row r="61" ht="15" customHeight="1" s="131">
      <c r="A61" s="320" t="n"/>
      <c r="B61" s="323" t="n"/>
      <c r="C61" s="320" t="n"/>
      <c r="D61" s="326" t="n"/>
      <c r="E61" s="324" t="n"/>
      <c r="F61" s="320" t="n"/>
      <c r="G61" s="327" t="n"/>
      <c r="H61" s="271" t="n"/>
      <c r="I61" s="275">
        <f>IF(COUNTA(A61:F61)=0,"",IF(OR(E61&lt;0,F61&lt;0,F61&gt;10),"ERRO: valores inválidos",IF(COUNTIFS($A$5:$A$1200,A61,$B$5:$B$1200,B61,$C$5:$C$1200,C61,$D$5:$D$1200,D61)&gt;1,"ERRO: chave duplicada","OK")))</f>
        <v/>
      </c>
    </row>
    <row r="62" ht="15" customHeight="1" s="131">
      <c r="A62" s="320" t="n"/>
      <c r="B62" s="323" t="n"/>
      <c r="C62" s="320" t="n"/>
      <c r="D62" s="326" t="n"/>
      <c r="E62" s="324" t="n"/>
      <c r="F62" s="320" t="n"/>
      <c r="G62" s="327" t="n"/>
      <c r="H62" s="271" t="n"/>
      <c r="I62" s="275">
        <f>IF(COUNTA(A62:F62)=0,"",IF(OR(E62&lt;0,F62&lt;0,F62&gt;10),"ERRO: valores inválidos",IF(COUNTIFS($A$5:$A$1200,A62,$B$5:$B$1200,B62,$C$5:$C$1200,C62,$D$5:$D$1200,D62)&gt;1,"ERRO: chave duplicada","OK")))</f>
        <v/>
      </c>
    </row>
    <row r="63" ht="15" customHeight="1" s="131">
      <c r="A63" s="320" t="n"/>
      <c r="B63" s="323" t="n"/>
      <c r="C63" s="320" t="n"/>
      <c r="D63" s="326" t="n"/>
      <c r="E63" s="324" t="n"/>
      <c r="F63" s="320" t="n"/>
      <c r="G63" s="327" t="n"/>
      <c r="H63" s="271" t="n"/>
      <c r="I63" s="275">
        <f>IF(COUNTA(A63:F63)=0,"",IF(OR(E63&lt;0,F63&lt;0,F63&gt;10),"ERRO: valores inválidos",IF(COUNTIFS($A$5:$A$1200,A63,$B$5:$B$1200,B63,$C$5:$C$1200,C63,$D$5:$D$1200,D63)&gt;1,"ERRO: chave duplicada","OK")))</f>
        <v/>
      </c>
    </row>
    <row r="64" ht="15" customHeight="1" s="131">
      <c r="A64" s="320" t="n"/>
      <c r="B64" s="323" t="n"/>
      <c r="C64" s="320" t="n"/>
      <c r="D64" s="326" t="n"/>
      <c r="E64" s="324" t="n"/>
      <c r="F64" s="320" t="n"/>
      <c r="G64" s="327" t="n"/>
      <c r="H64" s="271" t="n"/>
      <c r="I64" s="275">
        <f>IF(COUNTA(A64:F64)=0,"",IF(OR(E64&lt;0,F64&lt;0,F64&gt;10),"ERRO: valores inválidos",IF(COUNTIFS($A$5:$A$1200,A64,$B$5:$B$1200,B64,$C$5:$C$1200,C64,$D$5:$D$1200,D64)&gt;1,"ERRO: chave duplicada","OK")))</f>
        <v/>
      </c>
    </row>
    <row r="65" ht="15" customHeight="1" s="131">
      <c r="A65" s="320" t="n"/>
      <c r="B65" s="323" t="n"/>
      <c r="C65" s="320" t="n"/>
      <c r="D65" s="326" t="n"/>
      <c r="E65" s="324" t="n"/>
      <c r="F65" s="320" t="n"/>
      <c r="G65" s="327" t="n"/>
      <c r="H65" s="271" t="n"/>
      <c r="I65" s="275">
        <f>IF(COUNTA(A65:F65)=0,"",IF(OR(E65&lt;0,F65&lt;0,F65&gt;10),"ERRO: valores inválidos",IF(COUNTIFS($A$5:$A$1200,A65,$B$5:$B$1200,B65,$C$5:$C$1200,C65,$D$5:$D$1200,D65)&gt;1,"ERRO: chave duplicada","OK")))</f>
        <v/>
      </c>
    </row>
    <row r="66" ht="15" customHeight="1" s="131">
      <c r="A66" s="320" t="n"/>
      <c r="B66" s="323" t="n"/>
      <c r="C66" s="320" t="n"/>
      <c r="D66" s="326" t="n"/>
      <c r="E66" s="324" t="n"/>
      <c r="F66" s="320" t="n"/>
      <c r="G66" s="327" t="n"/>
      <c r="H66" s="271" t="n"/>
      <c r="I66" s="275">
        <f>IF(COUNTA(A66:F66)=0,"",IF(OR(E66&lt;0,F66&lt;0,F66&gt;10),"ERRO: valores inválidos",IF(COUNTIFS($A$5:$A$1200,A66,$B$5:$B$1200,B66,$C$5:$C$1200,C66,$D$5:$D$1200,D66)&gt;1,"ERRO: chave duplicada","OK")))</f>
        <v/>
      </c>
    </row>
    <row r="67" ht="15" customHeight="1" s="131">
      <c r="A67" s="320" t="n"/>
      <c r="B67" s="323" t="n"/>
      <c r="C67" s="320" t="n"/>
      <c r="D67" s="326" t="n"/>
      <c r="E67" s="324" t="n"/>
      <c r="F67" s="320" t="n"/>
      <c r="G67" s="327" t="n"/>
      <c r="H67" s="271" t="n"/>
      <c r="I67" s="275">
        <f>IF(COUNTA(A67:F67)=0,"",IF(OR(E67&lt;0,F67&lt;0,F67&gt;10),"ERRO: valores inválidos",IF(COUNTIFS($A$5:$A$1200,A67,$B$5:$B$1200,B67,$C$5:$C$1200,C67,$D$5:$D$1200,D67)&gt;1,"ERRO: chave duplicada","OK")))</f>
        <v/>
      </c>
    </row>
    <row r="68" ht="15" customHeight="1" s="131">
      <c r="A68" s="320" t="n"/>
      <c r="B68" s="323" t="n"/>
      <c r="C68" s="320" t="n"/>
      <c r="D68" s="326" t="n"/>
      <c r="E68" s="324" t="n"/>
      <c r="F68" s="320" t="n"/>
      <c r="G68" s="327" t="n"/>
      <c r="H68" s="271" t="n"/>
      <c r="I68" s="275">
        <f>IF(COUNTA(A68:F68)=0,"",IF(OR(E68&lt;0,F68&lt;0,F68&gt;10),"ERRO: valores inválidos",IF(COUNTIFS($A$5:$A$1200,A68,$B$5:$B$1200,B68,$C$5:$C$1200,C68,$D$5:$D$1200,D68)&gt;1,"ERRO: chave duplicada","OK")))</f>
        <v/>
      </c>
    </row>
    <row r="69" ht="15" customHeight="1" s="131">
      <c r="A69" s="320" t="n"/>
      <c r="B69" s="323" t="n"/>
      <c r="C69" s="320" t="n"/>
      <c r="D69" s="326" t="n"/>
      <c r="E69" s="324" t="n"/>
      <c r="F69" s="320" t="n"/>
      <c r="G69" s="327" t="n"/>
      <c r="H69" s="271" t="n"/>
      <c r="I69" s="275">
        <f>IF(COUNTA(A69:F69)=0,"",IF(OR(E69&lt;0,F69&lt;0,F69&gt;10),"ERRO: valores inválidos",IF(COUNTIFS($A$5:$A$1200,A69,$B$5:$B$1200,B69,$C$5:$C$1200,C69,$D$5:$D$1200,D69)&gt;1,"ERRO: chave duplicada","OK")))</f>
        <v/>
      </c>
    </row>
    <row r="70" ht="15" customHeight="1" s="131">
      <c r="A70" s="320" t="n"/>
      <c r="B70" s="323" t="n"/>
      <c r="C70" s="320" t="n"/>
      <c r="D70" s="326" t="n"/>
      <c r="E70" s="324" t="n"/>
      <c r="F70" s="320" t="n"/>
      <c r="G70" s="327" t="n"/>
      <c r="H70" s="271" t="n"/>
      <c r="I70" s="275">
        <f>IF(COUNTA(A70:F70)=0,"",IF(OR(E70&lt;0,F70&lt;0,F70&gt;10),"ERRO: valores inválidos",IF(COUNTIFS($A$5:$A$1200,A70,$B$5:$B$1200,B70,$C$5:$C$1200,C70,$D$5:$D$1200,D70)&gt;1,"ERRO: chave duplicada","OK")))</f>
        <v/>
      </c>
    </row>
    <row r="71" ht="15" customHeight="1" s="131">
      <c r="A71" s="320" t="n"/>
      <c r="B71" s="323" t="n"/>
      <c r="C71" s="320" t="n"/>
      <c r="D71" s="326" t="n"/>
      <c r="E71" s="324" t="n"/>
      <c r="F71" s="320" t="n"/>
      <c r="G71" s="327" t="n"/>
      <c r="H71" s="271" t="n"/>
      <c r="I71" s="275">
        <f>IF(COUNTA(A71:F71)=0,"",IF(OR(E71&lt;0,F71&lt;0,F71&gt;10),"ERRO: valores inválidos",IF(COUNTIFS($A$5:$A$1200,A71,$B$5:$B$1200,B71,$C$5:$C$1200,C71,$D$5:$D$1200,D71)&gt;1,"ERRO: chave duplicada","OK")))</f>
        <v/>
      </c>
    </row>
    <row r="72" ht="15" customHeight="1" s="131">
      <c r="A72" s="320" t="n"/>
      <c r="B72" s="323" t="n"/>
      <c r="C72" s="320" t="n"/>
      <c r="D72" s="326" t="n"/>
      <c r="E72" s="324" t="n"/>
      <c r="F72" s="320" t="n"/>
      <c r="G72" s="327" t="n"/>
      <c r="H72" s="271" t="n"/>
      <c r="I72" s="275">
        <f>IF(COUNTA(A72:F72)=0,"",IF(OR(E72&lt;0,F72&lt;0,F72&gt;10),"ERRO: valores inválidos",IF(COUNTIFS($A$5:$A$1200,A72,$B$5:$B$1200,B72,$C$5:$C$1200,C72,$D$5:$D$1200,D72)&gt;1,"ERRO: chave duplicada","OK")))</f>
        <v/>
      </c>
    </row>
    <row r="73" ht="15" customHeight="1" s="131">
      <c r="A73" s="320" t="n"/>
      <c r="B73" s="323" t="n"/>
      <c r="C73" s="320" t="n"/>
      <c r="D73" s="326" t="n"/>
      <c r="E73" s="324" t="n"/>
      <c r="F73" s="320" t="n"/>
      <c r="G73" s="327" t="n"/>
      <c r="H73" s="271" t="n"/>
      <c r="I73" s="275">
        <f>IF(COUNTA(A73:F73)=0,"",IF(OR(E73&lt;0,F73&lt;0,F73&gt;10),"ERRO: valores inválidos",IF(COUNTIFS($A$5:$A$1200,A73,$B$5:$B$1200,B73,$C$5:$C$1200,C73,$D$5:$D$1200,D73)&gt;1,"ERRO: chave duplicada","OK")))</f>
        <v/>
      </c>
    </row>
    <row r="74" ht="15" customHeight="1" s="131">
      <c r="A74" s="320" t="n"/>
      <c r="B74" s="323" t="n"/>
      <c r="C74" s="320" t="n"/>
      <c r="D74" s="326" t="n"/>
      <c r="E74" s="324" t="n"/>
      <c r="F74" s="320" t="n"/>
      <c r="G74" s="327" t="n"/>
      <c r="H74" s="271" t="n"/>
      <c r="I74" s="275">
        <f>IF(COUNTA(A74:F74)=0,"",IF(OR(E74&lt;0,F74&lt;0,F74&gt;10),"ERRO: valores inválidos",IF(COUNTIFS($A$5:$A$1200,A74,$B$5:$B$1200,B74,$C$5:$C$1200,C74,$D$5:$D$1200,D74)&gt;1,"ERRO: chave duplicada","OK")))</f>
        <v/>
      </c>
    </row>
    <row r="75" ht="15" customHeight="1" s="131">
      <c r="A75" s="320" t="n"/>
      <c r="B75" s="323" t="n"/>
      <c r="C75" s="320" t="n"/>
      <c r="D75" s="326" t="n"/>
      <c r="E75" s="324" t="n"/>
      <c r="F75" s="320" t="n"/>
      <c r="G75" s="327" t="n"/>
      <c r="H75" s="271" t="n"/>
      <c r="I75" s="275">
        <f>IF(COUNTA(A75:F75)=0,"",IF(OR(E75&lt;0,F75&lt;0,F75&gt;10),"ERRO: valores inválidos",IF(COUNTIFS($A$5:$A$1200,A75,$B$5:$B$1200,B75,$C$5:$C$1200,C75,$D$5:$D$1200,D75)&gt;1,"ERRO: chave duplicada","OK")))</f>
        <v/>
      </c>
    </row>
    <row r="76" ht="15" customHeight="1" s="131">
      <c r="A76" s="320" t="n"/>
      <c r="B76" s="323" t="n"/>
      <c r="C76" s="320" t="n"/>
      <c r="D76" s="326" t="n"/>
      <c r="E76" s="324" t="n"/>
      <c r="F76" s="320" t="n"/>
      <c r="G76" s="327" t="n"/>
      <c r="H76" s="271" t="n"/>
      <c r="I76" s="275">
        <f>IF(COUNTA(A76:F76)=0,"",IF(OR(E76&lt;0,F76&lt;0,F76&gt;10),"ERRO: valores inválidos",IF(COUNTIFS($A$5:$A$1200,A76,$B$5:$B$1200,B76,$C$5:$C$1200,C76,$D$5:$D$1200,D76)&gt;1,"ERRO: chave duplicada","OK")))</f>
        <v/>
      </c>
    </row>
    <row r="77" ht="15" customHeight="1" s="131">
      <c r="A77" s="320" t="n"/>
      <c r="B77" s="323" t="n"/>
      <c r="C77" s="320" t="n"/>
      <c r="D77" s="326" t="n"/>
      <c r="E77" s="324" t="n"/>
      <c r="F77" s="320" t="n"/>
      <c r="G77" s="327" t="n"/>
      <c r="H77" s="271" t="n"/>
      <c r="I77" s="275">
        <f>IF(COUNTA(A77:F77)=0,"",IF(OR(E77&lt;0,F77&lt;0,F77&gt;10),"ERRO: valores inválidos",IF(COUNTIFS($A$5:$A$1200,A77,$B$5:$B$1200,B77,$C$5:$C$1200,C77,$D$5:$D$1200,D77)&gt;1,"ERRO: chave duplicada","OK")))</f>
        <v/>
      </c>
    </row>
    <row r="78" ht="15" customHeight="1" s="131">
      <c r="A78" s="320" t="n"/>
      <c r="B78" s="323" t="n"/>
      <c r="C78" s="320" t="n"/>
      <c r="D78" s="326" t="n"/>
      <c r="E78" s="324" t="n"/>
      <c r="F78" s="320" t="n"/>
      <c r="G78" s="327" t="n"/>
      <c r="H78" s="271" t="n"/>
      <c r="I78" s="275">
        <f>IF(COUNTA(A78:F78)=0,"",IF(OR(E78&lt;0,F78&lt;0,F78&gt;10),"ERRO: valores inválidos",IF(COUNTIFS($A$5:$A$1200,A78,$B$5:$B$1200,B78,$C$5:$C$1200,C78,$D$5:$D$1200,D78)&gt;1,"ERRO: chave duplicada","OK")))</f>
        <v/>
      </c>
    </row>
    <row r="79" ht="15" customHeight="1" s="131">
      <c r="A79" s="320" t="n"/>
      <c r="B79" s="323" t="n"/>
      <c r="C79" s="320" t="n"/>
      <c r="D79" s="326" t="n"/>
      <c r="E79" s="324" t="n"/>
      <c r="F79" s="320" t="n"/>
      <c r="G79" s="327" t="n"/>
      <c r="H79" s="271" t="n"/>
      <c r="I79" s="275">
        <f>IF(COUNTA(A79:F79)=0,"",IF(OR(E79&lt;0,F79&lt;0,F79&gt;10),"ERRO: valores inválidos",IF(COUNTIFS($A$5:$A$1200,A79,$B$5:$B$1200,B79,$C$5:$C$1200,C79,$D$5:$D$1200,D79)&gt;1,"ERRO: chave duplicada","OK")))</f>
        <v/>
      </c>
    </row>
    <row r="80" ht="15" customHeight="1" s="131">
      <c r="A80" s="320" t="n"/>
      <c r="B80" s="323" t="n"/>
      <c r="C80" s="320" t="n"/>
      <c r="D80" s="326" t="n"/>
      <c r="E80" s="324" t="n"/>
      <c r="F80" s="320" t="n"/>
      <c r="G80" s="327" t="n"/>
      <c r="H80" s="271" t="n"/>
      <c r="I80" s="275">
        <f>IF(COUNTA(A80:F80)=0,"",IF(OR(E80&lt;0,F80&lt;0,F80&gt;10),"ERRO: valores inválidos",IF(COUNTIFS($A$5:$A$1200,A80,$B$5:$B$1200,B80,$C$5:$C$1200,C80,$D$5:$D$1200,D80)&gt;1,"ERRO: chave duplicada","OK")))</f>
        <v/>
      </c>
    </row>
    <row r="81" ht="15" customHeight="1" s="131">
      <c r="A81" s="320" t="n"/>
      <c r="B81" s="323" t="n"/>
      <c r="C81" s="320" t="n"/>
      <c r="D81" s="326" t="n"/>
      <c r="E81" s="324" t="n"/>
      <c r="F81" s="320" t="n"/>
      <c r="G81" s="327" t="n"/>
      <c r="H81" s="271" t="n"/>
      <c r="I81" s="275">
        <f>IF(COUNTA(A81:F81)=0,"",IF(OR(E81&lt;0,F81&lt;0,F81&gt;10),"ERRO: valores inválidos",IF(COUNTIFS($A$5:$A$1200,A81,$B$5:$B$1200,B81,$C$5:$C$1200,C81,$D$5:$D$1200,D81)&gt;1,"ERRO: chave duplicada","OK")))</f>
        <v/>
      </c>
    </row>
    <row r="82" ht="15" customHeight="1" s="131">
      <c r="A82" s="320" t="n"/>
      <c r="B82" s="323" t="n"/>
      <c r="C82" s="320" t="n"/>
      <c r="D82" s="326" t="n"/>
      <c r="E82" s="324" t="n"/>
      <c r="F82" s="320" t="n"/>
      <c r="G82" s="327" t="n"/>
      <c r="H82" s="271" t="n"/>
      <c r="I82" s="275">
        <f>IF(COUNTA(A82:F82)=0,"",IF(OR(E82&lt;0,F82&lt;0,F82&gt;10),"ERRO: valores inválidos",IF(COUNTIFS($A$5:$A$1200,A82,$B$5:$B$1200,B82,$C$5:$C$1200,C82,$D$5:$D$1200,D82)&gt;1,"ERRO: chave duplicada","OK")))</f>
        <v/>
      </c>
    </row>
    <row r="83" ht="15" customHeight="1" s="131">
      <c r="A83" s="320" t="n"/>
      <c r="B83" s="323" t="n"/>
      <c r="C83" s="320" t="n"/>
      <c r="D83" s="326" t="n"/>
      <c r="E83" s="324" t="n"/>
      <c r="F83" s="320" t="n"/>
      <c r="G83" s="327" t="n"/>
      <c r="H83" s="271" t="n"/>
      <c r="I83" s="275">
        <f>IF(COUNTA(A83:F83)=0,"",IF(OR(E83&lt;0,F83&lt;0,F83&gt;10),"ERRO: valores inválidos",IF(COUNTIFS($A$5:$A$1200,A83,$B$5:$B$1200,B83,$C$5:$C$1200,C83,$D$5:$D$1200,D83)&gt;1,"ERRO: chave duplicada","OK")))</f>
        <v/>
      </c>
    </row>
    <row r="84" ht="15" customHeight="1" s="131">
      <c r="A84" s="320" t="n"/>
      <c r="B84" s="323" t="n"/>
      <c r="C84" s="320" t="n"/>
      <c r="D84" s="326" t="n"/>
      <c r="E84" s="324" t="n"/>
      <c r="F84" s="320" t="n"/>
      <c r="G84" s="327" t="n"/>
      <c r="H84" s="271" t="n"/>
      <c r="I84" s="275">
        <f>IF(COUNTA(A84:F84)=0,"",IF(OR(E84&lt;0,F84&lt;0,F84&gt;10),"ERRO: valores inválidos",IF(COUNTIFS($A$5:$A$1200,A84,$B$5:$B$1200,B84,$C$5:$C$1200,C84,$D$5:$D$1200,D84)&gt;1,"ERRO: chave duplicada","OK")))</f>
        <v/>
      </c>
    </row>
    <row r="85" ht="15" customHeight="1" s="131">
      <c r="A85" s="320" t="n"/>
      <c r="B85" s="323" t="n"/>
      <c r="C85" s="320" t="n"/>
      <c r="D85" s="326" t="n"/>
      <c r="E85" s="324" t="n"/>
      <c r="F85" s="320" t="n"/>
      <c r="G85" s="327" t="n"/>
      <c r="H85" s="271" t="n"/>
      <c r="I85" s="275">
        <f>IF(COUNTA(A85:F85)=0,"",IF(OR(E85&lt;0,F85&lt;0,F85&gt;10),"ERRO: valores inválidos",IF(COUNTIFS($A$5:$A$1200,A85,$B$5:$B$1200,B85,$C$5:$C$1200,C85,$D$5:$D$1200,D85)&gt;1,"ERRO: chave duplicada","OK")))</f>
        <v/>
      </c>
    </row>
    <row r="86" ht="15" customHeight="1" s="131">
      <c r="A86" s="320" t="n"/>
      <c r="B86" s="323" t="n"/>
      <c r="C86" s="320" t="n"/>
      <c r="D86" s="326" t="n"/>
      <c r="E86" s="324" t="n"/>
      <c r="F86" s="320" t="n"/>
      <c r="G86" s="327" t="n"/>
      <c r="H86" s="271" t="n"/>
      <c r="I86" s="275">
        <f>IF(COUNTA(A86:F86)=0,"",IF(OR(E86&lt;0,F86&lt;0,F86&gt;10),"ERRO: valores inválidos",IF(COUNTIFS($A$5:$A$1200,A86,$B$5:$B$1200,B86,$C$5:$C$1200,C86,$D$5:$D$1200,D86)&gt;1,"ERRO: chave duplicada","OK")))</f>
        <v/>
      </c>
    </row>
    <row r="87" ht="15" customHeight="1" s="131">
      <c r="A87" s="320" t="n"/>
      <c r="B87" s="323" t="n"/>
      <c r="C87" s="320" t="n"/>
      <c r="D87" s="326" t="n"/>
      <c r="E87" s="324" t="n"/>
      <c r="F87" s="320" t="n"/>
      <c r="G87" s="327" t="n"/>
      <c r="H87" s="271" t="n"/>
      <c r="I87" s="275">
        <f>IF(COUNTA(A87:F87)=0,"",IF(OR(E87&lt;0,F87&lt;0,F87&gt;10),"ERRO: valores inválidos",IF(COUNTIFS($A$5:$A$1200,A87,$B$5:$B$1200,B87,$C$5:$C$1200,C87,$D$5:$D$1200,D87)&gt;1,"ERRO: chave duplicada","OK")))</f>
        <v/>
      </c>
    </row>
    <row r="88" ht="15" customHeight="1" s="131">
      <c r="A88" s="320" t="n"/>
      <c r="B88" s="323" t="n"/>
      <c r="C88" s="320" t="n"/>
      <c r="D88" s="326" t="n"/>
      <c r="E88" s="324" t="n"/>
      <c r="F88" s="320" t="n"/>
      <c r="G88" s="327" t="n"/>
      <c r="H88" s="271" t="n"/>
      <c r="I88" s="275">
        <f>IF(COUNTA(A88:F88)=0,"",IF(OR(E88&lt;0,F88&lt;0,F88&gt;10),"ERRO: valores inválidos",IF(COUNTIFS($A$5:$A$1200,A88,$B$5:$B$1200,B88,$C$5:$C$1200,C88,$D$5:$D$1200,D88)&gt;1,"ERRO: chave duplicada","OK")))</f>
        <v/>
      </c>
    </row>
    <row r="89" ht="15" customHeight="1" s="131">
      <c r="A89" s="320" t="n"/>
      <c r="B89" s="323" t="n"/>
      <c r="C89" s="320" t="n"/>
      <c r="D89" s="326" t="n"/>
      <c r="E89" s="324" t="n"/>
      <c r="F89" s="320" t="n"/>
      <c r="G89" s="327" t="n"/>
      <c r="H89" s="271" t="n"/>
      <c r="I89" s="275">
        <f>IF(COUNTA(A89:F89)=0,"",IF(OR(E89&lt;0,F89&lt;0,F89&gt;10),"ERRO: valores inválidos",IF(COUNTIFS($A$5:$A$1200,A89,$B$5:$B$1200,B89,$C$5:$C$1200,C89,$D$5:$D$1200,D89)&gt;1,"ERRO: chave duplicada","OK")))</f>
        <v/>
      </c>
    </row>
    <row r="90" ht="15" customHeight="1" s="131">
      <c r="A90" s="320" t="n"/>
      <c r="B90" s="323" t="n"/>
      <c r="C90" s="320" t="n"/>
      <c r="D90" s="326" t="n"/>
      <c r="E90" s="324" t="n"/>
      <c r="F90" s="320" t="n"/>
      <c r="G90" s="327" t="n"/>
      <c r="H90" s="271" t="n"/>
      <c r="I90" s="275">
        <f>IF(COUNTA(A90:F90)=0,"",IF(OR(E90&lt;0,F90&lt;0,F90&gt;10),"ERRO: valores inválidos",IF(COUNTIFS($A$5:$A$1200,A90,$B$5:$B$1200,B90,$C$5:$C$1200,C90,$D$5:$D$1200,D90)&gt;1,"ERRO: chave duplicada","OK")))</f>
        <v/>
      </c>
    </row>
    <row r="91" ht="15" customHeight="1" s="131">
      <c r="A91" s="320" t="n"/>
      <c r="B91" s="323" t="n"/>
      <c r="C91" s="320" t="n"/>
      <c r="D91" s="326" t="n"/>
      <c r="E91" s="324" t="n"/>
      <c r="F91" s="320" t="n"/>
      <c r="G91" s="327" t="n"/>
      <c r="H91" s="271" t="n"/>
      <c r="I91" s="275">
        <f>IF(COUNTA(A91:F91)=0,"",IF(OR(E91&lt;0,F91&lt;0,F91&gt;10),"ERRO: valores inválidos",IF(COUNTIFS($A$5:$A$1200,A91,$B$5:$B$1200,B91,$C$5:$C$1200,C91,$D$5:$D$1200,D91)&gt;1,"ERRO: chave duplicada","OK")))</f>
        <v/>
      </c>
    </row>
    <row r="92" ht="15" customHeight="1" s="131">
      <c r="A92" s="320" t="n"/>
      <c r="B92" s="323" t="n"/>
      <c r="C92" s="320" t="n"/>
      <c r="D92" s="326" t="n"/>
      <c r="E92" s="324" t="n"/>
      <c r="F92" s="320" t="n"/>
      <c r="G92" s="327" t="n"/>
      <c r="H92" s="271" t="n"/>
      <c r="I92" s="275">
        <f>IF(COUNTA(A92:F92)=0,"",IF(OR(E92&lt;0,F92&lt;0,F92&gt;10),"ERRO: valores inválidos",IF(COUNTIFS($A$5:$A$1200,A92,$B$5:$B$1200,B92,$C$5:$C$1200,C92,$D$5:$D$1200,D92)&gt;1,"ERRO: chave duplicada","OK")))</f>
        <v/>
      </c>
    </row>
    <row r="93" ht="15" customHeight="1" s="131">
      <c r="A93" s="320" t="n"/>
      <c r="B93" s="323" t="n"/>
      <c r="C93" s="320" t="n"/>
      <c r="D93" s="326" t="n"/>
      <c r="E93" s="324" t="n"/>
      <c r="F93" s="320" t="n"/>
      <c r="G93" s="327" t="n"/>
      <c r="H93" s="271" t="n"/>
      <c r="I93" s="275">
        <f>IF(COUNTA(A93:F93)=0,"",IF(OR(E93&lt;0,F93&lt;0,F93&gt;10),"ERRO: valores inválidos",IF(COUNTIFS($A$5:$A$1200,A93,$B$5:$B$1200,B93,$C$5:$C$1200,C93,$D$5:$D$1200,D93)&gt;1,"ERRO: chave duplicada","OK")))</f>
        <v/>
      </c>
    </row>
    <row r="94" ht="15" customHeight="1" s="131">
      <c r="A94" s="320" t="n"/>
      <c r="B94" s="323" t="n"/>
      <c r="C94" s="320" t="n"/>
      <c r="D94" s="326" t="n"/>
      <c r="E94" s="324" t="n"/>
      <c r="F94" s="320" t="n"/>
      <c r="G94" s="327" t="n"/>
      <c r="H94" s="271" t="n"/>
      <c r="I94" s="275">
        <f>IF(COUNTA(A94:F94)=0,"",IF(OR(E94&lt;0,F94&lt;0,F94&gt;10),"ERRO: valores inválidos",IF(COUNTIFS($A$5:$A$1200,A94,$B$5:$B$1200,B94,$C$5:$C$1200,C94,$D$5:$D$1200,D94)&gt;1,"ERRO: chave duplicada","OK")))</f>
        <v/>
      </c>
    </row>
    <row r="95" ht="15" customHeight="1" s="131">
      <c r="A95" s="320" t="n"/>
      <c r="B95" s="323" t="n"/>
      <c r="C95" s="320" t="n"/>
      <c r="D95" s="326" t="n"/>
      <c r="E95" s="324" t="n"/>
      <c r="F95" s="320" t="n"/>
      <c r="G95" s="327" t="n"/>
      <c r="H95" s="271" t="n"/>
      <c r="I95" s="275">
        <f>IF(COUNTA(A95:F95)=0,"",IF(OR(E95&lt;0,F95&lt;0,F95&gt;10),"ERRO: valores inválidos",IF(COUNTIFS($A$5:$A$1200,A95,$B$5:$B$1200,B95,$C$5:$C$1200,C95,$D$5:$D$1200,D95)&gt;1,"ERRO: chave duplicada","OK")))</f>
        <v/>
      </c>
    </row>
    <row r="96" ht="15" customHeight="1" s="131">
      <c r="A96" s="320" t="n"/>
      <c r="B96" s="323" t="n"/>
      <c r="C96" s="320" t="n"/>
      <c r="D96" s="326" t="n"/>
      <c r="E96" s="324" t="n"/>
      <c r="F96" s="320" t="n"/>
      <c r="G96" s="327" t="n"/>
      <c r="H96" s="271" t="n"/>
      <c r="I96" s="275">
        <f>IF(COUNTA(A96:F96)=0,"",IF(OR(E96&lt;0,F96&lt;0,F96&gt;10),"ERRO: valores inválidos",IF(COUNTIFS($A$5:$A$1200,A96,$B$5:$B$1200,B96,$C$5:$C$1200,C96,$D$5:$D$1200,D96)&gt;1,"ERRO: chave duplicada","OK")))</f>
        <v/>
      </c>
    </row>
    <row r="97" ht="15" customHeight="1" s="131">
      <c r="A97" s="320" t="n"/>
      <c r="B97" s="323" t="n"/>
      <c r="C97" s="320" t="n"/>
      <c r="D97" s="326" t="n"/>
      <c r="E97" s="324" t="n"/>
      <c r="F97" s="320" t="n"/>
      <c r="G97" s="327" t="n"/>
      <c r="H97" s="271" t="n"/>
      <c r="I97" s="275">
        <f>IF(COUNTA(A97:F97)=0,"",IF(OR(E97&lt;0,F97&lt;0,F97&gt;10),"ERRO: valores inválidos",IF(COUNTIFS($A$5:$A$1200,A97,$B$5:$B$1200,B97,$C$5:$C$1200,C97,$D$5:$D$1200,D97)&gt;1,"ERRO: chave duplicada","OK")))</f>
        <v/>
      </c>
    </row>
    <row r="98" ht="15" customHeight="1" s="131">
      <c r="A98" s="320" t="n"/>
      <c r="B98" s="323" t="n"/>
      <c r="C98" s="320" t="n"/>
      <c r="D98" s="326" t="n"/>
      <c r="E98" s="324" t="n"/>
      <c r="F98" s="320" t="n"/>
      <c r="G98" s="327" t="n"/>
      <c r="H98" s="271" t="n"/>
      <c r="I98" s="275">
        <f>IF(COUNTA(A98:F98)=0,"",IF(OR(E98&lt;0,F98&lt;0,F98&gt;10),"ERRO: valores inválidos",IF(COUNTIFS($A$5:$A$1200,A98,$B$5:$B$1200,B98,$C$5:$C$1200,C98,$D$5:$D$1200,D98)&gt;1,"ERRO: chave duplicada","OK")))</f>
        <v/>
      </c>
    </row>
    <row r="99" ht="15" customHeight="1" s="131">
      <c r="A99" s="320" t="n"/>
      <c r="B99" s="323" t="n"/>
      <c r="C99" s="320" t="n"/>
      <c r="D99" s="326" t="n"/>
      <c r="E99" s="324" t="n"/>
      <c r="F99" s="320" t="n"/>
      <c r="G99" s="327" t="n"/>
      <c r="H99" s="271" t="n"/>
      <c r="I99" s="275">
        <f>IF(COUNTA(A99:F99)=0,"",IF(OR(E99&lt;0,F99&lt;0,F99&gt;10),"ERRO: valores inválidos",IF(COUNTIFS($A$5:$A$1200,A99,$B$5:$B$1200,B99,$C$5:$C$1200,C99,$D$5:$D$1200,D99)&gt;1,"ERRO: chave duplicada","OK")))</f>
        <v/>
      </c>
    </row>
    <row r="100" ht="15" customHeight="1" s="131">
      <c r="A100" s="320" t="n"/>
      <c r="B100" s="323" t="n"/>
      <c r="C100" s="320" t="n"/>
      <c r="D100" s="326" t="n"/>
      <c r="E100" s="324" t="n"/>
      <c r="F100" s="320" t="n"/>
      <c r="G100" s="327" t="n"/>
      <c r="H100" s="271" t="n"/>
      <c r="I100" s="275">
        <f>IF(COUNTA(A100:F100)=0,"",IF(OR(E100&lt;0,F100&lt;0,F100&gt;10),"ERRO: valores inválidos",IF(COUNTIFS($A$5:$A$1200,A100,$B$5:$B$1200,B100,$C$5:$C$1200,C100,$D$5:$D$1200,D100)&gt;1,"ERRO: chave duplicada","OK")))</f>
        <v/>
      </c>
    </row>
    <row r="101" ht="15" customHeight="1" s="131">
      <c r="A101" s="320" t="n"/>
      <c r="B101" s="323" t="n"/>
      <c r="C101" s="320" t="n"/>
      <c r="D101" s="326" t="n"/>
      <c r="E101" s="324" t="n"/>
      <c r="F101" s="320" t="n"/>
      <c r="G101" s="327" t="n"/>
      <c r="H101" s="271" t="n"/>
      <c r="I101" s="275">
        <f>IF(COUNTA(A101:F101)=0,"",IF(OR(E101&lt;0,F101&lt;0,F101&gt;10),"ERRO: valores inválidos",IF(COUNTIFS($A$5:$A$1200,A101,$B$5:$B$1200,B101,$C$5:$C$1200,C101,$D$5:$D$1200,D101)&gt;1,"ERRO: chave duplicada","OK")))</f>
        <v/>
      </c>
    </row>
    <row r="102" ht="15" customHeight="1" s="131">
      <c r="A102" s="320" t="n"/>
      <c r="B102" s="323" t="n"/>
      <c r="C102" s="320" t="n"/>
      <c r="D102" s="326" t="n"/>
      <c r="E102" s="324" t="n"/>
      <c r="F102" s="320" t="n"/>
      <c r="G102" s="327" t="n"/>
      <c r="H102" s="271" t="n"/>
      <c r="I102" s="275">
        <f>IF(COUNTA(A102:F102)=0,"",IF(OR(E102&lt;0,F102&lt;0,F102&gt;10),"ERRO: valores inválidos",IF(COUNTIFS($A$5:$A$1200,A102,$B$5:$B$1200,B102,$C$5:$C$1200,C102,$D$5:$D$1200,D102)&gt;1,"ERRO: chave duplicada","OK")))</f>
        <v/>
      </c>
    </row>
    <row r="103" ht="15" customHeight="1" s="131">
      <c r="A103" s="320" t="n"/>
      <c r="B103" s="323" t="n"/>
      <c r="C103" s="320" t="n"/>
      <c r="D103" s="326" t="n"/>
      <c r="E103" s="324" t="n"/>
      <c r="F103" s="320" t="n"/>
      <c r="G103" s="327" t="n"/>
      <c r="H103" s="271" t="n"/>
      <c r="I103" s="275">
        <f>IF(COUNTA(A103:F103)=0,"",IF(OR(E103&lt;0,F103&lt;0,F103&gt;10),"ERRO: valores inválidos",IF(COUNTIFS($A$5:$A$1200,A103,$B$5:$B$1200,B103,$C$5:$C$1200,C103,$D$5:$D$1200,D103)&gt;1,"ERRO: chave duplicada","OK")))</f>
        <v/>
      </c>
    </row>
    <row r="104" ht="15" customHeight="1" s="131">
      <c r="A104" s="320" t="n"/>
      <c r="B104" s="323" t="n"/>
      <c r="C104" s="320" t="n"/>
      <c r="D104" s="326" t="n"/>
      <c r="E104" s="324" t="n"/>
      <c r="F104" s="320" t="n"/>
      <c r="G104" s="327" t="n"/>
      <c r="H104" s="271" t="n"/>
      <c r="I104" s="275">
        <f>IF(COUNTA(A104:F104)=0,"",IF(OR(E104&lt;0,F104&lt;0,F104&gt;10),"ERRO: valores inválidos",IF(COUNTIFS($A$5:$A$1200,A104,$B$5:$B$1200,B104,$C$5:$C$1200,C104,$D$5:$D$1200,D104)&gt;1,"ERRO: chave duplicada","OK")))</f>
        <v/>
      </c>
    </row>
    <row r="105" ht="15" customHeight="1" s="131">
      <c r="A105" s="320" t="n"/>
      <c r="B105" s="323" t="n"/>
      <c r="C105" s="320" t="n"/>
      <c r="D105" s="326" t="n"/>
      <c r="E105" s="324" t="n"/>
      <c r="F105" s="320" t="n"/>
      <c r="G105" s="327" t="n"/>
      <c r="H105" s="271" t="n"/>
      <c r="I105" s="275">
        <f>IF(COUNTA(A105:F105)=0,"",IF(OR(E105&lt;0,F105&lt;0,F105&gt;10),"ERRO: valores inválidos",IF(COUNTIFS($A$5:$A$1200,A105,$B$5:$B$1200,B105,$C$5:$C$1200,C105,$D$5:$D$1200,D105)&gt;1,"ERRO: chave duplicada","OK")))</f>
        <v/>
      </c>
    </row>
    <row r="106" ht="15" customHeight="1" s="131">
      <c r="A106" s="320" t="n"/>
      <c r="B106" s="323" t="n"/>
      <c r="C106" s="320" t="n"/>
      <c r="D106" s="326" t="n"/>
      <c r="E106" s="324" t="n"/>
      <c r="F106" s="320" t="n"/>
      <c r="G106" s="327" t="n"/>
      <c r="H106" s="271" t="n"/>
      <c r="I106" s="275">
        <f>IF(COUNTA(A106:F106)=0,"",IF(OR(E106&lt;0,F106&lt;0,F106&gt;10),"ERRO: valores inválidos",IF(COUNTIFS($A$5:$A$1200,A106,$B$5:$B$1200,B106,$C$5:$C$1200,C106,$D$5:$D$1200,D106)&gt;1,"ERRO: chave duplicada","OK")))</f>
        <v/>
      </c>
    </row>
    <row r="107" ht="15" customHeight="1" s="131">
      <c r="A107" s="320" t="n"/>
      <c r="B107" s="323" t="n"/>
      <c r="C107" s="320" t="n"/>
      <c r="D107" s="326" t="n"/>
      <c r="E107" s="324" t="n"/>
      <c r="F107" s="320" t="n"/>
      <c r="G107" s="327" t="n"/>
      <c r="H107" s="271" t="n"/>
      <c r="I107" s="275">
        <f>IF(COUNTA(A107:F107)=0,"",IF(OR(E107&lt;0,F107&lt;0,F107&gt;10),"ERRO: valores inválidos",IF(COUNTIFS($A$5:$A$1200,A107,$B$5:$B$1200,B107,$C$5:$C$1200,C107,$D$5:$D$1200,D107)&gt;1,"ERRO: chave duplicada","OK")))</f>
        <v/>
      </c>
    </row>
    <row r="108" ht="15" customHeight="1" s="131">
      <c r="A108" s="320" t="n"/>
      <c r="B108" s="323" t="n"/>
      <c r="C108" s="320" t="n"/>
      <c r="D108" s="326" t="n"/>
      <c r="E108" s="324" t="n"/>
      <c r="F108" s="320" t="n"/>
      <c r="G108" s="327" t="n"/>
      <c r="H108" s="271" t="n"/>
      <c r="I108" s="275">
        <f>IF(COUNTA(A108:F108)=0,"",IF(OR(E108&lt;0,F108&lt;0,F108&gt;10),"ERRO: valores inválidos",IF(COUNTIFS($A$5:$A$1200,A108,$B$5:$B$1200,B108,$C$5:$C$1200,C108,$D$5:$D$1200,D108)&gt;1,"ERRO: chave duplicada","OK")))</f>
        <v/>
      </c>
    </row>
    <row r="109" ht="15" customHeight="1" s="131">
      <c r="A109" s="320" t="n"/>
      <c r="B109" s="323" t="n"/>
      <c r="C109" s="320" t="n"/>
      <c r="D109" s="326" t="n"/>
      <c r="E109" s="324" t="n"/>
      <c r="F109" s="320" t="n"/>
      <c r="G109" s="327" t="n"/>
      <c r="H109" s="271" t="n"/>
      <c r="I109" s="275">
        <f>IF(COUNTA(A109:F109)=0,"",IF(OR(E109&lt;0,F109&lt;0,F109&gt;10),"ERRO: valores inválidos",IF(COUNTIFS($A$5:$A$1200,A109,$B$5:$B$1200,B109,$C$5:$C$1200,C109,$D$5:$D$1200,D109)&gt;1,"ERRO: chave duplicada","OK")))</f>
        <v/>
      </c>
    </row>
    <row r="110" ht="15" customHeight="1" s="131">
      <c r="A110" s="320" t="n"/>
      <c r="B110" s="323" t="n"/>
      <c r="C110" s="320" t="n"/>
      <c r="D110" s="326" t="n"/>
      <c r="E110" s="324" t="n"/>
      <c r="F110" s="320" t="n"/>
      <c r="G110" s="327" t="n"/>
      <c r="H110" s="271" t="n"/>
      <c r="I110" s="275">
        <f>IF(COUNTA(A110:F110)=0,"",IF(OR(E110&lt;0,F110&lt;0,F110&gt;10),"ERRO: valores inválidos",IF(COUNTIFS($A$5:$A$1200,A110,$B$5:$B$1200,B110,$C$5:$C$1200,C110,$D$5:$D$1200,D110)&gt;1,"ERRO: chave duplicada","OK")))</f>
        <v/>
      </c>
    </row>
    <row r="111" ht="15" customHeight="1" s="131">
      <c r="A111" s="320" t="n"/>
      <c r="B111" s="323" t="n"/>
      <c r="C111" s="320" t="n"/>
      <c r="D111" s="326" t="n"/>
      <c r="E111" s="324" t="n"/>
      <c r="F111" s="320" t="n"/>
      <c r="G111" s="327" t="n"/>
      <c r="H111" s="271" t="n"/>
      <c r="I111" s="275">
        <f>IF(COUNTA(A111:F111)=0,"",IF(OR(E111&lt;0,F111&lt;0,F111&gt;10),"ERRO: valores inválidos",IF(COUNTIFS($A$5:$A$1200,A111,$B$5:$B$1200,B111,$C$5:$C$1200,C111,$D$5:$D$1200,D111)&gt;1,"ERRO: chave duplicada","OK")))</f>
        <v/>
      </c>
    </row>
    <row r="112" ht="15" customHeight="1" s="131">
      <c r="A112" s="320" t="n"/>
      <c r="B112" s="323" t="n"/>
      <c r="C112" s="320" t="n"/>
      <c r="D112" s="326" t="n"/>
      <c r="E112" s="324" t="n"/>
      <c r="F112" s="320" t="n"/>
      <c r="G112" s="327" t="n"/>
      <c r="H112" s="271" t="n"/>
      <c r="I112" s="275">
        <f>IF(COUNTA(A112:F112)=0,"",IF(OR(E112&lt;0,F112&lt;0,F112&gt;10),"ERRO: valores inválidos",IF(COUNTIFS($A$5:$A$1200,A112,$B$5:$B$1200,B112,$C$5:$C$1200,C112,$D$5:$D$1200,D112)&gt;1,"ERRO: chave duplicada","OK")))</f>
        <v/>
      </c>
    </row>
    <row r="113" ht="15" customHeight="1" s="131">
      <c r="A113" s="320" t="n"/>
      <c r="B113" s="323" t="n"/>
      <c r="C113" s="320" t="n"/>
      <c r="D113" s="326" t="n"/>
      <c r="E113" s="324" t="n"/>
      <c r="F113" s="320" t="n"/>
      <c r="G113" s="327" t="n"/>
      <c r="H113" s="271" t="n"/>
      <c r="I113" s="275">
        <f>IF(COUNTA(A113:F113)=0,"",IF(OR(E113&lt;0,F113&lt;0,F113&gt;10),"ERRO: valores inválidos",IF(COUNTIFS($A$5:$A$1200,A113,$B$5:$B$1200,B113,$C$5:$C$1200,C113,$D$5:$D$1200,D113)&gt;1,"ERRO: chave duplicada","OK")))</f>
        <v/>
      </c>
    </row>
    <row r="114" ht="15" customHeight="1" s="131">
      <c r="A114" s="320" t="n"/>
      <c r="B114" s="323" t="n"/>
      <c r="C114" s="320" t="n"/>
      <c r="D114" s="326" t="n"/>
      <c r="E114" s="324" t="n"/>
      <c r="F114" s="320" t="n"/>
      <c r="G114" s="327" t="n"/>
      <c r="H114" s="271" t="n"/>
      <c r="I114" s="275">
        <f>IF(COUNTA(A114:F114)=0,"",IF(OR(E114&lt;0,F114&lt;0,F114&gt;10),"ERRO: valores inválidos",IF(COUNTIFS($A$5:$A$1200,A114,$B$5:$B$1200,B114,$C$5:$C$1200,C114,$D$5:$D$1200,D114)&gt;1,"ERRO: chave duplicada","OK")))</f>
        <v/>
      </c>
    </row>
    <row r="115" ht="15" customHeight="1" s="131">
      <c r="A115" s="320" t="n"/>
      <c r="B115" s="323" t="n"/>
      <c r="C115" s="320" t="n"/>
      <c r="D115" s="326" t="n"/>
      <c r="E115" s="324" t="n"/>
      <c r="F115" s="320" t="n"/>
      <c r="G115" s="327" t="n"/>
      <c r="H115" s="271" t="n"/>
      <c r="I115" s="275">
        <f>IF(COUNTA(A115:F115)=0,"",IF(OR(E115&lt;0,F115&lt;0,F115&gt;10),"ERRO: valores inválidos",IF(COUNTIFS($A$5:$A$1200,A115,$B$5:$B$1200,B115,$C$5:$C$1200,C115,$D$5:$D$1200,D115)&gt;1,"ERRO: chave duplicada","OK")))</f>
        <v/>
      </c>
    </row>
    <row r="116" ht="15" customHeight="1" s="131">
      <c r="A116" s="320" t="n"/>
      <c r="B116" s="323" t="n"/>
      <c r="C116" s="320" t="n"/>
      <c r="D116" s="326" t="n"/>
      <c r="E116" s="324" t="n"/>
      <c r="F116" s="320" t="n"/>
      <c r="G116" s="327" t="n"/>
      <c r="H116" s="271" t="n"/>
      <c r="I116" s="275">
        <f>IF(COUNTA(A116:F116)=0,"",IF(OR(E116&lt;0,F116&lt;0,F116&gt;10),"ERRO: valores inválidos",IF(COUNTIFS($A$5:$A$1200,A116,$B$5:$B$1200,B116,$C$5:$C$1200,C116,$D$5:$D$1200,D116)&gt;1,"ERRO: chave duplicada","OK")))</f>
        <v/>
      </c>
    </row>
    <row r="117" ht="15" customHeight="1" s="131">
      <c r="A117" s="320" t="n"/>
      <c r="B117" s="323" t="n"/>
      <c r="C117" s="320" t="n"/>
      <c r="D117" s="326" t="n"/>
      <c r="E117" s="324" t="n"/>
      <c r="F117" s="320" t="n"/>
      <c r="G117" s="327" t="n"/>
      <c r="H117" s="271" t="n"/>
      <c r="I117" s="275">
        <f>IF(COUNTA(A117:F117)=0,"",IF(OR(E117&lt;0,F117&lt;0,F117&gt;10),"ERRO: valores inválidos",IF(COUNTIFS($A$5:$A$1200,A117,$B$5:$B$1200,B117,$C$5:$C$1200,C117,$D$5:$D$1200,D117)&gt;1,"ERRO: chave duplicada","OK")))</f>
        <v/>
      </c>
    </row>
    <row r="118" ht="15" customHeight="1" s="131">
      <c r="A118" s="320" t="n"/>
      <c r="B118" s="323" t="n"/>
      <c r="C118" s="320" t="n"/>
      <c r="D118" s="326" t="n"/>
      <c r="E118" s="324" t="n"/>
      <c r="F118" s="320" t="n"/>
      <c r="G118" s="327" t="n"/>
      <c r="H118" s="271" t="n"/>
      <c r="I118" s="275">
        <f>IF(COUNTA(A118:F118)=0,"",IF(OR(E118&lt;0,F118&lt;0,F118&gt;10),"ERRO: valores inválidos",IF(COUNTIFS($A$5:$A$1200,A118,$B$5:$B$1200,B118,$C$5:$C$1200,C118,$D$5:$D$1200,D118)&gt;1,"ERRO: chave duplicada","OK")))</f>
        <v/>
      </c>
    </row>
    <row r="119" ht="15" customHeight="1" s="131">
      <c r="A119" s="320" t="n"/>
      <c r="B119" s="323" t="n"/>
      <c r="C119" s="320" t="n"/>
      <c r="D119" s="326" t="n"/>
      <c r="E119" s="324" t="n"/>
      <c r="F119" s="320" t="n"/>
      <c r="G119" s="327" t="n"/>
      <c r="H119" s="271" t="n"/>
      <c r="I119" s="275">
        <f>IF(COUNTA(A119:F119)=0,"",IF(OR(E119&lt;0,F119&lt;0,F119&gt;10),"ERRO: valores inválidos",IF(COUNTIFS($A$5:$A$1200,A119,$B$5:$B$1200,B119,$C$5:$C$1200,C119,$D$5:$D$1200,D119)&gt;1,"ERRO: chave duplicada","OK")))</f>
        <v/>
      </c>
    </row>
    <row r="120" ht="15" customHeight="1" s="131">
      <c r="A120" s="320" t="n"/>
      <c r="B120" s="323" t="n"/>
      <c r="C120" s="320" t="n"/>
      <c r="D120" s="326" t="n"/>
      <c r="E120" s="324" t="n"/>
      <c r="F120" s="320" t="n"/>
      <c r="G120" s="327" t="n"/>
      <c r="H120" s="271" t="n"/>
      <c r="I120" s="275">
        <f>IF(COUNTA(A120:F120)=0,"",IF(OR(E120&lt;0,F120&lt;0,F120&gt;10),"ERRO: valores inválidos",IF(COUNTIFS($A$5:$A$1200,A120,$B$5:$B$1200,B120,$C$5:$C$1200,C120,$D$5:$D$1200,D120)&gt;1,"ERRO: chave duplicada","OK")))</f>
        <v/>
      </c>
    </row>
    <row r="121" ht="15" customHeight="1" s="131">
      <c r="A121" s="320" t="n"/>
      <c r="B121" s="323" t="n"/>
      <c r="C121" s="320" t="n"/>
      <c r="D121" s="326" t="n"/>
      <c r="E121" s="324" t="n"/>
      <c r="F121" s="320" t="n"/>
      <c r="G121" s="327" t="n"/>
      <c r="H121" s="271" t="n"/>
      <c r="I121" s="275">
        <f>IF(COUNTA(A121:F121)=0,"",IF(OR(E121&lt;0,F121&lt;0,F121&gt;10),"ERRO: valores inválidos",IF(COUNTIFS($A$5:$A$1200,A121,$B$5:$B$1200,B121,$C$5:$C$1200,C121,$D$5:$D$1200,D121)&gt;1,"ERRO: chave duplicada","OK")))</f>
        <v/>
      </c>
    </row>
    <row r="122" ht="15" customHeight="1" s="131">
      <c r="A122" s="320" t="n"/>
      <c r="B122" s="323" t="n"/>
      <c r="C122" s="320" t="n"/>
      <c r="D122" s="326" t="n"/>
      <c r="E122" s="324" t="n"/>
      <c r="F122" s="320" t="n"/>
      <c r="G122" s="327" t="n"/>
      <c r="H122" s="271" t="n"/>
      <c r="I122" s="275">
        <f>IF(COUNTA(A122:F122)=0,"",IF(OR(E122&lt;0,F122&lt;0,F122&gt;10),"ERRO: valores inválidos",IF(COUNTIFS($A$5:$A$1200,A122,$B$5:$B$1200,B122,$C$5:$C$1200,C122,$D$5:$D$1200,D122)&gt;1,"ERRO: chave duplicada","OK")))</f>
        <v/>
      </c>
    </row>
    <row r="123" ht="15" customHeight="1" s="131">
      <c r="A123" s="320" t="n"/>
      <c r="B123" s="323" t="n"/>
      <c r="C123" s="320" t="n"/>
      <c r="D123" s="326" t="n"/>
      <c r="E123" s="324" t="n"/>
      <c r="F123" s="320" t="n"/>
      <c r="G123" s="327" t="n"/>
      <c r="H123" s="271" t="n"/>
      <c r="I123" s="275">
        <f>IF(COUNTA(A123:F123)=0,"",IF(OR(E123&lt;0,F123&lt;0,F123&gt;10),"ERRO: valores inválidos",IF(COUNTIFS($A$5:$A$1200,A123,$B$5:$B$1200,B123,$C$5:$C$1200,C123,$D$5:$D$1200,D123)&gt;1,"ERRO: chave duplicada","OK")))</f>
        <v/>
      </c>
    </row>
    <row r="124" ht="15" customHeight="1" s="131">
      <c r="A124" s="320" t="n"/>
      <c r="B124" s="323" t="n"/>
      <c r="C124" s="320" t="n"/>
      <c r="D124" s="326" t="n"/>
      <c r="E124" s="324" t="n"/>
      <c r="F124" s="320" t="n"/>
      <c r="G124" s="327" t="n"/>
      <c r="H124" s="271" t="n"/>
      <c r="I124" s="275">
        <f>IF(COUNTA(A124:F124)=0,"",IF(OR(E124&lt;0,F124&lt;0,F124&gt;10),"ERRO: valores inválidos",IF(COUNTIFS($A$5:$A$1200,A124,$B$5:$B$1200,B124,$C$5:$C$1200,C124,$D$5:$D$1200,D124)&gt;1,"ERRO: chave duplicada","OK")))</f>
        <v/>
      </c>
    </row>
    <row r="125" ht="15" customHeight="1" s="131">
      <c r="A125" s="320" t="n"/>
      <c r="B125" s="323" t="n"/>
      <c r="C125" s="320" t="n"/>
      <c r="D125" s="326" t="n"/>
      <c r="E125" s="324" t="n"/>
      <c r="F125" s="320" t="n"/>
      <c r="G125" s="327" t="n"/>
      <c r="H125" s="271" t="n"/>
      <c r="I125" s="275">
        <f>IF(COUNTA(A125:F125)=0,"",IF(OR(E125&lt;0,F125&lt;0,F125&gt;10),"ERRO: valores inválidos",IF(COUNTIFS($A$5:$A$1200,A125,$B$5:$B$1200,B125,$C$5:$C$1200,C125,$D$5:$D$1200,D125)&gt;1,"ERRO: chave duplicada","OK")))</f>
        <v/>
      </c>
    </row>
    <row r="126" ht="15" customHeight="1" s="131">
      <c r="A126" s="320" t="n"/>
      <c r="B126" s="323" t="n"/>
      <c r="C126" s="320" t="n"/>
      <c r="D126" s="326" t="n"/>
      <c r="E126" s="324" t="n"/>
      <c r="F126" s="320" t="n"/>
      <c r="G126" s="327" t="n"/>
      <c r="H126" s="271" t="n"/>
      <c r="I126" s="275">
        <f>IF(COUNTA(A126:F126)=0,"",IF(OR(E126&lt;0,F126&lt;0,F126&gt;10),"ERRO: valores inválidos",IF(COUNTIFS($A$5:$A$1200,A126,$B$5:$B$1200,B126,$C$5:$C$1200,C126,$D$5:$D$1200,D126)&gt;1,"ERRO: chave duplicada","OK")))</f>
        <v/>
      </c>
    </row>
    <row r="127" ht="15" customHeight="1" s="131">
      <c r="A127" s="320" t="n"/>
      <c r="B127" s="323" t="n"/>
      <c r="C127" s="320" t="n"/>
      <c r="D127" s="326" t="n"/>
      <c r="E127" s="324" t="n"/>
      <c r="F127" s="320" t="n"/>
      <c r="G127" s="327" t="n"/>
      <c r="H127" s="271" t="n"/>
      <c r="I127" s="275">
        <f>IF(COUNTA(A127:F127)=0,"",IF(OR(E127&lt;0,F127&lt;0,F127&gt;10),"ERRO: valores inválidos",IF(COUNTIFS($A$5:$A$1200,A127,$B$5:$B$1200,B127,$C$5:$C$1200,C127,$D$5:$D$1200,D127)&gt;1,"ERRO: chave duplicada","OK")))</f>
        <v/>
      </c>
    </row>
    <row r="128" ht="15" customHeight="1" s="131">
      <c r="A128" s="320" t="n"/>
      <c r="B128" s="323" t="n"/>
      <c r="C128" s="320" t="n"/>
      <c r="D128" s="326" t="n"/>
      <c r="E128" s="324" t="n"/>
      <c r="F128" s="320" t="n"/>
      <c r="G128" s="327" t="n"/>
      <c r="H128" s="271" t="n"/>
      <c r="I128" s="275">
        <f>IF(COUNTA(A128:F128)=0,"",IF(OR(E128&lt;0,F128&lt;0,F128&gt;10),"ERRO: valores inválidos",IF(COUNTIFS($A$5:$A$1200,A128,$B$5:$B$1200,B128,$C$5:$C$1200,C128,$D$5:$D$1200,D128)&gt;1,"ERRO: chave duplicada","OK")))</f>
        <v/>
      </c>
    </row>
    <row r="129" ht="15" customHeight="1" s="131">
      <c r="A129" s="320" t="n"/>
      <c r="B129" s="323" t="n"/>
      <c r="C129" s="320" t="n"/>
      <c r="D129" s="326" t="n"/>
      <c r="E129" s="324" t="n"/>
      <c r="F129" s="320" t="n"/>
      <c r="G129" s="327" t="n"/>
      <c r="H129" s="271" t="n"/>
      <c r="I129" s="275">
        <f>IF(COUNTA(A129:F129)=0,"",IF(OR(E129&lt;0,F129&lt;0,F129&gt;10),"ERRO: valores inválidos",IF(COUNTIFS($A$5:$A$1200,A129,$B$5:$B$1200,B129,$C$5:$C$1200,C129,$D$5:$D$1200,D129)&gt;1,"ERRO: chave duplicada","OK")))</f>
        <v/>
      </c>
    </row>
    <row r="130" ht="15" customHeight="1" s="131">
      <c r="A130" s="320" t="n"/>
      <c r="B130" s="323" t="n"/>
      <c r="C130" s="320" t="n"/>
      <c r="D130" s="326" t="n"/>
      <c r="E130" s="324" t="n"/>
      <c r="F130" s="320" t="n"/>
      <c r="G130" s="327" t="n"/>
      <c r="H130" s="271" t="n"/>
      <c r="I130" s="275">
        <f>IF(COUNTA(A130:F130)=0,"",IF(OR(E130&lt;0,F130&lt;0,F130&gt;10),"ERRO: valores inválidos",IF(COUNTIFS($A$5:$A$1200,A130,$B$5:$B$1200,B130,$C$5:$C$1200,C130,$D$5:$D$1200,D130)&gt;1,"ERRO: chave duplicada","OK")))</f>
        <v/>
      </c>
    </row>
    <row r="131" ht="15" customHeight="1" s="131">
      <c r="A131" s="320" t="n"/>
      <c r="B131" s="323" t="n"/>
      <c r="C131" s="320" t="n"/>
      <c r="D131" s="326" t="n"/>
      <c r="E131" s="324" t="n"/>
      <c r="F131" s="320" t="n"/>
      <c r="G131" s="327" t="n"/>
      <c r="H131" s="271" t="n"/>
      <c r="I131" s="275">
        <f>IF(COUNTA(A131:F131)=0,"",IF(OR(E131&lt;0,F131&lt;0,F131&gt;10),"ERRO: valores inválidos",IF(COUNTIFS($A$5:$A$1200,A131,$B$5:$B$1200,B131,$C$5:$C$1200,C131,$D$5:$D$1200,D131)&gt;1,"ERRO: chave duplicada","OK")))</f>
        <v/>
      </c>
    </row>
    <row r="132" ht="15" customHeight="1" s="131">
      <c r="A132" s="320" t="n"/>
      <c r="B132" s="323" t="n"/>
      <c r="C132" s="320" t="n"/>
      <c r="D132" s="326" t="n"/>
      <c r="E132" s="324" t="n"/>
      <c r="F132" s="320" t="n"/>
      <c r="G132" s="327" t="n"/>
      <c r="H132" s="271" t="n"/>
      <c r="I132" s="275">
        <f>IF(COUNTA(A132:F132)=0,"",IF(OR(E132&lt;0,F132&lt;0,F132&gt;10),"ERRO: valores inválidos",IF(COUNTIFS($A$5:$A$1200,A132,$B$5:$B$1200,B132,$C$5:$C$1200,C132,$D$5:$D$1200,D132)&gt;1,"ERRO: chave duplicada","OK")))</f>
        <v/>
      </c>
    </row>
    <row r="133" ht="15" customHeight="1" s="131">
      <c r="A133" s="320" t="n"/>
      <c r="B133" s="323" t="n"/>
      <c r="C133" s="320" t="n"/>
      <c r="D133" s="326" t="n"/>
      <c r="E133" s="324" t="n"/>
      <c r="F133" s="320" t="n"/>
      <c r="G133" s="327" t="n"/>
      <c r="H133" s="271" t="n"/>
      <c r="I133" s="275">
        <f>IF(COUNTA(A133:F133)=0,"",IF(OR(E133&lt;0,F133&lt;0,F133&gt;10),"ERRO: valores inválidos",IF(COUNTIFS($A$5:$A$1200,A133,$B$5:$B$1200,B133,$C$5:$C$1200,C133,$D$5:$D$1200,D133)&gt;1,"ERRO: chave duplicada","OK")))</f>
        <v/>
      </c>
    </row>
    <row r="134" ht="15" customHeight="1" s="131">
      <c r="A134" s="320" t="n"/>
      <c r="B134" s="323" t="n"/>
      <c r="C134" s="320" t="n"/>
      <c r="D134" s="326" t="n"/>
      <c r="E134" s="324" t="n"/>
      <c r="F134" s="320" t="n"/>
      <c r="G134" s="327" t="n"/>
      <c r="H134" s="271" t="n"/>
      <c r="I134" s="275">
        <f>IF(COUNTA(A134:F134)=0,"",IF(OR(E134&lt;0,F134&lt;0,F134&gt;10),"ERRO: valores inválidos",IF(COUNTIFS($A$5:$A$1200,A134,$B$5:$B$1200,B134,$C$5:$C$1200,C134,$D$5:$D$1200,D134)&gt;1,"ERRO: chave duplicada","OK")))</f>
        <v/>
      </c>
    </row>
    <row r="135" ht="15" customHeight="1" s="131">
      <c r="A135" s="320" t="n"/>
      <c r="B135" s="323" t="n"/>
      <c r="C135" s="320" t="n"/>
      <c r="D135" s="326" t="n"/>
      <c r="E135" s="324" t="n"/>
      <c r="F135" s="320" t="n"/>
      <c r="G135" s="327" t="n"/>
      <c r="H135" s="271" t="n"/>
      <c r="I135" s="275">
        <f>IF(COUNTA(A135:F135)=0,"",IF(OR(E135&lt;0,F135&lt;0,F135&gt;10),"ERRO: valores inválidos",IF(COUNTIFS($A$5:$A$1200,A135,$B$5:$B$1200,B135,$C$5:$C$1200,C135,$D$5:$D$1200,D135)&gt;1,"ERRO: chave duplicada","OK")))</f>
        <v/>
      </c>
    </row>
    <row r="136" ht="15" customHeight="1" s="131">
      <c r="A136" s="320" t="n"/>
      <c r="B136" s="323" t="n"/>
      <c r="C136" s="320" t="n"/>
      <c r="D136" s="326" t="n"/>
      <c r="E136" s="324" t="n"/>
      <c r="F136" s="320" t="n"/>
      <c r="G136" s="327" t="n"/>
      <c r="H136" s="271" t="n"/>
      <c r="I136" s="275">
        <f>IF(COUNTA(A136:F136)=0,"",IF(OR(E136&lt;0,F136&lt;0,F136&gt;10),"ERRO: valores inválidos",IF(COUNTIFS($A$5:$A$1200,A136,$B$5:$B$1200,B136,$C$5:$C$1200,C136,$D$5:$D$1200,D136)&gt;1,"ERRO: chave duplicada","OK")))</f>
        <v/>
      </c>
    </row>
    <row r="137" ht="15" customHeight="1" s="131">
      <c r="A137" s="320" t="n"/>
      <c r="B137" s="323" t="n"/>
      <c r="C137" s="320" t="n"/>
      <c r="D137" s="326" t="n"/>
      <c r="E137" s="324" t="n"/>
      <c r="F137" s="320" t="n"/>
      <c r="G137" s="327" t="n"/>
      <c r="H137" s="271" t="n"/>
      <c r="I137" s="275">
        <f>IF(COUNTA(A137:F137)=0,"",IF(OR(E137&lt;0,F137&lt;0,F137&gt;10),"ERRO: valores inválidos",IF(COUNTIFS($A$5:$A$1200,A137,$B$5:$B$1200,B137,$C$5:$C$1200,C137,$D$5:$D$1200,D137)&gt;1,"ERRO: chave duplicada","OK")))</f>
        <v/>
      </c>
    </row>
    <row r="138" ht="15" customHeight="1" s="131">
      <c r="A138" s="320" t="n"/>
      <c r="B138" s="323" t="n"/>
      <c r="C138" s="320" t="n"/>
      <c r="D138" s="326" t="n"/>
      <c r="E138" s="324" t="n"/>
      <c r="F138" s="320" t="n"/>
      <c r="G138" s="327" t="n"/>
      <c r="H138" s="271" t="n"/>
      <c r="I138" s="275">
        <f>IF(COUNTA(A138:F138)=0,"",IF(OR(E138&lt;0,F138&lt;0,F138&gt;10),"ERRO: valores inválidos",IF(COUNTIFS($A$5:$A$1200,A138,$B$5:$B$1200,B138,$C$5:$C$1200,C138,$D$5:$D$1200,D138)&gt;1,"ERRO: chave duplicada","OK")))</f>
        <v/>
      </c>
    </row>
    <row r="139" ht="15" customHeight="1" s="131">
      <c r="A139" s="320" t="n"/>
      <c r="B139" s="323" t="n"/>
      <c r="C139" s="320" t="n"/>
      <c r="D139" s="326" t="n"/>
      <c r="E139" s="324" t="n"/>
      <c r="F139" s="320" t="n"/>
      <c r="G139" s="327" t="n"/>
      <c r="H139" s="271" t="n"/>
      <c r="I139" s="275">
        <f>IF(COUNTA(A139:F139)=0,"",IF(OR(E139&lt;0,F139&lt;0,F139&gt;10),"ERRO: valores inválidos",IF(COUNTIFS($A$5:$A$1200,A139,$B$5:$B$1200,B139,$C$5:$C$1200,C139,$D$5:$D$1200,D139)&gt;1,"ERRO: chave duplicada","OK")))</f>
        <v/>
      </c>
    </row>
    <row r="140" ht="15" customHeight="1" s="131">
      <c r="A140" s="320" t="n"/>
      <c r="B140" s="323" t="n"/>
      <c r="C140" s="320" t="n"/>
      <c r="D140" s="326" t="n"/>
      <c r="E140" s="324" t="n"/>
      <c r="F140" s="320" t="n"/>
      <c r="G140" s="327" t="n"/>
      <c r="H140" s="271" t="n"/>
      <c r="I140" s="275">
        <f>IF(COUNTA(A140:F140)=0,"",IF(OR(E140&lt;0,F140&lt;0,F140&gt;10),"ERRO: valores inválidos",IF(COUNTIFS($A$5:$A$1200,A140,$B$5:$B$1200,B140,$C$5:$C$1200,C140,$D$5:$D$1200,D140)&gt;1,"ERRO: chave duplicada","OK")))</f>
        <v/>
      </c>
    </row>
    <row r="141" ht="15" customHeight="1" s="131">
      <c r="A141" s="320" t="n"/>
      <c r="B141" s="323" t="n"/>
      <c r="C141" s="320" t="n"/>
      <c r="D141" s="326" t="n"/>
      <c r="E141" s="324" t="n"/>
      <c r="F141" s="320" t="n"/>
      <c r="G141" s="327" t="n"/>
      <c r="H141" s="271" t="n"/>
      <c r="I141" s="275">
        <f>IF(COUNTA(A141:F141)=0,"",IF(OR(E141&lt;0,F141&lt;0,F141&gt;10),"ERRO: valores inválidos",IF(COUNTIFS($A$5:$A$1200,A141,$B$5:$B$1200,B141,$C$5:$C$1200,C141,$D$5:$D$1200,D141)&gt;1,"ERRO: chave duplicada","OK")))</f>
        <v/>
      </c>
    </row>
    <row r="142" ht="15" customHeight="1" s="131">
      <c r="A142" s="320" t="n"/>
      <c r="B142" s="323" t="n"/>
      <c r="C142" s="320" t="n"/>
      <c r="D142" s="326" t="n"/>
      <c r="E142" s="324" t="n"/>
      <c r="F142" s="320" t="n"/>
      <c r="G142" s="327" t="n"/>
      <c r="H142" s="271" t="n"/>
      <c r="I142" s="275">
        <f>IF(COUNTA(A142:F142)=0,"",IF(OR(E142&lt;0,F142&lt;0,F142&gt;10),"ERRO: valores inválidos",IF(COUNTIFS($A$5:$A$1200,A142,$B$5:$B$1200,B142,$C$5:$C$1200,C142,$D$5:$D$1200,D142)&gt;1,"ERRO: chave duplicada","OK")))</f>
        <v/>
      </c>
    </row>
    <row r="143" ht="15" customHeight="1" s="131">
      <c r="A143" s="320" t="n"/>
      <c r="B143" s="323" t="n"/>
      <c r="C143" s="320" t="n"/>
      <c r="D143" s="326" t="n"/>
      <c r="E143" s="324" t="n"/>
      <c r="F143" s="320" t="n"/>
      <c r="G143" s="327" t="n"/>
      <c r="H143" s="271" t="n"/>
      <c r="I143" s="275">
        <f>IF(COUNTA(A143:F143)=0,"",IF(OR(E143&lt;0,F143&lt;0,F143&gt;10),"ERRO: valores inválidos",IF(COUNTIFS($A$5:$A$1200,A143,$B$5:$B$1200,B143,$C$5:$C$1200,C143,$D$5:$D$1200,D143)&gt;1,"ERRO: chave duplicada","OK")))</f>
        <v/>
      </c>
    </row>
    <row r="144" ht="15" customHeight="1" s="131">
      <c r="A144" s="320" t="n"/>
      <c r="B144" s="323" t="n"/>
      <c r="C144" s="320" t="n"/>
      <c r="D144" s="326" t="n"/>
      <c r="E144" s="324" t="n"/>
      <c r="F144" s="320" t="n"/>
      <c r="G144" s="327" t="n"/>
      <c r="H144" s="271" t="n"/>
      <c r="I144" s="275">
        <f>IF(COUNTA(A144:F144)=0,"",IF(OR(E144&lt;0,F144&lt;0,F144&gt;10),"ERRO: valores inválidos",IF(COUNTIFS($A$5:$A$1200,A144,$B$5:$B$1200,B144,$C$5:$C$1200,C144,$D$5:$D$1200,D144)&gt;1,"ERRO: chave duplicada","OK")))</f>
        <v/>
      </c>
    </row>
    <row r="145" ht="15" customHeight="1" s="131">
      <c r="A145" s="320" t="n"/>
      <c r="B145" s="323" t="n"/>
      <c r="C145" s="320" t="n"/>
      <c r="D145" s="326" t="n"/>
      <c r="E145" s="324" t="n"/>
      <c r="F145" s="320" t="n"/>
      <c r="G145" s="327" t="n"/>
      <c r="H145" s="271" t="n"/>
      <c r="I145" s="275">
        <f>IF(COUNTA(A145:F145)=0,"",IF(OR(E145&lt;0,F145&lt;0,F145&gt;10),"ERRO: valores inválidos",IF(COUNTIFS($A$5:$A$1200,A145,$B$5:$B$1200,B145,$C$5:$C$1200,C145,$D$5:$D$1200,D145)&gt;1,"ERRO: chave duplicada","OK")))</f>
        <v/>
      </c>
    </row>
    <row r="146" ht="15" customHeight="1" s="131">
      <c r="A146" s="320" t="n"/>
      <c r="B146" s="323" t="n"/>
      <c r="C146" s="320" t="n"/>
      <c r="D146" s="326" t="n"/>
      <c r="E146" s="324" t="n"/>
      <c r="F146" s="320" t="n"/>
      <c r="G146" s="327" t="n"/>
      <c r="H146" s="271" t="n"/>
      <c r="I146" s="275">
        <f>IF(COUNTA(A146:F146)=0,"",IF(OR(E146&lt;0,F146&lt;0,F146&gt;10),"ERRO: valores inválidos",IF(COUNTIFS($A$5:$A$1200,A146,$B$5:$B$1200,B146,$C$5:$C$1200,C146,$D$5:$D$1200,D146)&gt;1,"ERRO: chave duplicada","OK")))</f>
        <v/>
      </c>
    </row>
    <row r="147" ht="15" customHeight="1" s="131">
      <c r="A147" s="320" t="n"/>
      <c r="B147" s="323" t="n"/>
      <c r="C147" s="320" t="n"/>
      <c r="D147" s="326" t="n"/>
      <c r="E147" s="324" t="n"/>
      <c r="F147" s="320" t="n"/>
      <c r="G147" s="327" t="n"/>
      <c r="H147" s="271" t="n"/>
      <c r="I147" s="275">
        <f>IF(COUNTA(A147:F147)=0,"",IF(OR(E147&lt;0,F147&lt;0,F147&gt;10),"ERRO: valores inválidos",IF(COUNTIFS($A$5:$A$1200,A147,$B$5:$B$1200,B147,$C$5:$C$1200,C147,$D$5:$D$1200,D147)&gt;1,"ERRO: chave duplicada","OK")))</f>
        <v/>
      </c>
    </row>
    <row r="148" ht="15" customHeight="1" s="131">
      <c r="A148" s="320" t="n"/>
      <c r="B148" s="323" t="n"/>
      <c r="C148" s="320" t="n"/>
      <c r="D148" s="326" t="n"/>
      <c r="E148" s="324" t="n"/>
      <c r="F148" s="320" t="n"/>
      <c r="G148" s="327" t="n"/>
      <c r="H148" s="271" t="n"/>
      <c r="I148" s="275">
        <f>IF(COUNTA(A148:F148)=0,"",IF(OR(E148&lt;0,F148&lt;0,F148&gt;10),"ERRO: valores inválidos",IF(COUNTIFS($A$5:$A$1200,A148,$B$5:$B$1200,B148,$C$5:$C$1200,C148,$D$5:$D$1200,D148)&gt;1,"ERRO: chave duplicada","OK")))</f>
        <v/>
      </c>
    </row>
    <row r="149" ht="15" customHeight="1" s="131">
      <c r="A149" s="320" t="n"/>
      <c r="B149" s="323" t="n"/>
      <c r="C149" s="320" t="n"/>
      <c r="D149" s="326" t="n"/>
      <c r="E149" s="324" t="n"/>
      <c r="F149" s="320" t="n"/>
      <c r="G149" s="327" t="n"/>
      <c r="H149" s="271" t="n"/>
      <c r="I149" s="275">
        <f>IF(COUNTA(A149:F149)=0,"",IF(OR(E149&lt;0,F149&lt;0,F149&gt;10),"ERRO: valores inválidos",IF(COUNTIFS($A$5:$A$1200,A149,$B$5:$B$1200,B149,$C$5:$C$1200,C149,$D$5:$D$1200,D149)&gt;1,"ERRO: chave duplicada","OK")))</f>
        <v/>
      </c>
    </row>
    <row r="150" ht="15" customHeight="1" s="131">
      <c r="A150" s="320" t="n"/>
      <c r="B150" s="323" t="n"/>
      <c r="C150" s="320" t="n"/>
      <c r="D150" s="326" t="n"/>
      <c r="E150" s="324" t="n"/>
      <c r="F150" s="320" t="n"/>
      <c r="G150" s="327" t="n"/>
      <c r="H150" s="271" t="n"/>
      <c r="I150" s="275">
        <f>IF(COUNTA(A150:F150)=0,"",IF(OR(E150&lt;0,F150&lt;0,F150&gt;10),"ERRO: valores inválidos",IF(COUNTIFS($A$5:$A$1200,A150,$B$5:$B$1200,B150,$C$5:$C$1200,C150,$D$5:$D$1200,D150)&gt;1,"ERRO: chave duplicada","OK")))</f>
        <v/>
      </c>
    </row>
    <row r="151" ht="15" customHeight="1" s="131">
      <c r="A151" s="320" t="n"/>
      <c r="B151" s="323" t="n"/>
      <c r="C151" s="320" t="n"/>
      <c r="D151" s="326" t="n"/>
      <c r="E151" s="324" t="n"/>
      <c r="F151" s="320" t="n"/>
      <c r="G151" s="327" t="n"/>
      <c r="H151" s="271" t="n"/>
      <c r="I151" s="275">
        <f>IF(COUNTA(A151:F151)=0,"",IF(OR(E151&lt;0,F151&lt;0,F151&gt;10),"ERRO: valores inválidos",IF(COUNTIFS($A$5:$A$1200,A151,$B$5:$B$1200,B151,$C$5:$C$1200,C151,$D$5:$D$1200,D151)&gt;1,"ERRO: chave duplicada","OK")))</f>
        <v/>
      </c>
    </row>
    <row r="152" ht="15" customHeight="1" s="131">
      <c r="A152" s="320" t="n"/>
      <c r="B152" s="323" t="n"/>
      <c r="C152" s="320" t="n"/>
      <c r="D152" s="326" t="n"/>
      <c r="E152" s="324" t="n"/>
      <c r="F152" s="320" t="n"/>
      <c r="G152" s="327" t="n"/>
      <c r="H152" s="271" t="n"/>
      <c r="I152" s="275">
        <f>IF(COUNTA(A152:F152)=0,"",IF(OR(E152&lt;0,F152&lt;0,F152&gt;10),"ERRO: valores inválidos",IF(COUNTIFS($A$5:$A$1200,A152,$B$5:$B$1200,B152,$C$5:$C$1200,C152,$D$5:$D$1200,D152)&gt;1,"ERRO: chave duplicada","OK")))</f>
        <v/>
      </c>
    </row>
    <row r="153" ht="15" customHeight="1" s="131">
      <c r="A153" s="320" t="n"/>
      <c r="B153" s="323" t="n"/>
      <c r="C153" s="320" t="n"/>
      <c r="D153" s="326" t="n"/>
      <c r="E153" s="324" t="n"/>
      <c r="F153" s="320" t="n"/>
      <c r="G153" s="327" t="n"/>
      <c r="H153" s="271" t="n"/>
      <c r="I153" s="275">
        <f>IF(COUNTA(A153:F153)=0,"",IF(OR(E153&lt;0,F153&lt;0,F153&gt;10),"ERRO: valores inválidos",IF(COUNTIFS($A$5:$A$1200,A153,$B$5:$B$1200,B153,$C$5:$C$1200,C153,$D$5:$D$1200,D153)&gt;1,"ERRO: chave duplicada","OK")))</f>
        <v/>
      </c>
    </row>
    <row r="154" ht="15" customHeight="1" s="131">
      <c r="A154" s="320" t="n"/>
      <c r="B154" s="323" t="n"/>
      <c r="C154" s="320" t="n"/>
      <c r="D154" s="326" t="n"/>
      <c r="E154" s="324" t="n"/>
      <c r="F154" s="320" t="n"/>
      <c r="G154" s="327" t="n"/>
      <c r="H154" s="271" t="n"/>
      <c r="I154" s="275">
        <f>IF(COUNTA(A154:F154)=0,"",IF(OR(E154&lt;0,F154&lt;0,F154&gt;10),"ERRO: valores inválidos",IF(COUNTIFS($A$5:$A$1200,A154,$B$5:$B$1200,B154,$C$5:$C$1200,C154,$D$5:$D$1200,D154)&gt;1,"ERRO: chave duplicada","OK")))</f>
        <v/>
      </c>
    </row>
    <row r="155" ht="15" customHeight="1" s="131">
      <c r="A155" s="320" t="n"/>
      <c r="B155" s="323" t="n"/>
      <c r="C155" s="320" t="n"/>
      <c r="D155" s="326" t="n"/>
      <c r="E155" s="324" t="n"/>
      <c r="F155" s="320" t="n"/>
      <c r="G155" s="327" t="n"/>
      <c r="H155" s="271" t="n"/>
      <c r="I155" s="275">
        <f>IF(COUNTA(A155:F155)=0,"",IF(OR(E155&lt;0,F155&lt;0,F155&gt;10),"ERRO: valores inválidos",IF(COUNTIFS($A$5:$A$1200,A155,$B$5:$B$1200,B155,$C$5:$C$1200,C155,$D$5:$D$1200,D155)&gt;1,"ERRO: chave duplicada","OK")))</f>
        <v/>
      </c>
    </row>
    <row r="156" ht="15" customHeight="1" s="131">
      <c r="A156" s="320" t="n"/>
      <c r="B156" s="323" t="n"/>
      <c r="C156" s="320" t="n"/>
      <c r="D156" s="326" t="n"/>
      <c r="E156" s="324" t="n"/>
      <c r="F156" s="320" t="n"/>
      <c r="G156" s="327" t="n"/>
      <c r="H156" s="271" t="n"/>
      <c r="I156" s="275">
        <f>IF(COUNTA(A156:F156)=0,"",IF(OR(E156&lt;0,F156&lt;0,F156&gt;10),"ERRO: valores inválidos",IF(COUNTIFS($A$5:$A$1200,A156,$B$5:$B$1200,B156,$C$5:$C$1200,C156,$D$5:$D$1200,D156)&gt;1,"ERRO: chave duplicada","OK")))</f>
        <v/>
      </c>
    </row>
    <row r="157" ht="15" customHeight="1" s="131">
      <c r="A157" s="320" t="n"/>
      <c r="B157" s="323" t="n"/>
      <c r="C157" s="320" t="n"/>
      <c r="D157" s="326" t="n"/>
      <c r="E157" s="324" t="n"/>
      <c r="F157" s="320" t="n"/>
      <c r="G157" s="327" t="n"/>
      <c r="H157" s="271" t="n"/>
      <c r="I157" s="275">
        <f>IF(COUNTA(A157:F157)=0,"",IF(OR(E157&lt;0,F157&lt;0,F157&gt;10),"ERRO: valores inválidos",IF(COUNTIFS($A$5:$A$1200,A157,$B$5:$B$1200,B157,$C$5:$C$1200,C157,$D$5:$D$1200,D157)&gt;1,"ERRO: chave duplicada","OK")))</f>
        <v/>
      </c>
    </row>
    <row r="158" ht="15" customHeight="1" s="131">
      <c r="A158" s="320" t="n"/>
      <c r="B158" s="323" t="n"/>
      <c r="C158" s="320" t="n"/>
      <c r="D158" s="326" t="n"/>
      <c r="E158" s="324" t="n"/>
      <c r="F158" s="320" t="n"/>
      <c r="G158" s="327" t="n"/>
      <c r="H158" s="271" t="n"/>
      <c r="I158" s="275">
        <f>IF(COUNTA(A158:F158)=0,"",IF(OR(E158&lt;0,F158&lt;0,F158&gt;10),"ERRO: valores inválidos",IF(COUNTIFS($A$5:$A$1200,A158,$B$5:$B$1200,B158,$C$5:$C$1200,C158,$D$5:$D$1200,D158)&gt;1,"ERRO: chave duplicada","OK")))</f>
        <v/>
      </c>
    </row>
    <row r="159" ht="15" customHeight="1" s="131">
      <c r="A159" s="320" t="n"/>
      <c r="B159" s="323" t="n"/>
      <c r="C159" s="320" t="n"/>
      <c r="D159" s="326" t="n"/>
      <c r="E159" s="324" t="n"/>
      <c r="F159" s="320" t="n"/>
      <c r="G159" s="327" t="n"/>
      <c r="H159" s="271" t="n"/>
      <c r="I159" s="275">
        <f>IF(COUNTA(A159:F159)=0,"",IF(OR(E159&lt;0,F159&lt;0,F159&gt;10),"ERRO: valores inválidos",IF(COUNTIFS($A$5:$A$1200,A159,$B$5:$B$1200,B159,$C$5:$C$1200,C159,$D$5:$D$1200,D159)&gt;1,"ERRO: chave duplicada","OK")))</f>
        <v/>
      </c>
    </row>
    <row r="160" ht="15" customHeight="1" s="131">
      <c r="A160" s="320" t="n"/>
      <c r="B160" s="323" t="n"/>
      <c r="C160" s="320" t="n"/>
      <c r="D160" s="326" t="n"/>
      <c r="E160" s="324" t="n"/>
      <c r="F160" s="320" t="n"/>
      <c r="G160" s="327" t="n"/>
      <c r="H160" s="271" t="n"/>
      <c r="I160" s="275">
        <f>IF(COUNTA(A160:F160)=0,"",IF(OR(E160&lt;0,F160&lt;0,F160&gt;10),"ERRO: valores inválidos",IF(COUNTIFS($A$5:$A$1200,A160,$B$5:$B$1200,B160,$C$5:$C$1200,C160,$D$5:$D$1200,D160)&gt;1,"ERRO: chave duplicada","OK")))</f>
        <v/>
      </c>
    </row>
    <row r="161" ht="15" customHeight="1" s="131">
      <c r="A161" s="320" t="n"/>
      <c r="B161" s="323" t="n"/>
      <c r="C161" s="320" t="n"/>
      <c r="D161" s="326" t="n"/>
      <c r="E161" s="324" t="n"/>
      <c r="F161" s="320" t="n"/>
      <c r="G161" s="327" t="n"/>
      <c r="H161" s="271" t="n"/>
      <c r="I161" s="275">
        <f>IF(COUNTA(A161:F161)=0,"",IF(OR(E161&lt;0,F161&lt;0,F161&gt;10),"ERRO: valores inválidos",IF(COUNTIFS($A$5:$A$1200,A161,$B$5:$B$1200,B161,$C$5:$C$1200,C161,$D$5:$D$1200,D161)&gt;1,"ERRO: chave duplicada","OK")))</f>
        <v/>
      </c>
    </row>
    <row r="162" ht="15" customHeight="1" s="131">
      <c r="A162" s="320" t="n"/>
      <c r="B162" s="323" t="n"/>
      <c r="C162" s="320" t="n"/>
      <c r="D162" s="326" t="n"/>
      <c r="E162" s="324" t="n"/>
      <c r="F162" s="320" t="n"/>
      <c r="G162" s="327" t="n"/>
      <c r="H162" s="271" t="n"/>
      <c r="I162" s="275">
        <f>IF(COUNTA(A162:F162)=0,"",IF(OR(E162&lt;0,F162&lt;0,F162&gt;10),"ERRO: valores inválidos",IF(COUNTIFS($A$5:$A$1200,A162,$B$5:$B$1200,B162,$C$5:$C$1200,C162,$D$5:$D$1200,D162)&gt;1,"ERRO: chave duplicada","OK")))</f>
        <v/>
      </c>
    </row>
    <row r="163" ht="15" customHeight="1" s="131">
      <c r="A163" s="320" t="n"/>
      <c r="B163" s="323" t="n"/>
      <c r="C163" s="320" t="n"/>
      <c r="D163" s="326" t="n"/>
      <c r="E163" s="324" t="n"/>
      <c r="F163" s="320" t="n"/>
      <c r="G163" s="327" t="n"/>
      <c r="H163" s="271" t="n"/>
      <c r="I163" s="275">
        <f>IF(COUNTA(A163:F163)=0,"",IF(OR(E163&lt;0,F163&lt;0,F163&gt;10),"ERRO: valores inválidos",IF(COUNTIFS($A$5:$A$1200,A163,$B$5:$B$1200,B163,$C$5:$C$1200,C163,$D$5:$D$1200,D163)&gt;1,"ERRO: chave duplicada","OK")))</f>
        <v/>
      </c>
    </row>
    <row r="164" ht="15" customHeight="1" s="131">
      <c r="A164" s="320" t="n"/>
      <c r="B164" s="323" t="n"/>
      <c r="C164" s="320" t="n"/>
      <c r="D164" s="326" t="n"/>
      <c r="E164" s="324" t="n"/>
      <c r="F164" s="320" t="n"/>
      <c r="G164" s="327" t="n"/>
      <c r="H164" s="271" t="n"/>
      <c r="I164" s="275">
        <f>IF(COUNTA(A164:F164)=0,"",IF(OR(E164&lt;0,F164&lt;0,F164&gt;10),"ERRO: valores inválidos",IF(COUNTIFS($A$5:$A$1200,A164,$B$5:$B$1200,B164,$C$5:$C$1200,C164,$D$5:$D$1200,D164)&gt;1,"ERRO: chave duplicada","OK")))</f>
        <v/>
      </c>
    </row>
    <row r="165" ht="15" customHeight="1" s="131">
      <c r="A165" s="320" t="n"/>
      <c r="B165" s="323" t="n"/>
      <c r="C165" s="320" t="n"/>
      <c r="D165" s="326" t="n"/>
      <c r="E165" s="324" t="n"/>
      <c r="F165" s="320" t="n"/>
      <c r="G165" s="327" t="n"/>
      <c r="H165" s="271" t="n"/>
      <c r="I165" s="275">
        <f>IF(COUNTA(A165:F165)=0,"",IF(OR(E165&lt;0,F165&lt;0,F165&gt;10),"ERRO: valores inválidos",IF(COUNTIFS($A$5:$A$1200,A165,$B$5:$B$1200,B165,$C$5:$C$1200,C165,$D$5:$D$1200,D165)&gt;1,"ERRO: chave duplicada","OK")))</f>
        <v/>
      </c>
    </row>
    <row r="166" ht="15" customHeight="1" s="131">
      <c r="A166" s="320" t="n"/>
      <c r="B166" s="323" t="n"/>
      <c r="C166" s="320" t="n"/>
      <c r="D166" s="326" t="n"/>
      <c r="E166" s="324" t="n"/>
      <c r="F166" s="320" t="n"/>
      <c r="G166" s="327" t="n"/>
      <c r="H166" s="271" t="n"/>
      <c r="I166" s="275">
        <f>IF(COUNTA(A166:F166)=0,"",IF(OR(E166&lt;0,F166&lt;0,F166&gt;10),"ERRO: valores inválidos",IF(COUNTIFS($A$5:$A$1200,A166,$B$5:$B$1200,B166,$C$5:$C$1200,C166,$D$5:$D$1200,D166)&gt;1,"ERRO: chave duplicada","OK")))</f>
        <v/>
      </c>
    </row>
    <row r="167" ht="15" customHeight="1" s="131">
      <c r="A167" s="320" t="n"/>
      <c r="B167" s="323" t="n"/>
      <c r="C167" s="320" t="n"/>
      <c r="D167" s="326" t="n"/>
      <c r="E167" s="324" t="n"/>
      <c r="F167" s="320" t="n"/>
      <c r="G167" s="327" t="n"/>
      <c r="H167" s="271" t="n"/>
      <c r="I167" s="275">
        <f>IF(COUNTA(A167:F167)=0,"",IF(OR(E167&lt;0,F167&lt;0,F167&gt;10),"ERRO: valores inválidos",IF(COUNTIFS($A$5:$A$1200,A167,$B$5:$B$1200,B167,$C$5:$C$1200,C167,$D$5:$D$1200,D167)&gt;1,"ERRO: chave duplicada","OK")))</f>
        <v/>
      </c>
    </row>
    <row r="168" ht="15" customHeight="1" s="131">
      <c r="A168" s="320" t="n"/>
      <c r="B168" s="323" t="n"/>
      <c r="C168" s="320" t="n"/>
      <c r="D168" s="326" t="n"/>
      <c r="E168" s="324" t="n"/>
      <c r="F168" s="320" t="n"/>
      <c r="G168" s="327" t="n"/>
      <c r="H168" s="271" t="n"/>
      <c r="I168" s="275">
        <f>IF(COUNTA(A168:F168)=0,"",IF(OR(E168&lt;0,F168&lt;0,F168&gt;10),"ERRO: valores inválidos",IF(COUNTIFS($A$5:$A$1200,A168,$B$5:$B$1200,B168,$C$5:$C$1200,C168,$D$5:$D$1200,D168)&gt;1,"ERRO: chave duplicada","OK")))</f>
        <v/>
      </c>
    </row>
    <row r="169" ht="15" customHeight="1" s="131">
      <c r="A169" s="320" t="n"/>
      <c r="B169" s="323" t="n"/>
      <c r="C169" s="320" t="n"/>
      <c r="D169" s="326" t="n"/>
      <c r="E169" s="324" t="n"/>
      <c r="F169" s="320" t="n"/>
      <c r="G169" s="327" t="n"/>
      <c r="H169" s="271" t="n"/>
      <c r="I169" s="275">
        <f>IF(COUNTA(A169:F169)=0,"",IF(OR(E169&lt;0,F169&lt;0,F169&gt;10),"ERRO: valores inválidos",IF(COUNTIFS($A$5:$A$1200,A169,$B$5:$B$1200,B169,$C$5:$C$1200,C169,$D$5:$D$1200,D169)&gt;1,"ERRO: chave duplicada","OK")))</f>
        <v/>
      </c>
    </row>
    <row r="170" ht="15" customHeight="1" s="131">
      <c r="A170" s="320" t="n"/>
      <c r="B170" s="323" t="n"/>
      <c r="C170" s="320" t="n"/>
      <c r="D170" s="326" t="n"/>
      <c r="E170" s="324" t="n"/>
      <c r="F170" s="320" t="n"/>
      <c r="G170" s="327" t="n"/>
      <c r="H170" s="271" t="n"/>
      <c r="I170" s="275">
        <f>IF(COUNTA(A170:F170)=0,"",IF(OR(E170&lt;0,F170&lt;0,F170&gt;10),"ERRO: valores inválidos",IF(COUNTIFS($A$5:$A$1200,A170,$B$5:$B$1200,B170,$C$5:$C$1200,C170,$D$5:$D$1200,D170)&gt;1,"ERRO: chave duplicada","OK")))</f>
        <v/>
      </c>
    </row>
    <row r="171" ht="15" customHeight="1" s="131">
      <c r="A171" s="320" t="n"/>
      <c r="B171" s="323" t="n"/>
      <c r="C171" s="320" t="n"/>
      <c r="D171" s="326" t="n"/>
      <c r="E171" s="324" t="n"/>
      <c r="F171" s="320" t="n"/>
      <c r="G171" s="327" t="n"/>
      <c r="H171" s="271" t="n"/>
      <c r="I171" s="275">
        <f>IF(COUNTA(A171:F171)=0,"",IF(OR(E171&lt;0,F171&lt;0,F171&gt;10),"ERRO: valores inválidos",IF(COUNTIFS($A$5:$A$1200,A171,$B$5:$B$1200,B171,$C$5:$C$1200,C171,$D$5:$D$1200,D171)&gt;1,"ERRO: chave duplicada","OK")))</f>
        <v/>
      </c>
    </row>
    <row r="172" ht="15" customHeight="1" s="131">
      <c r="A172" s="320" t="n"/>
      <c r="B172" s="323" t="n"/>
      <c r="C172" s="320" t="n"/>
      <c r="D172" s="326" t="n"/>
      <c r="E172" s="324" t="n"/>
      <c r="F172" s="320" t="n"/>
      <c r="G172" s="327" t="n"/>
      <c r="H172" s="271" t="n"/>
      <c r="I172" s="275">
        <f>IF(COUNTA(A172:F172)=0,"",IF(OR(E172&lt;0,F172&lt;0,F172&gt;10),"ERRO: valores inválidos",IF(COUNTIFS($A$5:$A$1200,A172,$B$5:$B$1200,B172,$C$5:$C$1200,C172,$D$5:$D$1200,D172)&gt;1,"ERRO: chave duplicada","OK")))</f>
        <v/>
      </c>
    </row>
    <row r="173" ht="15" customHeight="1" s="131">
      <c r="A173" s="320" t="n"/>
      <c r="B173" s="323" t="n"/>
      <c r="C173" s="320" t="n"/>
      <c r="D173" s="326" t="n"/>
      <c r="E173" s="324" t="n"/>
      <c r="F173" s="320" t="n"/>
      <c r="G173" s="327" t="n"/>
      <c r="H173" s="271" t="n"/>
      <c r="I173" s="275">
        <f>IF(COUNTA(A173:F173)=0,"",IF(OR(E173&lt;0,F173&lt;0,F173&gt;10),"ERRO: valores inválidos",IF(COUNTIFS($A$5:$A$1200,A173,$B$5:$B$1200,B173,$C$5:$C$1200,C173,$D$5:$D$1200,D173)&gt;1,"ERRO: chave duplicada","OK")))</f>
        <v/>
      </c>
    </row>
    <row r="174" ht="15" customHeight="1" s="131">
      <c r="A174" s="320" t="n"/>
      <c r="B174" s="323" t="n"/>
      <c r="C174" s="320" t="n"/>
      <c r="D174" s="326" t="n"/>
      <c r="E174" s="324" t="n"/>
      <c r="F174" s="320" t="n"/>
      <c r="G174" s="327" t="n"/>
      <c r="H174" s="271" t="n"/>
      <c r="I174" s="275">
        <f>IF(COUNTA(A174:F174)=0,"",IF(OR(E174&lt;0,F174&lt;0,F174&gt;10),"ERRO: valores inválidos",IF(COUNTIFS($A$5:$A$1200,A174,$B$5:$B$1200,B174,$C$5:$C$1200,C174,$D$5:$D$1200,D174)&gt;1,"ERRO: chave duplicada","OK")))</f>
        <v/>
      </c>
    </row>
    <row r="175" ht="15" customHeight="1" s="131">
      <c r="A175" s="320" t="n"/>
      <c r="B175" s="323" t="n"/>
      <c r="C175" s="320" t="n"/>
      <c r="D175" s="326" t="n"/>
      <c r="E175" s="324" t="n"/>
      <c r="F175" s="320" t="n"/>
      <c r="G175" s="327" t="n"/>
      <c r="H175" s="271" t="n"/>
      <c r="I175" s="275">
        <f>IF(COUNTA(A175:F175)=0,"",IF(OR(E175&lt;0,F175&lt;0,F175&gt;10),"ERRO: valores inválidos",IF(COUNTIFS($A$5:$A$1200,A175,$B$5:$B$1200,B175,$C$5:$C$1200,C175,$D$5:$D$1200,D175)&gt;1,"ERRO: chave duplicada","OK")))</f>
        <v/>
      </c>
    </row>
    <row r="176" ht="15" customHeight="1" s="131">
      <c r="A176" s="320" t="n"/>
      <c r="B176" s="323" t="n"/>
      <c r="C176" s="320" t="n"/>
      <c r="D176" s="326" t="n"/>
      <c r="E176" s="324" t="n"/>
      <c r="F176" s="320" t="n"/>
      <c r="G176" s="327" t="n"/>
      <c r="H176" s="271" t="n"/>
      <c r="I176" s="275">
        <f>IF(COUNTA(A176:F176)=0,"",IF(OR(E176&lt;0,F176&lt;0,F176&gt;10),"ERRO: valores inválidos",IF(COUNTIFS($A$5:$A$1200,A176,$B$5:$B$1200,B176,$C$5:$C$1200,C176,$D$5:$D$1200,D176)&gt;1,"ERRO: chave duplicada","OK")))</f>
        <v/>
      </c>
    </row>
    <row r="177" ht="15" customHeight="1" s="131">
      <c r="A177" s="320" t="n"/>
      <c r="B177" s="323" t="n"/>
      <c r="C177" s="320" t="n"/>
      <c r="D177" s="326" t="n"/>
      <c r="E177" s="324" t="n"/>
      <c r="F177" s="320" t="n"/>
      <c r="G177" s="327" t="n"/>
      <c r="H177" s="271" t="n"/>
      <c r="I177" s="275">
        <f>IF(COUNTA(A177:F177)=0,"",IF(OR(E177&lt;0,F177&lt;0,F177&gt;10),"ERRO: valores inválidos",IF(COUNTIFS($A$5:$A$1200,A177,$B$5:$B$1200,B177,$C$5:$C$1200,C177,$D$5:$D$1200,D177)&gt;1,"ERRO: chave duplicada","OK")))</f>
        <v/>
      </c>
    </row>
    <row r="178" ht="15" customHeight="1" s="131">
      <c r="A178" s="320" t="n"/>
      <c r="B178" s="323" t="n"/>
      <c r="C178" s="320" t="n"/>
      <c r="D178" s="326" t="n"/>
      <c r="E178" s="324" t="n"/>
      <c r="F178" s="320" t="n"/>
      <c r="G178" s="327" t="n"/>
      <c r="H178" s="271" t="n"/>
      <c r="I178" s="275">
        <f>IF(COUNTA(A178:F178)=0,"",IF(OR(E178&lt;0,F178&lt;0,F178&gt;10),"ERRO: valores inválidos",IF(COUNTIFS($A$5:$A$1200,A178,$B$5:$B$1200,B178,$C$5:$C$1200,C178,$D$5:$D$1200,D178)&gt;1,"ERRO: chave duplicada","OK")))</f>
        <v/>
      </c>
    </row>
    <row r="179" ht="15" customHeight="1" s="131">
      <c r="A179" s="320" t="n"/>
      <c r="B179" s="323" t="n"/>
      <c r="C179" s="320" t="n"/>
      <c r="D179" s="326" t="n"/>
      <c r="E179" s="324" t="n"/>
      <c r="F179" s="320" t="n"/>
      <c r="G179" s="327" t="n"/>
      <c r="H179" s="271" t="n"/>
      <c r="I179" s="275">
        <f>IF(COUNTA(A179:F179)=0,"",IF(OR(E179&lt;0,F179&lt;0,F179&gt;10),"ERRO: valores inválidos",IF(COUNTIFS($A$5:$A$1200,A179,$B$5:$B$1200,B179,$C$5:$C$1200,C179,$D$5:$D$1200,D179)&gt;1,"ERRO: chave duplicada","OK")))</f>
        <v/>
      </c>
    </row>
    <row r="180" ht="15" customHeight="1" s="131">
      <c r="A180" s="320" t="n"/>
      <c r="B180" s="323" t="n"/>
      <c r="C180" s="320" t="n"/>
      <c r="D180" s="326" t="n"/>
      <c r="E180" s="324" t="n"/>
      <c r="F180" s="320" t="n"/>
      <c r="G180" s="327" t="n"/>
      <c r="H180" s="271" t="n"/>
      <c r="I180" s="275">
        <f>IF(COUNTA(A180:F180)=0,"",IF(OR(E180&lt;0,F180&lt;0,F180&gt;10),"ERRO: valores inválidos",IF(COUNTIFS($A$5:$A$1200,A180,$B$5:$B$1200,B180,$C$5:$C$1200,C180,$D$5:$D$1200,D180)&gt;1,"ERRO: chave duplicada","OK")))</f>
        <v/>
      </c>
    </row>
    <row r="181" ht="15" customHeight="1" s="131">
      <c r="A181" s="320" t="n"/>
      <c r="B181" s="323" t="n"/>
      <c r="C181" s="320" t="n"/>
      <c r="D181" s="326" t="n"/>
      <c r="E181" s="324" t="n"/>
      <c r="F181" s="320" t="n"/>
      <c r="G181" s="327" t="n"/>
      <c r="H181" s="271" t="n"/>
      <c r="I181" s="275">
        <f>IF(COUNTA(A181:F181)=0,"",IF(OR(E181&lt;0,F181&lt;0,F181&gt;10),"ERRO: valores inválidos",IF(COUNTIFS($A$5:$A$1200,A181,$B$5:$B$1200,B181,$C$5:$C$1200,C181,$D$5:$D$1200,D181)&gt;1,"ERRO: chave duplicada","OK")))</f>
        <v/>
      </c>
    </row>
    <row r="182" ht="15" customHeight="1" s="131">
      <c r="A182" s="320" t="n"/>
      <c r="B182" s="323" t="n"/>
      <c r="C182" s="320" t="n"/>
      <c r="D182" s="326" t="n"/>
      <c r="E182" s="324" t="n"/>
      <c r="F182" s="320" t="n"/>
      <c r="G182" s="327" t="n"/>
      <c r="H182" s="271" t="n"/>
      <c r="I182" s="275">
        <f>IF(COUNTA(A182:F182)=0,"",IF(OR(E182&lt;0,F182&lt;0,F182&gt;10),"ERRO: valores inválidos",IF(COUNTIFS($A$5:$A$1200,A182,$B$5:$B$1200,B182,$C$5:$C$1200,C182,$D$5:$D$1200,D182)&gt;1,"ERRO: chave duplicada","OK")))</f>
        <v/>
      </c>
    </row>
    <row r="183" ht="15" customHeight="1" s="131">
      <c r="A183" s="320" t="n"/>
      <c r="B183" s="323" t="n"/>
      <c r="C183" s="320" t="n"/>
      <c r="D183" s="326" t="n"/>
      <c r="E183" s="324" t="n"/>
      <c r="F183" s="320" t="n"/>
      <c r="G183" s="327" t="n"/>
      <c r="H183" s="271" t="n"/>
      <c r="I183" s="275">
        <f>IF(COUNTA(A183:F183)=0,"",IF(OR(E183&lt;0,F183&lt;0,F183&gt;10),"ERRO: valores inválidos",IF(COUNTIFS($A$5:$A$1200,A183,$B$5:$B$1200,B183,$C$5:$C$1200,C183,$D$5:$D$1200,D183)&gt;1,"ERRO: chave duplicada","OK")))</f>
        <v/>
      </c>
    </row>
    <row r="184" ht="15" customHeight="1" s="131">
      <c r="A184" s="320" t="n"/>
      <c r="B184" s="323" t="n"/>
      <c r="C184" s="320" t="n"/>
      <c r="D184" s="326" t="n"/>
      <c r="E184" s="324" t="n"/>
      <c r="F184" s="320" t="n"/>
      <c r="G184" s="327" t="n"/>
      <c r="H184" s="271" t="n"/>
      <c r="I184" s="275">
        <f>IF(COUNTA(A184:F184)=0,"",IF(OR(E184&lt;0,F184&lt;0,F184&gt;10),"ERRO: valores inválidos",IF(COUNTIFS($A$5:$A$1200,A184,$B$5:$B$1200,B184,$C$5:$C$1200,C184,$D$5:$D$1200,D184)&gt;1,"ERRO: chave duplicada","OK")))</f>
        <v/>
      </c>
    </row>
    <row r="185" ht="15" customHeight="1" s="131">
      <c r="A185" s="320" t="n"/>
      <c r="B185" s="323" t="n"/>
      <c r="C185" s="320" t="n"/>
      <c r="D185" s="326" t="n"/>
      <c r="E185" s="324" t="n"/>
      <c r="F185" s="320" t="n"/>
      <c r="G185" s="327" t="n"/>
      <c r="H185" s="271" t="n"/>
      <c r="I185" s="275">
        <f>IF(COUNTA(A185:F185)=0,"",IF(OR(E185&lt;0,F185&lt;0,F185&gt;10),"ERRO: valores inválidos",IF(COUNTIFS($A$5:$A$1200,A185,$B$5:$B$1200,B185,$C$5:$C$1200,C185,$D$5:$D$1200,D185)&gt;1,"ERRO: chave duplicada","OK")))</f>
        <v/>
      </c>
    </row>
    <row r="186" ht="15" customHeight="1" s="131">
      <c r="A186" s="320" t="n"/>
      <c r="B186" s="323" t="n"/>
      <c r="C186" s="320" t="n"/>
      <c r="D186" s="326" t="n"/>
      <c r="E186" s="324" t="n"/>
      <c r="F186" s="320" t="n"/>
      <c r="G186" s="327" t="n"/>
      <c r="H186" s="271" t="n"/>
      <c r="I186" s="275">
        <f>IF(COUNTA(A186:F186)=0,"",IF(OR(E186&lt;0,F186&lt;0,F186&gt;10),"ERRO: valores inválidos",IF(COUNTIFS($A$5:$A$1200,A186,$B$5:$B$1200,B186,$C$5:$C$1200,C186,$D$5:$D$1200,D186)&gt;1,"ERRO: chave duplicada","OK")))</f>
        <v/>
      </c>
    </row>
    <row r="187" ht="15" customHeight="1" s="131">
      <c r="A187" s="320" t="n"/>
      <c r="B187" s="323" t="n"/>
      <c r="C187" s="320" t="n"/>
      <c r="D187" s="326" t="n"/>
      <c r="E187" s="324" t="n"/>
      <c r="F187" s="320" t="n"/>
      <c r="G187" s="327" t="n"/>
      <c r="H187" s="271" t="n"/>
      <c r="I187" s="275">
        <f>IF(COUNTA(A187:F187)=0,"",IF(OR(E187&lt;0,F187&lt;0,F187&gt;10),"ERRO: valores inválidos",IF(COUNTIFS($A$5:$A$1200,A187,$B$5:$B$1200,B187,$C$5:$C$1200,C187,$D$5:$D$1200,D187)&gt;1,"ERRO: chave duplicada","OK")))</f>
        <v/>
      </c>
    </row>
    <row r="188" ht="15" customHeight="1" s="131">
      <c r="A188" s="320" t="n"/>
      <c r="B188" s="323" t="n"/>
      <c r="C188" s="320" t="n"/>
      <c r="D188" s="326" t="n"/>
      <c r="E188" s="324" t="n"/>
      <c r="F188" s="320" t="n"/>
      <c r="G188" s="327" t="n"/>
      <c r="H188" s="271" t="n"/>
      <c r="I188" s="275">
        <f>IF(COUNTA(A188:F188)=0,"",IF(OR(E188&lt;0,F188&lt;0,F188&gt;10),"ERRO: valores inválidos",IF(COUNTIFS($A$5:$A$1200,A188,$B$5:$B$1200,B188,$C$5:$C$1200,C188,$D$5:$D$1200,D188)&gt;1,"ERRO: chave duplicada","OK")))</f>
        <v/>
      </c>
    </row>
    <row r="189" ht="15" customHeight="1" s="131">
      <c r="A189" s="320" t="n"/>
      <c r="B189" s="323" t="n"/>
      <c r="C189" s="320" t="n"/>
      <c r="D189" s="326" t="n"/>
      <c r="E189" s="324" t="n"/>
      <c r="F189" s="320" t="n"/>
      <c r="G189" s="327" t="n"/>
      <c r="H189" s="271" t="n"/>
      <c r="I189" s="275">
        <f>IF(COUNTA(A189:F189)=0,"",IF(OR(E189&lt;0,F189&lt;0,F189&gt;10),"ERRO: valores inválidos",IF(COUNTIFS($A$5:$A$1200,A189,$B$5:$B$1200,B189,$C$5:$C$1200,C189,$D$5:$D$1200,D189)&gt;1,"ERRO: chave duplicada","OK")))</f>
        <v/>
      </c>
    </row>
    <row r="190" ht="15" customHeight="1" s="131">
      <c r="A190" s="320" t="n"/>
      <c r="B190" s="323" t="n"/>
      <c r="C190" s="320" t="n"/>
      <c r="D190" s="326" t="n"/>
      <c r="E190" s="324" t="n"/>
      <c r="F190" s="320" t="n"/>
      <c r="G190" s="327" t="n"/>
      <c r="H190" s="271" t="n"/>
      <c r="I190" s="275">
        <f>IF(COUNTA(A190:F190)=0,"",IF(OR(E190&lt;0,F190&lt;0,F190&gt;10),"ERRO: valores inválidos",IF(COUNTIFS($A$5:$A$1200,A190,$B$5:$B$1200,B190,$C$5:$C$1200,C190,$D$5:$D$1200,D190)&gt;1,"ERRO: chave duplicada","OK")))</f>
        <v/>
      </c>
    </row>
    <row r="191" ht="15" customHeight="1" s="131">
      <c r="A191" s="320" t="n"/>
      <c r="B191" s="323" t="n"/>
      <c r="C191" s="320" t="n"/>
      <c r="D191" s="326" t="n"/>
      <c r="E191" s="324" t="n"/>
      <c r="F191" s="320" t="n"/>
      <c r="G191" s="327" t="n"/>
      <c r="H191" s="271" t="n"/>
      <c r="I191" s="275">
        <f>IF(COUNTA(A191:F191)=0,"",IF(OR(E191&lt;0,F191&lt;0,F191&gt;10),"ERRO: valores inválidos",IF(COUNTIFS($A$5:$A$1200,A191,$B$5:$B$1200,B191,$C$5:$C$1200,C191,$D$5:$D$1200,D191)&gt;1,"ERRO: chave duplicada","OK")))</f>
        <v/>
      </c>
    </row>
    <row r="192" ht="15" customHeight="1" s="131">
      <c r="A192" s="320" t="n"/>
      <c r="B192" s="323" t="n"/>
      <c r="C192" s="320" t="n"/>
      <c r="D192" s="326" t="n"/>
      <c r="E192" s="324" t="n"/>
      <c r="F192" s="320" t="n"/>
      <c r="G192" s="327" t="n"/>
      <c r="H192" s="271" t="n"/>
      <c r="I192" s="275">
        <f>IF(COUNTA(A192:F192)=0,"",IF(OR(E192&lt;0,F192&lt;0,F192&gt;10),"ERRO: valores inválidos",IF(COUNTIFS($A$5:$A$1200,A192,$B$5:$B$1200,B192,$C$5:$C$1200,C192,$D$5:$D$1200,D192)&gt;1,"ERRO: chave duplicada","OK")))</f>
        <v/>
      </c>
    </row>
    <row r="193" ht="15" customHeight="1" s="131">
      <c r="A193" s="320" t="n"/>
      <c r="B193" s="323" t="n"/>
      <c r="C193" s="320" t="n"/>
      <c r="D193" s="326" t="n"/>
      <c r="E193" s="324" t="n"/>
      <c r="F193" s="320" t="n"/>
      <c r="G193" s="327" t="n"/>
      <c r="H193" s="271" t="n"/>
      <c r="I193" s="275">
        <f>IF(COUNTA(A193:F193)=0,"",IF(OR(E193&lt;0,F193&lt;0,F193&gt;10),"ERRO: valores inválidos",IF(COUNTIFS($A$5:$A$1200,A193,$B$5:$B$1200,B193,$C$5:$C$1200,C193,$D$5:$D$1200,D193)&gt;1,"ERRO: chave duplicada","OK")))</f>
        <v/>
      </c>
    </row>
    <row r="194" ht="15" customHeight="1" s="131">
      <c r="A194" s="320" t="n"/>
      <c r="B194" s="323" t="n"/>
      <c r="C194" s="320" t="n"/>
      <c r="D194" s="326" t="n"/>
      <c r="E194" s="324" t="n"/>
      <c r="F194" s="320" t="n"/>
      <c r="G194" s="327" t="n"/>
      <c r="H194" s="271" t="n"/>
      <c r="I194" s="275">
        <f>IF(COUNTA(A194:F194)=0,"",IF(OR(E194&lt;0,F194&lt;0,F194&gt;10),"ERRO: valores inválidos",IF(COUNTIFS($A$5:$A$1200,A194,$B$5:$B$1200,B194,$C$5:$C$1200,C194,$D$5:$D$1200,D194)&gt;1,"ERRO: chave duplicada","OK")))</f>
        <v/>
      </c>
    </row>
    <row r="195" ht="15" customHeight="1" s="131">
      <c r="A195" s="320" t="n"/>
      <c r="B195" s="323" t="n"/>
      <c r="C195" s="320" t="n"/>
      <c r="D195" s="326" t="n"/>
      <c r="E195" s="324" t="n"/>
      <c r="F195" s="320" t="n"/>
      <c r="G195" s="327" t="n"/>
      <c r="H195" s="271" t="n"/>
      <c r="I195" s="275">
        <f>IF(COUNTA(A195:F195)=0,"",IF(OR(E195&lt;0,F195&lt;0,F195&gt;10),"ERRO: valores inválidos",IF(COUNTIFS($A$5:$A$1200,A195,$B$5:$B$1200,B195,$C$5:$C$1200,C195,$D$5:$D$1200,D195)&gt;1,"ERRO: chave duplicada","OK")))</f>
        <v/>
      </c>
    </row>
    <row r="196" ht="15" customHeight="1" s="131">
      <c r="A196" s="320" t="n"/>
      <c r="B196" s="323" t="n"/>
      <c r="C196" s="320" t="n"/>
      <c r="D196" s="326" t="n"/>
      <c r="E196" s="324" t="n"/>
      <c r="F196" s="320" t="n"/>
      <c r="G196" s="327" t="n"/>
      <c r="H196" s="271" t="n"/>
      <c r="I196" s="275">
        <f>IF(COUNTA(A196:F196)=0,"",IF(OR(E196&lt;0,F196&lt;0,F196&gt;10),"ERRO: valores inválidos",IF(COUNTIFS($A$5:$A$1200,A196,$B$5:$B$1200,B196,$C$5:$C$1200,C196,$D$5:$D$1200,D196)&gt;1,"ERRO: chave duplicada","OK")))</f>
        <v/>
      </c>
    </row>
    <row r="197" ht="15" customHeight="1" s="131">
      <c r="A197" s="320" t="n"/>
      <c r="B197" s="323" t="n"/>
      <c r="C197" s="320" t="n"/>
      <c r="D197" s="326" t="n"/>
      <c r="E197" s="324" t="n"/>
      <c r="F197" s="320" t="n"/>
      <c r="G197" s="327" t="n"/>
      <c r="H197" s="271" t="n"/>
      <c r="I197" s="275">
        <f>IF(COUNTA(A197:F197)=0,"",IF(OR(E197&lt;0,F197&lt;0,F197&gt;10),"ERRO: valores inválidos",IF(COUNTIFS($A$5:$A$1200,A197,$B$5:$B$1200,B197,$C$5:$C$1200,C197,$D$5:$D$1200,D197)&gt;1,"ERRO: chave duplicada","OK")))</f>
        <v/>
      </c>
    </row>
    <row r="198" ht="15" customHeight="1" s="131">
      <c r="A198" s="320" t="n"/>
      <c r="B198" s="323" t="n"/>
      <c r="C198" s="320" t="n"/>
      <c r="D198" s="326" t="n"/>
      <c r="E198" s="324" t="n"/>
      <c r="F198" s="320" t="n"/>
      <c r="G198" s="327" t="n"/>
      <c r="H198" s="271" t="n"/>
      <c r="I198" s="275">
        <f>IF(COUNTA(A198:F198)=0,"",IF(OR(E198&lt;0,F198&lt;0,F198&gt;10),"ERRO: valores inválidos",IF(COUNTIFS($A$5:$A$1200,A198,$B$5:$B$1200,B198,$C$5:$C$1200,C198,$D$5:$D$1200,D198)&gt;1,"ERRO: chave duplicada","OK")))</f>
        <v/>
      </c>
    </row>
    <row r="199" ht="15" customHeight="1" s="131">
      <c r="A199" s="320" t="n"/>
      <c r="B199" s="323" t="n"/>
      <c r="C199" s="320" t="n"/>
      <c r="D199" s="326" t="n"/>
      <c r="E199" s="324" t="n"/>
      <c r="F199" s="320" t="n"/>
      <c r="G199" s="327" t="n"/>
      <c r="H199" s="271" t="n"/>
      <c r="I199" s="275">
        <f>IF(COUNTA(A199:F199)=0,"",IF(OR(E199&lt;0,F199&lt;0,F199&gt;10),"ERRO: valores inválidos",IF(COUNTIFS($A$5:$A$1200,A199,$B$5:$B$1200,B199,$C$5:$C$1200,C199,$D$5:$D$1200,D199)&gt;1,"ERRO: chave duplicada","OK")))</f>
        <v/>
      </c>
    </row>
    <row r="200" ht="15" customHeight="1" s="131">
      <c r="A200" s="320" t="n"/>
      <c r="B200" s="323" t="n"/>
      <c r="C200" s="320" t="n"/>
      <c r="D200" s="326" t="n"/>
      <c r="E200" s="324" t="n"/>
      <c r="F200" s="320" t="n"/>
      <c r="G200" s="327" t="n"/>
      <c r="H200" s="271" t="n"/>
      <c r="I200" s="275">
        <f>IF(COUNTA(A200:F200)=0,"",IF(OR(E200&lt;0,F200&lt;0,F200&gt;10),"ERRO: valores inválidos",IF(COUNTIFS($A$5:$A$1200,A200,$B$5:$B$1200,B200,$C$5:$C$1200,C200,$D$5:$D$1200,D200)&gt;1,"ERRO: chave duplicada","OK")))</f>
        <v/>
      </c>
    </row>
    <row r="201" ht="15" customHeight="1" s="131">
      <c r="A201" s="320" t="n"/>
      <c r="B201" s="323" t="n"/>
      <c r="C201" s="320" t="n"/>
      <c r="D201" s="326" t="n"/>
      <c r="E201" s="324" t="n"/>
      <c r="F201" s="320" t="n"/>
      <c r="G201" s="327" t="n"/>
      <c r="H201" s="271" t="n"/>
      <c r="I201" s="275">
        <f>IF(COUNTA(A201:F201)=0,"",IF(OR(E201&lt;0,F201&lt;0,F201&gt;10),"ERRO: valores inválidos",IF(COUNTIFS($A$5:$A$1200,A201,$B$5:$B$1200,B201,$C$5:$C$1200,C201,$D$5:$D$1200,D201)&gt;1,"ERRO: chave duplicada","OK")))</f>
        <v/>
      </c>
    </row>
    <row r="202" ht="15" customHeight="1" s="131">
      <c r="A202" s="320" t="n"/>
      <c r="B202" s="323" t="n"/>
      <c r="C202" s="320" t="n"/>
      <c r="D202" s="326" t="n"/>
      <c r="E202" s="324" t="n"/>
      <c r="F202" s="320" t="n"/>
      <c r="G202" s="327" t="n"/>
      <c r="H202" s="271" t="n"/>
      <c r="I202" s="275">
        <f>IF(COUNTA(A202:F202)=0,"",IF(OR(E202&lt;0,F202&lt;0,F202&gt;10),"ERRO: valores inválidos",IF(COUNTIFS($A$5:$A$1200,A202,$B$5:$B$1200,B202,$C$5:$C$1200,C202,$D$5:$D$1200,D202)&gt;1,"ERRO: chave duplicada","OK")))</f>
        <v/>
      </c>
    </row>
    <row r="203" ht="15" customHeight="1" s="131">
      <c r="A203" s="320" t="n"/>
      <c r="B203" s="323" t="n"/>
      <c r="C203" s="320" t="n"/>
      <c r="D203" s="326" t="n"/>
      <c r="E203" s="324" t="n"/>
      <c r="F203" s="320" t="n"/>
      <c r="G203" s="327" t="n"/>
      <c r="H203" s="271" t="n"/>
      <c r="I203" s="275">
        <f>IF(COUNTA(A203:F203)=0,"",IF(OR(E203&lt;0,F203&lt;0,F203&gt;10),"ERRO: valores inválidos",IF(COUNTIFS($A$5:$A$1200,A203,$B$5:$B$1200,B203,$C$5:$C$1200,C203,$D$5:$D$1200,D203)&gt;1,"ERRO: chave duplicada","OK")))</f>
        <v/>
      </c>
    </row>
    <row r="204" ht="15" customHeight="1" s="131">
      <c r="A204" s="320" t="n"/>
      <c r="B204" s="323" t="n"/>
      <c r="C204" s="320" t="n"/>
      <c r="D204" s="326" t="n"/>
      <c r="E204" s="324" t="n"/>
      <c r="F204" s="320" t="n"/>
      <c r="G204" s="327" t="n"/>
      <c r="H204" s="271" t="n"/>
      <c r="I204" s="275">
        <f>IF(COUNTA(A204:F204)=0,"",IF(OR(E204&lt;0,F204&lt;0,F204&gt;10),"ERRO: valores inválidos",IF(COUNTIFS($A$5:$A$1200,A204,$B$5:$B$1200,B204,$C$5:$C$1200,C204,$D$5:$D$1200,D204)&gt;1,"ERRO: chave duplicada","OK")))</f>
        <v/>
      </c>
    </row>
    <row r="205" ht="15" customHeight="1" s="131">
      <c r="A205" s="320" t="n"/>
      <c r="B205" s="323" t="n"/>
      <c r="C205" s="320" t="n"/>
      <c r="D205" s="326" t="n"/>
      <c r="E205" s="324" t="n"/>
      <c r="F205" s="320" t="n"/>
      <c r="G205" s="327" t="n"/>
      <c r="H205" s="271" t="n"/>
      <c r="I205" s="275">
        <f>IF(COUNTA(A205:F205)=0,"",IF(OR(E205&lt;0,F205&lt;0,F205&gt;10),"ERRO: valores inválidos",IF(COUNTIFS($A$5:$A$1200,A205,$B$5:$B$1200,B205,$C$5:$C$1200,C205,$D$5:$D$1200,D205)&gt;1,"ERRO: chave duplicada","OK")))</f>
        <v/>
      </c>
    </row>
    <row r="206" ht="15" customHeight="1" s="131">
      <c r="A206" s="320" t="n"/>
      <c r="B206" s="323" t="n"/>
      <c r="C206" s="320" t="n"/>
      <c r="D206" s="326" t="n"/>
      <c r="E206" s="324" t="n"/>
      <c r="F206" s="320" t="n"/>
      <c r="G206" s="327" t="n"/>
      <c r="H206" s="271" t="n"/>
      <c r="I206" s="275">
        <f>IF(COUNTA(A206:F206)=0,"",IF(OR(E206&lt;0,F206&lt;0,F206&gt;10),"ERRO: valores inválidos",IF(COUNTIFS($A$5:$A$1200,A206,$B$5:$B$1200,B206,$C$5:$C$1200,C206,$D$5:$D$1200,D206)&gt;1,"ERRO: chave duplicada","OK")))</f>
        <v/>
      </c>
    </row>
    <row r="207" ht="15" customHeight="1" s="131">
      <c r="A207" s="320" t="n"/>
      <c r="B207" s="323" t="n"/>
      <c r="C207" s="320" t="n"/>
      <c r="D207" s="326" t="n"/>
      <c r="E207" s="324" t="n"/>
      <c r="F207" s="320" t="n"/>
      <c r="G207" s="327" t="n"/>
      <c r="H207" s="271" t="n"/>
      <c r="I207" s="275">
        <f>IF(COUNTA(A207:F207)=0,"",IF(OR(E207&lt;0,F207&lt;0,F207&gt;10),"ERRO: valores inválidos",IF(COUNTIFS($A$5:$A$1200,A207,$B$5:$B$1200,B207,$C$5:$C$1200,C207,$D$5:$D$1200,D207)&gt;1,"ERRO: chave duplicada","OK")))</f>
        <v/>
      </c>
    </row>
    <row r="208" ht="15" customHeight="1" s="131">
      <c r="A208" s="320" t="n"/>
      <c r="B208" s="323" t="n"/>
      <c r="C208" s="320" t="n"/>
      <c r="D208" s="326" t="n"/>
      <c r="E208" s="324" t="n"/>
      <c r="F208" s="320" t="n"/>
      <c r="G208" s="327" t="n"/>
      <c r="H208" s="271" t="n"/>
      <c r="I208" s="275">
        <f>IF(COUNTA(A208:F208)=0,"",IF(OR(E208&lt;0,F208&lt;0,F208&gt;10),"ERRO: valores inválidos",IF(COUNTIFS($A$5:$A$1200,A208,$B$5:$B$1200,B208,$C$5:$C$1200,C208,$D$5:$D$1200,D208)&gt;1,"ERRO: chave duplicada","OK")))</f>
        <v/>
      </c>
    </row>
    <row r="209" ht="15" customHeight="1" s="131">
      <c r="A209" s="320" t="n"/>
      <c r="B209" s="323" t="n"/>
      <c r="C209" s="320" t="n"/>
      <c r="D209" s="326" t="n"/>
      <c r="E209" s="324" t="n"/>
      <c r="F209" s="320" t="n"/>
      <c r="G209" s="327" t="n"/>
      <c r="H209" s="271" t="n"/>
      <c r="I209" s="275">
        <f>IF(COUNTA(A209:F209)=0,"",IF(OR(E209&lt;0,F209&lt;0,F209&gt;10),"ERRO: valores inválidos",IF(COUNTIFS($A$5:$A$1200,A209,$B$5:$B$1200,B209,$C$5:$C$1200,C209,$D$5:$D$1200,D209)&gt;1,"ERRO: chave duplicada","OK")))</f>
        <v/>
      </c>
    </row>
    <row r="210" ht="15" customHeight="1" s="131">
      <c r="A210" s="320" t="n"/>
      <c r="B210" s="323" t="n"/>
      <c r="C210" s="320" t="n"/>
      <c r="D210" s="326" t="n"/>
      <c r="E210" s="324" t="n"/>
      <c r="F210" s="320" t="n"/>
      <c r="G210" s="327" t="n"/>
      <c r="H210" s="271" t="n"/>
      <c r="I210" s="275">
        <f>IF(COUNTA(A210:F210)=0,"",IF(OR(E210&lt;0,F210&lt;0,F210&gt;10),"ERRO: valores inválidos",IF(COUNTIFS($A$5:$A$1200,A210,$B$5:$B$1200,B210,$C$5:$C$1200,C210,$D$5:$D$1200,D210)&gt;1,"ERRO: chave duplicada","OK")))</f>
        <v/>
      </c>
    </row>
    <row r="211" ht="15" customHeight="1" s="131">
      <c r="A211" s="320" t="n"/>
      <c r="B211" s="323" t="n"/>
      <c r="C211" s="320" t="n"/>
      <c r="D211" s="326" t="n"/>
      <c r="E211" s="324" t="n"/>
      <c r="F211" s="320" t="n"/>
      <c r="G211" s="327" t="n"/>
      <c r="H211" s="271" t="n"/>
      <c r="I211" s="275">
        <f>IF(COUNTA(A211:F211)=0,"",IF(OR(E211&lt;0,F211&lt;0,F211&gt;10),"ERRO: valores inválidos",IF(COUNTIFS($A$5:$A$1200,A211,$B$5:$B$1200,B211,$C$5:$C$1200,C211,$D$5:$D$1200,D211)&gt;1,"ERRO: chave duplicada","OK")))</f>
        <v/>
      </c>
    </row>
    <row r="212" ht="15" customHeight="1" s="131">
      <c r="A212" s="320" t="n"/>
      <c r="B212" s="323" t="n"/>
      <c r="C212" s="320" t="n"/>
      <c r="D212" s="326" t="n"/>
      <c r="E212" s="324" t="n"/>
      <c r="F212" s="320" t="n"/>
      <c r="G212" s="327" t="n"/>
      <c r="H212" s="271" t="n"/>
      <c r="I212" s="275">
        <f>IF(COUNTA(A212:F212)=0,"",IF(OR(E212&lt;0,F212&lt;0,F212&gt;10),"ERRO: valores inválidos",IF(COUNTIFS($A$5:$A$1200,A212,$B$5:$B$1200,B212,$C$5:$C$1200,C212,$D$5:$D$1200,D212)&gt;1,"ERRO: chave duplicada","OK")))</f>
        <v/>
      </c>
    </row>
    <row r="213" ht="15" customHeight="1" s="131">
      <c r="A213" s="320" t="n"/>
      <c r="B213" s="323" t="n"/>
      <c r="C213" s="320" t="n"/>
      <c r="D213" s="326" t="n"/>
      <c r="E213" s="324" t="n"/>
      <c r="F213" s="320" t="n"/>
      <c r="G213" s="327" t="n"/>
      <c r="H213" s="271" t="n"/>
      <c r="I213" s="275">
        <f>IF(COUNTA(A213:F213)=0,"",IF(OR(E213&lt;0,F213&lt;0,F213&gt;10),"ERRO: valores inválidos",IF(COUNTIFS($A$5:$A$1200,A213,$B$5:$B$1200,B213,$C$5:$C$1200,C213,$D$5:$D$1200,D213)&gt;1,"ERRO: chave duplicada","OK")))</f>
        <v/>
      </c>
    </row>
    <row r="214" ht="15" customHeight="1" s="131">
      <c r="A214" s="320" t="n"/>
      <c r="B214" s="323" t="n"/>
      <c r="C214" s="320" t="n"/>
      <c r="D214" s="326" t="n"/>
      <c r="E214" s="324" t="n"/>
      <c r="F214" s="320" t="n"/>
      <c r="G214" s="327" t="n"/>
      <c r="H214" s="271" t="n"/>
      <c r="I214" s="275">
        <f>IF(COUNTA(A214:F214)=0,"",IF(OR(E214&lt;0,F214&lt;0,F214&gt;10),"ERRO: valores inválidos",IF(COUNTIFS($A$5:$A$1200,A214,$B$5:$B$1200,B214,$C$5:$C$1200,C214,$D$5:$D$1200,D214)&gt;1,"ERRO: chave duplicada","OK")))</f>
        <v/>
      </c>
    </row>
    <row r="215" ht="15" customHeight="1" s="131">
      <c r="A215" s="320" t="n"/>
      <c r="B215" s="323" t="n"/>
      <c r="C215" s="320" t="n"/>
      <c r="D215" s="326" t="n"/>
      <c r="E215" s="324" t="n"/>
      <c r="F215" s="320" t="n"/>
      <c r="G215" s="327" t="n"/>
      <c r="H215" s="271" t="n"/>
      <c r="I215" s="275">
        <f>IF(COUNTA(A215:F215)=0,"",IF(OR(E215&lt;0,F215&lt;0,F215&gt;10),"ERRO: valores inválidos",IF(COUNTIFS($A$5:$A$1200,A215,$B$5:$B$1200,B215,$C$5:$C$1200,C215,$D$5:$D$1200,D215)&gt;1,"ERRO: chave duplicada","OK")))</f>
        <v/>
      </c>
    </row>
    <row r="216" ht="15" customHeight="1" s="131">
      <c r="A216" s="320" t="n"/>
      <c r="B216" s="323" t="n"/>
      <c r="C216" s="320" t="n"/>
      <c r="D216" s="326" t="n"/>
      <c r="E216" s="324" t="n"/>
      <c r="F216" s="320" t="n"/>
      <c r="G216" s="327" t="n"/>
      <c r="H216" s="271" t="n"/>
      <c r="I216" s="275">
        <f>IF(COUNTA(A216:F216)=0,"",IF(OR(E216&lt;0,F216&lt;0,F216&gt;10),"ERRO: valores inválidos",IF(COUNTIFS($A$5:$A$1200,A216,$B$5:$B$1200,B216,$C$5:$C$1200,C216,$D$5:$D$1200,D216)&gt;1,"ERRO: chave duplicada","OK")))</f>
        <v/>
      </c>
    </row>
    <row r="217" ht="15" customHeight="1" s="131">
      <c r="A217" s="320" t="n"/>
      <c r="B217" s="323" t="n"/>
      <c r="C217" s="320" t="n"/>
      <c r="D217" s="326" t="n"/>
      <c r="E217" s="324" t="n"/>
      <c r="F217" s="320" t="n"/>
      <c r="G217" s="327" t="n"/>
      <c r="H217" s="271" t="n"/>
      <c r="I217" s="275">
        <f>IF(COUNTA(A217:F217)=0,"",IF(OR(E217&lt;0,F217&lt;0,F217&gt;10),"ERRO: valores inválidos",IF(COUNTIFS($A$5:$A$1200,A217,$B$5:$B$1200,B217,$C$5:$C$1200,C217,$D$5:$D$1200,D217)&gt;1,"ERRO: chave duplicada","OK")))</f>
        <v/>
      </c>
    </row>
    <row r="218" ht="15" customHeight="1" s="131">
      <c r="A218" s="320" t="n"/>
      <c r="B218" s="323" t="n"/>
      <c r="C218" s="320" t="n"/>
      <c r="D218" s="326" t="n"/>
      <c r="E218" s="324" t="n"/>
      <c r="F218" s="320" t="n"/>
      <c r="G218" s="327" t="n"/>
      <c r="H218" s="271" t="n"/>
      <c r="I218" s="275">
        <f>IF(COUNTA(A218:F218)=0,"",IF(OR(E218&lt;0,F218&lt;0,F218&gt;10),"ERRO: valores inválidos",IF(COUNTIFS($A$5:$A$1200,A218,$B$5:$B$1200,B218,$C$5:$C$1200,C218,$D$5:$D$1200,D218)&gt;1,"ERRO: chave duplicada","OK")))</f>
        <v/>
      </c>
    </row>
    <row r="219" ht="15" customHeight="1" s="131">
      <c r="A219" s="320" t="n"/>
      <c r="B219" s="323" t="n"/>
      <c r="C219" s="320" t="n"/>
      <c r="D219" s="326" t="n"/>
      <c r="E219" s="324" t="n"/>
      <c r="F219" s="320" t="n"/>
      <c r="G219" s="327" t="n"/>
      <c r="H219" s="271" t="n"/>
      <c r="I219" s="275">
        <f>IF(COUNTA(A219:F219)=0,"",IF(OR(E219&lt;0,F219&lt;0,F219&gt;10),"ERRO: valores inválidos",IF(COUNTIFS($A$5:$A$1200,A219,$B$5:$B$1200,B219,$C$5:$C$1200,C219,$D$5:$D$1200,D219)&gt;1,"ERRO: chave duplicada","OK")))</f>
        <v/>
      </c>
    </row>
    <row r="220" ht="15" customHeight="1" s="131">
      <c r="A220" s="320" t="n"/>
      <c r="B220" s="323" t="n"/>
      <c r="C220" s="320" t="n"/>
      <c r="D220" s="326" t="n"/>
      <c r="E220" s="324" t="n"/>
      <c r="F220" s="320" t="n"/>
      <c r="G220" s="327" t="n"/>
      <c r="H220" s="271" t="n"/>
      <c r="I220" s="275">
        <f>IF(COUNTA(A220:F220)=0,"",IF(OR(E220&lt;0,F220&lt;0,F220&gt;10),"ERRO: valores inválidos",IF(COUNTIFS($A$5:$A$1200,A220,$B$5:$B$1200,B220,$C$5:$C$1200,C220,$D$5:$D$1200,D220)&gt;1,"ERRO: chave duplicada","OK")))</f>
        <v/>
      </c>
    </row>
    <row r="221" ht="15" customHeight="1" s="131">
      <c r="A221" s="320" t="n"/>
      <c r="B221" s="323" t="n"/>
      <c r="C221" s="320" t="n"/>
      <c r="D221" s="326" t="n"/>
      <c r="E221" s="324" t="n"/>
      <c r="F221" s="320" t="n"/>
      <c r="G221" s="327" t="n"/>
      <c r="H221" s="271" t="n"/>
      <c r="I221" s="275">
        <f>IF(COUNTA(A221:F221)=0,"",IF(OR(E221&lt;0,F221&lt;0,F221&gt;10),"ERRO: valores inválidos",IF(COUNTIFS($A$5:$A$1200,A221,$B$5:$B$1200,B221,$C$5:$C$1200,C221,$D$5:$D$1200,D221)&gt;1,"ERRO: chave duplicada","OK")))</f>
        <v/>
      </c>
    </row>
    <row r="222" ht="15" customHeight="1" s="131">
      <c r="A222" s="320" t="n"/>
      <c r="B222" s="323" t="n"/>
      <c r="C222" s="320" t="n"/>
      <c r="D222" s="326" t="n"/>
      <c r="E222" s="324" t="n"/>
      <c r="F222" s="320" t="n"/>
      <c r="G222" s="327" t="n"/>
      <c r="H222" s="271" t="n"/>
      <c r="I222" s="275">
        <f>IF(COUNTA(A222:F222)=0,"",IF(OR(E222&lt;0,F222&lt;0,F222&gt;10),"ERRO: valores inválidos",IF(COUNTIFS($A$5:$A$1200,A222,$B$5:$B$1200,B222,$C$5:$C$1200,C222,$D$5:$D$1200,D222)&gt;1,"ERRO: chave duplicada","OK")))</f>
        <v/>
      </c>
    </row>
    <row r="223" ht="15" customHeight="1" s="131">
      <c r="A223" s="320" t="n"/>
      <c r="B223" s="323" t="n"/>
      <c r="C223" s="320" t="n"/>
      <c r="D223" s="326" t="n"/>
      <c r="E223" s="324" t="n"/>
      <c r="F223" s="320" t="n"/>
      <c r="G223" s="327" t="n"/>
      <c r="H223" s="271" t="n"/>
      <c r="I223" s="275">
        <f>IF(COUNTA(A223:F223)=0,"",IF(OR(E223&lt;0,F223&lt;0,F223&gt;10),"ERRO: valores inválidos",IF(COUNTIFS($A$5:$A$1200,A223,$B$5:$B$1200,B223,$C$5:$C$1200,C223,$D$5:$D$1200,D223)&gt;1,"ERRO: chave duplicada","OK")))</f>
        <v/>
      </c>
    </row>
    <row r="224" ht="15" customHeight="1" s="131">
      <c r="A224" s="320" t="n"/>
      <c r="B224" s="323" t="n"/>
      <c r="C224" s="320" t="n"/>
      <c r="D224" s="326" t="n"/>
      <c r="E224" s="324" t="n"/>
      <c r="F224" s="320" t="n"/>
      <c r="G224" s="327" t="n"/>
      <c r="H224" s="271" t="n"/>
      <c r="I224" s="275">
        <f>IF(COUNTA(A224:F224)=0,"",IF(OR(E224&lt;0,F224&lt;0,F224&gt;10),"ERRO: valores inválidos",IF(COUNTIFS($A$5:$A$1200,A224,$B$5:$B$1200,B224,$C$5:$C$1200,C224,$D$5:$D$1200,D224)&gt;1,"ERRO: chave duplicada","OK")))</f>
        <v/>
      </c>
    </row>
    <row r="225" ht="15" customHeight="1" s="131">
      <c r="A225" s="320" t="n"/>
      <c r="B225" s="323" t="n"/>
      <c r="C225" s="320" t="n"/>
      <c r="D225" s="326" t="n"/>
      <c r="E225" s="324" t="n"/>
      <c r="F225" s="320" t="n"/>
      <c r="G225" s="327" t="n"/>
      <c r="H225" s="271" t="n"/>
      <c r="I225" s="275">
        <f>IF(COUNTA(A225:F225)=0,"",IF(OR(E225&lt;0,F225&lt;0,F225&gt;10),"ERRO: valores inválidos",IF(COUNTIFS($A$5:$A$1200,A225,$B$5:$B$1200,B225,$C$5:$C$1200,C225,$D$5:$D$1200,D225)&gt;1,"ERRO: chave duplicada","OK")))</f>
        <v/>
      </c>
    </row>
    <row r="226" ht="15" customHeight="1" s="131">
      <c r="A226" s="320" t="n"/>
      <c r="B226" s="323" t="n"/>
      <c r="C226" s="320" t="n"/>
      <c r="D226" s="326" t="n"/>
      <c r="E226" s="324" t="n"/>
      <c r="F226" s="320" t="n"/>
      <c r="G226" s="327" t="n"/>
      <c r="H226" s="271" t="n"/>
      <c r="I226" s="275">
        <f>IF(COUNTA(A226:F226)=0,"",IF(OR(E226&lt;0,F226&lt;0,F226&gt;10),"ERRO: valores inválidos",IF(COUNTIFS($A$5:$A$1200,A226,$B$5:$B$1200,B226,$C$5:$C$1200,C226,$D$5:$D$1200,D226)&gt;1,"ERRO: chave duplicada","OK")))</f>
        <v/>
      </c>
    </row>
    <row r="227" ht="15" customHeight="1" s="131">
      <c r="A227" s="320" t="n"/>
      <c r="B227" s="323" t="n"/>
      <c r="C227" s="320" t="n"/>
      <c r="D227" s="326" t="n"/>
      <c r="E227" s="324" t="n"/>
      <c r="F227" s="320" t="n"/>
      <c r="G227" s="327" t="n"/>
      <c r="H227" s="271" t="n"/>
      <c r="I227" s="275">
        <f>IF(COUNTA(A227:F227)=0,"",IF(OR(E227&lt;0,F227&lt;0,F227&gt;10),"ERRO: valores inválidos",IF(COUNTIFS($A$5:$A$1200,A227,$B$5:$B$1200,B227,$C$5:$C$1200,C227,$D$5:$D$1200,D227)&gt;1,"ERRO: chave duplicada","OK")))</f>
        <v/>
      </c>
    </row>
    <row r="228" ht="15" customHeight="1" s="131">
      <c r="A228" s="320" t="n"/>
      <c r="B228" s="323" t="n"/>
      <c r="C228" s="320" t="n"/>
      <c r="D228" s="326" t="n"/>
      <c r="E228" s="324" t="n"/>
      <c r="F228" s="320" t="n"/>
      <c r="G228" s="327" t="n"/>
      <c r="H228" s="271" t="n"/>
      <c r="I228" s="275">
        <f>IF(COUNTA(A228:F228)=0,"",IF(OR(E228&lt;0,F228&lt;0,F228&gt;10),"ERRO: valores inválidos",IF(COUNTIFS($A$5:$A$1200,A228,$B$5:$B$1200,B228,$C$5:$C$1200,C228,$D$5:$D$1200,D228)&gt;1,"ERRO: chave duplicada","OK")))</f>
        <v/>
      </c>
    </row>
    <row r="229" ht="15" customHeight="1" s="131">
      <c r="A229" s="320" t="n"/>
      <c r="B229" s="323" t="n"/>
      <c r="C229" s="320" t="n"/>
      <c r="D229" s="326" t="n"/>
      <c r="E229" s="324" t="n"/>
      <c r="F229" s="320" t="n"/>
      <c r="G229" s="327" t="n"/>
      <c r="H229" s="271" t="n"/>
      <c r="I229" s="275">
        <f>IF(COUNTA(A229:F229)=0,"",IF(OR(E229&lt;0,F229&lt;0,F229&gt;10),"ERRO: valores inválidos",IF(COUNTIFS($A$5:$A$1200,A229,$B$5:$B$1200,B229,$C$5:$C$1200,C229,$D$5:$D$1200,D229)&gt;1,"ERRO: chave duplicada","OK")))</f>
        <v/>
      </c>
    </row>
    <row r="230" ht="15" customHeight="1" s="131">
      <c r="A230" s="320" t="n"/>
      <c r="B230" s="323" t="n"/>
      <c r="C230" s="320" t="n"/>
      <c r="D230" s="326" t="n"/>
      <c r="E230" s="324" t="n"/>
      <c r="F230" s="320" t="n"/>
      <c r="G230" s="327" t="n"/>
      <c r="H230" s="271" t="n"/>
      <c r="I230" s="275">
        <f>IF(COUNTA(A230:F230)=0,"",IF(OR(E230&lt;0,F230&lt;0,F230&gt;10),"ERRO: valores inválidos",IF(COUNTIFS($A$5:$A$1200,A230,$B$5:$B$1200,B230,$C$5:$C$1200,C230,$D$5:$D$1200,D230)&gt;1,"ERRO: chave duplicada","OK")))</f>
        <v/>
      </c>
    </row>
    <row r="231" ht="15" customHeight="1" s="131">
      <c r="A231" s="320" t="n"/>
      <c r="B231" s="323" t="n"/>
      <c r="C231" s="320" t="n"/>
      <c r="D231" s="326" t="n"/>
      <c r="E231" s="324" t="n"/>
      <c r="F231" s="320" t="n"/>
      <c r="G231" s="327" t="n"/>
      <c r="H231" s="271" t="n"/>
      <c r="I231" s="275">
        <f>IF(COUNTA(A231:F231)=0,"",IF(OR(E231&lt;0,F231&lt;0,F231&gt;10),"ERRO: valores inválidos",IF(COUNTIFS($A$5:$A$1200,A231,$B$5:$B$1200,B231,$C$5:$C$1200,C231,$D$5:$D$1200,D231)&gt;1,"ERRO: chave duplicada","OK")))</f>
        <v/>
      </c>
    </row>
    <row r="232" ht="15" customHeight="1" s="131">
      <c r="A232" s="320" t="n"/>
      <c r="B232" s="323" t="n"/>
      <c r="C232" s="320" t="n"/>
      <c r="D232" s="326" t="n"/>
      <c r="E232" s="324" t="n"/>
      <c r="F232" s="320" t="n"/>
      <c r="G232" s="327" t="n"/>
      <c r="H232" s="271" t="n"/>
      <c r="I232" s="275">
        <f>IF(COUNTA(A232:F232)=0,"",IF(OR(E232&lt;0,F232&lt;0,F232&gt;10),"ERRO: valores inválidos",IF(COUNTIFS($A$5:$A$1200,A232,$B$5:$B$1200,B232,$C$5:$C$1200,C232,$D$5:$D$1200,D232)&gt;1,"ERRO: chave duplicada","OK")))</f>
        <v/>
      </c>
    </row>
    <row r="233" ht="15" customHeight="1" s="131">
      <c r="A233" s="320" t="n"/>
      <c r="B233" s="323" t="n"/>
      <c r="C233" s="320" t="n"/>
      <c r="D233" s="326" t="n"/>
      <c r="E233" s="324" t="n"/>
      <c r="F233" s="320" t="n"/>
      <c r="G233" s="327" t="n"/>
      <c r="H233" s="271" t="n"/>
      <c r="I233" s="275">
        <f>IF(COUNTA(A233:F233)=0,"",IF(OR(E233&lt;0,F233&lt;0,F233&gt;10),"ERRO: valores inválidos",IF(COUNTIFS($A$5:$A$1200,A233,$B$5:$B$1200,B233,$C$5:$C$1200,C233,$D$5:$D$1200,D233)&gt;1,"ERRO: chave duplicada","OK")))</f>
        <v/>
      </c>
    </row>
    <row r="234" ht="15" customHeight="1" s="131">
      <c r="A234" s="320" t="n"/>
      <c r="B234" s="323" t="n"/>
      <c r="C234" s="320" t="n"/>
      <c r="D234" s="326" t="n"/>
      <c r="E234" s="324" t="n"/>
      <c r="F234" s="320" t="n"/>
      <c r="G234" s="327" t="n"/>
      <c r="H234" s="271" t="n"/>
      <c r="I234" s="275">
        <f>IF(COUNTA(A234:F234)=0,"",IF(OR(E234&lt;0,F234&lt;0,F234&gt;10),"ERRO: valores inválidos",IF(COUNTIFS($A$5:$A$1200,A234,$B$5:$B$1200,B234,$C$5:$C$1200,C234,$D$5:$D$1200,D234)&gt;1,"ERRO: chave duplicada","OK")))</f>
        <v/>
      </c>
    </row>
    <row r="235" ht="15" customHeight="1" s="131">
      <c r="A235" s="320" t="n"/>
      <c r="B235" s="323" t="n"/>
      <c r="C235" s="320" t="n"/>
      <c r="D235" s="326" t="n"/>
      <c r="E235" s="324" t="n"/>
      <c r="F235" s="320" t="n"/>
      <c r="G235" s="327" t="n"/>
      <c r="H235" s="271" t="n"/>
      <c r="I235" s="275">
        <f>IF(COUNTA(A235:F235)=0,"",IF(OR(E235&lt;0,F235&lt;0,F235&gt;10),"ERRO: valores inválidos",IF(COUNTIFS($A$5:$A$1200,A235,$B$5:$B$1200,B235,$C$5:$C$1200,C235,$D$5:$D$1200,D235)&gt;1,"ERRO: chave duplicada","OK")))</f>
        <v/>
      </c>
    </row>
    <row r="236" ht="15" customHeight="1" s="131">
      <c r="A236" s="320" t="n"/>
      <c r="B236" s="323" t="n"/>
      <c r="C236" s="320" t="n"/>
      <c r="D236" s="326" t="n"/>
      <c r="E236" s="324" t="n"/>
      <c r="F236" s="320" t="n"/>
      <c r="G236" s="327" t="n"/>
      <c r="H236" s="271" t="n"/>
      <c r="I236" s="275">
        <f>IF(COUNTA(A236:F236)=0,"",IF(OR(E236&lt;0,F236&lt;0,F236&gt;10),"ERRO: valores inválidos",IF(COUNTIFS($A$5:$A$1200,A236,$B$5:$B$1200,B236,$C$5:$C$1200,C236,$D$5:$D$1200,D236)&gt;1,"ERRO: chave duplicada","OK")))</f>
        <v/>
      </c>
    </row>
    <row r="237" ht="15" customHeight="1" s="131">
      <c r="A237" s="320" t="n"/>
      <c r="B237" s="323" t="n"/>
      <c r="C237" s="320" t="n"/>
      <c r="D237" s="326" t="n"/>
      <c r="E237" s="324" t="n"/>
      <c r="F237" s="320" t="n"/>
      <c r="G237" s="327" t="n"/>
      <c r="H237" s="271" t="n"/>
      <c r="I237" s="275">
        <f>IF(COUNTA(A237:F237)=0,"",IF(OR(E237&lt;0,F237&lt;0,F237&gt;10),"ERRO: valores inválidos",IF(COUNTIFS($A$5:$A$1200,A237,$B$5:$B$1200,B237,$C$5:$C$1200,C237,$D$5:$D$1200,D237)&gt;1,"ERRO: chave duplicada","OK")))</f>
        <v/>
      </c>
    </row>
    <row r="238" ht="15" customHeight="1" s="131">
      <c r="A238" s="320" t="n"/>
      <c r="B238" s="323" t="n"/>
      <c r="C238" s="320" t="n"/>
      <c r="D238" s="326" t="n"/>
      <c r="E238" s="324" t="n"/>
      <c r="F238" s="320" t="n"/>
      <c r="G238" s="327" t="n"/>
      <c r="H238" s="271" t="n"/>
      <c r="I238" s="275">
        <f>IF(COUNTA(A238:F238)=0,"",IF(OR(E238&lt;0,F238&lt;0,F238&gt;10),"ERRO: valores inválidos",IF(COUNTIFS($A$5:$A$1200,A238,$B$5:$B$1200,B238,$C$5:$C$1200,C238,$D$5:$D$1200,D238)&gt;1,"ERRO: chave duplicada","OK")))</f>
        <v/>
      </c>
    </row>
    <row r="239" ht="15" customHeight="1" s="131">
      <c r="A239" s="320" t="n"/>
      <c r="B239" s="323" t="n"/>
      <c r="C239" s="320" t="n"/>
      <c r="D239" s="326" t="n"/>
      <c r="E239" s="324" t="n"/>
      <c r="F239" s="320" t="n"/>
      <c r="G239" s="327" t="n"/>
      <c r="H239" s="271" t="n"/>
      <c r="I239" s="275">
        <f>IF(COUNTA(A239:F239)=0,"",IF(OR(E239&lt;0,F239&lt;0,F239&gt;10),"ERRO: valores inválidos",IF(COUNTIFS($A$5:$A$1200,A239,$B$5:$B$1200,B239,$C$5:$C$1200,C239,$D$5:$D$1200,D239)&gt;1,"ERRO: chave duplicada","OK")))</f>
        <v/>
      </c>
    </row>
    <row r="240" ht="15" customHeight="1" s="131">
      <c r="A240" s="320" t="n"/>
      <c r="B240" s="323" t="n"/>
      <c r="C240" s="320" t="n"/>
      <c r="D240" s="326" t="n"/>
      <c r="E240" s="324" t="n"/>
      <c r="F240" s="320" t="n"/>
      <c r="G240" s="327" t="n"/>
      <c r="H240" s="271" t="n"/>
      <c r="I240" s="275">
        <f>IF(COUNTA(A240:F240)=0,"",IF(OR(E240&lt;0,F240&lt;0,F240&gt;10),"ERRO: valores inválidos",IF(COUNTIFS($A$5:$A$1200,A240,$B$5:$B$1200,B240,$C$5:$C$1200,C240,$D$5:$D$1200,D240)&gt;1,"ERRO: chave duplicada","OK")))</f>
        <v/>
      </c>
    </row>
    <row r="241" ht="15" customHeight="1" s="131">
      <c r="A241" s="320" t="n"/>
      <c r="B241" s="323" t="n"/>
      <c r="C241" s="320" t="n"/>
      <c r="D241" s="326" t="n"/>
      <c r="E241" s="324" t="n"/>
      <c r="F241" s="320" t="n"/>
      <c r="G241" s="327" t="n"/>
      <c r="H241" s="271" t="n"/>
      <c r="I241" s="275">
        <f>IF(COUNTA(A241:F241)=0,"",IF(OR(E241&lt;0,F241&lt;0,F241&gt;10),"ERRO: valores inválidos",IF(COUNTIFS($A$5:$A$1200,A241,$B$5:$B$1200,B241,$C$5:$C$1200,C241,$D$5:$D$1200,D241)&gt;1,"ERRO: chave duplicada","OK")))</f>
        <v/>
      </c>
    </row>
    <row r="242" ht="15" customHeight="1" s="131">
      <c r="A242" s="320" t="n"/>
      <c r="B242" s="323" t="n"/>
      <c r="C242" s="320" t="n"/>
      <c r="D242" s="326" t="n"/>
      <c r="E242" s="324" t="n"/>
      <c r="F242" s="320" t="n"/>
      <c r="G242" s="327" t="n"/>
      <c r="H242" s="271" t="n"/>
      <c r="I242" s="275">
        <f>IF(COUNTA(A242:F242)=0,"",IF(OR(E242&lt;0,F242&lt;0,F242&gt;10),"ERRO: valores inválidos",IF(COUNTIFS($A$5:$A$1200,A242,$B$5:$B$1200,B242,$C$5:$C$1200,C242,$D$5:$D$1200,D242)&gt;1,"ERRO: chave duplicada","OK")))</f>
        <v/>
      </c>
    </row>
    <row r="243" ht="15" customHeight="1" s="131">
      <c r="A243" s="320" t="n"/>
      <c r="B243" s="323" t="n"/>
      <c r="C243" s="320" t="n"/>
      <c r="D243" s="326" t="n"/>
      <c r="E243" s="324" t="n"/>
      <c r="F243" s="320" t="n"/>
      <c r="G243" s="327" t="n"/>
      <c r="H243" s="271" t="n"/>
      <c r="I243" s="275">
        <f>IF(COUNTA(A243:F243)=0,"",IF(OR(E243&lt;0,F243&lt;0,F243&gt;10),"ERRO: valores inválidos",IF(COUNTIFS($A$5:$A$1200,A243,$B$5:$B$1200,B243,$C$5:$C$1200,C243,$D$5:$D$1200,D243)&gt;1,"ERRO: chave duplicada","OK")))</f>
        <v/>
      </c>
    </row>
    <row r="244" ht="15" customHeight="1" s="131">
      <c r="A244" s="320" t="n"/>
      <c r="B244" s="323" t="n"/>
      <c r="C244" s="320" t="n"/>
      <c r="D244" s="326" t="n"/>
      <c r="E244" s="324" t="n"/>
      <c r="F244" s="320" t="n"/>
      <c r="G244" s="327" t="n"/>
      <c r="H244" s="271" t="n"/>
      <c r="I244" s="275">
        <f>IF(COUNTA(A244:F244)=0,"",IF(OR(E244&lt;0,F244&lt;0,F244&gt;10),"ERRO: valores inválidos",IF(COUNTIFS($A$5:$A$1200,A244,$B$5:$B$1200,B244,$C$5:$C$1200,C244,$D$5:$D$1200,D244)&gt;1,"ERRO: chave duplicada","OK")))</f>
        <v/>
      </c>
    </row>
    <row r="245" ht="15" customHeight="1" s="131">
      <c r="A245" s="320" t="n"/>
      <c r="B245" s="323" t="n"/>
      <c r="C245" s="320" t="n"/>
      <c r="D245" s="326" t="n"/>
      <c r="E245" s="324" t="n"/>
      <c r="F245" s="320" t="n"/>
      <c r="G245" s="327" t="n"/>
      <c r="H245" s="271" t="n"/>
      <c r="I245" s="275">
        <f>IF(COUNTA(A245:F245)=0,"",IF(OR(E245&lt;0,F245&lt;0,F245&gt;10),"ERRO: valores inválidos",IF(COUNTIFS($A$5:$A$1200,A245,$B$5:$B$1200,B245,$C$5:$C$1200,C245,$D$5:$D$1200,D245)&gt;1,"ERRO: chave duplicada","OK")))</f>
        <v/>
      </c>
    </row>
    <row r="246" ht="15" customHeight="1" s="131">
      <c r="A246" s="320" t="n"/>
      <c r="B246" s="323" t="n"/>
      <c r="C246" s="320" t="n"/>
      <c r="D246" s="326" t="n"/>
      <c r="E246" s="324" t="n"/>
      <c r="F246" s="320" t="n"/>
      <c r="G246" s="327" t="n"/>
      <c r="H246" s="271" t="n"/>
      <c r="I246" s="275">
        <f>IF(COUNTA(A246:F246)=0,"",IF(OR(E246&lt;0,F246&lt;0,F246&gt;10),"ERRO: valores inválidos",IF(COUNTIFS($A$5:$A$1200,A246,$B$5:$B$1200,B246,$C$5:$C$1200,C246,$D$5:$D$1200,D246)&gt;1,"ERRO: chave duplicada","OK")))</f>
        <v/>
      </c>
    </row>
    <row r="247" ht="15" customHeight="1" s="131">
      <c r="A247" s="320" t="n"/>
      <c r="B247" s="323" t="n"/>
      <c r="C247" s="320" t="n"/>
      <c r="D247" s="326" t="n"/>
      <c r="E247" s="324" t="n"/>
      <c r="F247" s="320" t="n"/>
      <c r="G247" s="327" t="n"/>
      <c r="H247" s="271" t="n"/>
      <c r="I247" s="275">
        <f>IF(COUNTA(A247:F247)=0,"",IF(OR(E247&lt;0,F247&lt;0,F247&gt;10),"ERRO: valores inválidos",IF(COUNTIFS($A$5:$A$1200,A247,$B$5:$B$1200,B247,$C$5:$C$1200,C247,$D$5:$D$1200,D247)&gt;1,"ERRO: chave duplicada","OK")))</f>
        <v/>
      </c>
    </row>
    <row r="248" ht="15" customHeight="1" s="131">
      <c r="A248" s="320" t="n"/>
      <c r="B248" s="323" t="n"/>
      <c r="C248" s="320" t="n"/>
      <c r="D248" s="326" t="n"/>
      <c r="E248" s="324" t="n"/>
      <c r="F248" s="320" t="n"/>
      <c r="G248" s="327" t="n"/>
      <c r="H248" s="271" t="n"/>
      <c r="I248" s="275">
        <f>IF(COUNTA(A248:F248)=0,"",IF(OR(E248&lt;0,F248&lt;0,F248&gt;10),"ERRO: valores inválidos",IF(COUNTIFS($A$5:$A$1200,A248,$B$5:$B$1200,B248,$C$5:$C$1200,C248,$D$5:$D$1200,D248)&gt;1,"ERRO: chave duplicada","OK")))</f>
        <v/>
      </c>
    </row>
    <row r="249" ht="15" customHeight="1" s="131">
      <c r="A249" s="320" t="n"/>
      <c r="B249" s="323" t="n"/>
      <c r="C249" s="320" t="n"/>
      <c r="D249" s="326" t="n"/>
      <c r="E249" s="324" t="n"/>
      <c r="F249" s="320" t="n"/>
      <c r="G249" s="327" t="n"/>
      <c r="H249" s="271" t="n"/>
      <c r="I249" s="275">
        <f>IF(COUNTA(A249:F249)=0,"",IF(OR(E249&lt;0,F249&lt;0,F249&gt;10),"ERRO: valores inválidos",IF(COUNTIFS($A$5:$A$1200,A249,$B$5:$B$1200,B249,$C$5:$C$1200,C249,$D$5:$D$1200,D249)&gt;1,"ERRO: chave duplicada","OK")))</f>
        <v/>
      </c>
    </row>
    <row r="250" ht="15" customHeight="1" s="131">
      <c r="A250" s="320" t="n"/>
      <c r="B250" s="323" t="n"/>
      <c r="C250" s="320" t="n"/>
      <c r="D250" s="326" t="n"/>
      <c r="E250" s="324" t="n"/>
      <c r="F250" s="320" t="n"/>
      <c r="G250" s="327" t="n"/>
      <c r="H250" s="271" t="n"/>
      <c r="I250" s="275">
        <f>IF(COUNTA(A250:F250)=0,"",IF(OR(E250&lt;0,F250&lt;0,F250&gt;10),"ERRO: valores inválidos",IF(COUNTIFS($A$5:$A$1200,A250,$B$5:$B$1200,B250,$C$5:$C$1200,C250,$D$5:$D$1200,D250)&gt;1,"ERRO: chave duplicada","OK")))</f>
        <v/>
      </c>
    </row>
    <row r="251" ht="15" customHeight="1" s="131">
      <c r="A251" s="320" t="n"/>
      <c r="B251" s="323" t="n"/>
      <c r="C251" s="320" t="n"/>
      <c r="D251" s="326" t="n"/>
      <c r="E251" s="324" t="n"/>
      <c r="F251" s="320" t="n"/>
      <c r="G251" s="327" t="n"/>
      <c r="H251" s="271" t="n"/>
      <c r="I251" s="275">
        <f>IF(COUNTA(A251:F251)=0,"",IF(OR(E251&lt;0,F251&lt;0,F251&gt;10),"ERRO: valores inválidos",IF(COUNTIFS($A$5:$A$1200,A251,$B$5:$B$1200,B251,$C$5:$C$1200,C251,$D$5:$D$1200,D251)&gt;1,"ERRO: chave duplicada","OK")))</f>
        <v/>
      </c>
    </row>
    <row r="252" ht="15" customHeight="1" s="131">
      <c r="A252" s="320" t="n"/>
      <c r="B252" s="323" t="n"/>
      <c r="C252" s="320" t="n"/>
      <c r="D252" s="326" t="n"/>
      <c r="E252" s="324" t="n"/>
      <c r="F252" s="320" t="n"/>
      <c r="G252" s="327" t="n"/>
      <c r="H252" s="271" t="n"/>
      <c r="I252" s="275">
        <f>IF(COUNTA(A252:F252)=0,"",IF(OR(E252&lt;0,F252&lt;0,F252&gt;10),"ERRO: valores inválidos",IF(COUNTIFS($A$5:$A$1200,A252,$B$5:$B$1200,B252,$C$5:$C$1200,C252,$D$5:$D$1200,D252)&gt;1,"ERRO: chave duplicada","OK")))</f>
        <v/>
      </c>
    </row>
    <row r="253" ht="15" customHeight="1" s="131">
      <c r="A253" s="320" t="n"/>
      <c r="B253" s="323" t="n"/>
      <c r="C253" s="320" t="n"/>
      <c r="D253" s="326" t="n"/>
      <c r="E253" s="324" t="n"/>
      <c r="F253" s="320" t="n"/>
      <c r="G253" s="327" t="n"/>
      <c r="H253" s="271" t="n"/>
      <c r="I253" s="275">
        <f>IF(COUNTA(A253:F253)=0,"",IF(OR(E253&lt;0,F253&lt;0,F253&gt;10),"ERRO: valores inválidos",IF(COUNTIFS($A$5:$A$1200,A253,$B$5:$B$1200,B253,$C$5:$C$1200,C253,$D$5:$D$1200,D253)&gt;1,"ERRO: chave duplicada","OK")))</f>
        <v/>
      </c>
    </row>
    <row r="254" ht="15" customHeight="1" s="131">
      <c r="A254" s="320" t="n"/>
      <c r="B254" s="323" t="n"/>
      <c r="C254" s="320" t="n"/>
      <c r="D254" s="326" t="n"/>
      <c r="E254" s="324" t="n"/>
      <c r="F254" s="320" t="n"/>
      <c r="G254" s="327" t="n"/>
      <c r="H254" s="271" t="n"/>
      <c r="I254" s="275">
        <f>IF(COUNTA(A254:F254)=0,"",IF(OR(E254&lt;0,F254&lt;0,F254&gt;10),"ERRO: valores inválidos",IF(COUNTIFS($A$5:$A$1200,A254,$B$5:$B$1200,B254,$C$5:$C$1200,C254,$D$5:$D$1200,D254)&gt;1,"ERRO: chave duplicada","OK")))</f>
        <v/>
      </c>
    </row>
    <row r="255" ht="15" customHeight="1" s="131">
      <c r="A255" s="320" t="n"/>
      <c r="B255" s="323" t="n"/>
      <c r="C255" s="320" t="n"/>
      <c r="D255" s="326" t="n"/>
      <c r="E255" s="324" t="n"/>
      <c r="F255" s="320" t="n"/>
      <c r="G255" s="327" t="n"/>
      <c r="H255" s="271" t="n"/>
      <c r="I255" s="275">
        <f>IF(COUNTA(A255:F255)=0,"",IF(OR(E255&lt;0,F255&lt;0,F255&gt;10),"ERRO: valores inválidos",IF(COUNTIFS($A$5:$A$1200,A255,$B$5:$B$1200,B255,$C$5:$C$1200,C255,$D$5:$D$1200,D255)&gt;1,"ERRO: chave duplicada","OK")))</f>
        <v/>
      </c>
    </row>
    <row r="256" ht="15" customHeight="1" s="131">
      <c r="A256" s="320" t="n"/>
      <c r="B256" s="323" t="n"/>
      <c r="C256" s="320" t="n"/>
      <c r="D256" s="326" t="n"/>
      <c r="E256" s="324" t="n"/>
      <c r="F256" s="320" t="n"/>
      <c r="G256" s="327" t="n"/>
      <c r="H256" s="271" t="n"/>
      <c r="I256" s="275">
        <f>IF(COUNTA(A256:F256)=0,"",IF(OR(E256&lt;0,F256&lt;0,F256&gt;10),"ERRO: valores inválidos",IF(COUNTIFS($A$5:$A$1200,A256,$B$5:$B$1200,B256,$C$5:$C$1200,C256,$D$5:$D$1200,D256)&gt;1,"ERRO: chave duplicada","OK")))</f>
        <v/>
      </c>
    </row>
    <row r="257" ht="15" customHeight="1" s="131">
      <c r="A257" s="320" t="n"/>
      <c r="B257" s="323" t="n"/>
      <c r="C257" s="320" t="n"/>
      <c r="D257" s="326" t="n"/>
      <c r="E257" s="324" t="n"/>
      <c r="F257" s="320" t="n"/>
      <c r="G257" s="327" t="n"/>
      <c r="H257" s="271" t="n"/>
      <c r="I257" s="275">
        <f>IF(COUNTA(A257:F257)=0,"",IF(OR(E257&lt;0,F257&lt;0,F257&gt;10),"ERRO: valores inválidos",IF(COUNTIFS($A$5:$A$1200,A257,$B$5:$B$1200,B257,$C$5:$C$1200,C257,$D$5:$D$1200,D257)&gt;1,"ERRO: chave duplicada","OK")))</f>
        <v/>
      </c>
    </row>
    <row r="258" ht="15" customHeight="1" s="131">
      <c r="A258" s="320" t="n"/>
      <c r="B258" s="323" t="n"/>
      <c r="C258" s="320" t="n"/>
      <c r="D258" s="326" t="n"/>
      <c r="E258" s="324" t="n"/>
      <c r="F258" s="320" t="n"/>
      <c r="G258" s="327" t="n"/>
      <c r="H258" s="271" t="n"/>
      <c r="I258" s="275">
        <f>IF(COUNTA(A258:F258)=0,"",IF(OR(E258&lt;0,F258&lt;0,F258&gt;10),"ERRO: valores inválidos",IF(COUNTIFS($A$5:$A$1200,A258,$B$5:$B$1200,B258,$C$5:$C$1200,C258,$D$5:$D$1200,D258)&gt;1,"ERRO: chave duplicada","OK")))</f>
        <v/>
      </c>
    </row>
    <row r="259" ht="15" customHeight="1" s="131">
      <c r="A259" s="320" t="n"/>
      <c r="B259" s="323" t="n"/>
      <c r="C259" s="320" t="n"/>
      <c r="D259" s="326" t="n"/>
      <c r="E259" s="324" t="n"/>
      <c r="F259" s="320" t="n"/>
      <c r="G259" s="327" t="n"/>
      <c r="H259" s="271" t="n"/>
      <c r="I259" s="275">
        <f>IF(COUNTA(A259:F259)=0,"",IF(OR(E259&lt;0,F259&lt;0,F259&gt;10),"ERRO: valores inválidos",IF(COUNTIFS($A$5:$A$1200,A259,$B$5:$B$1200,B259,$C$5:$C$1200,C259,$D$5:$D$1200,D259)&gt;1,"ERRO: chave duplicada","OK")))</f>
        <v/>
      </c>
    </row>
    <row r="260" ht="15" customHeight="1" s="131">
      <c r="A260" s="320" t="n"/>
      <c r="B260" s="323" t="n"/>
      <c r="C260" s="320" t="n"/>
      <c r="D260" s="326" t="n"/>
      <c r="E260" s="324" t="n"/>
      <c r="F260" s="320" t="n"/>
      <c r="G260" s="327" t="n"/>
      <c r="H260" s="271" t="n"/>
      <c r="I260" s="275">
        <f>IF(COUNTA(A260:F260)=0,"",IF(OR(E260&lt;0,F260&lt;0,F260&gt;10),"ERRO: valores inválidos",IF(COUNTIFS($A$5:$A$1200,A260,$B$5:$B$1200,B260,$C$5:$C$1200,C260,$D$5:$D$1200,D260)&gt;1,"ERRO: chave duplicada","OK")))</f>
        <v/>
      </c>
    </row>
    <row r="261" ht="15" customHeight="1" s="131">
      <c r="A261" s="320" t="n"/>
      <c r="B261" s="323" t="n"/>
      <c r="C261" s="320" t="n"/>
      <c r="D261" s="326" t="n"/>
      <c r="E261" s="324" t="n"/>
      <c r="F261" s="320" t="n"/>
      <c r="G261" s="327" t="n"/>
      <c r="H261" s="271" t="n"/>
      <c r="I261" s="275">
        <f>IF(COUNTA(A261:F261)=0,"",IF(OR(E261&lt;0,F261&lt;0,F261&gt;10),"ERRO: valores inválidos",IF(COUNTIFS($A$5:$A$1200,A261,$B$5:$B$1200,B261,$C$5:$C$1200,C261,$D$5:$D$1200,D261)&gt;1,"ERRO: chave duplicada","OK")))</f>
        <v/>
      </c>
    </row>
    <row r="262" ht="15" customHeight="1" s="131">
      <c r="A262" s="320" t="n"/>
      <c r="B262" s="323" t="n"/>
      <c r="C262" s="320" t="n"/>
      <c r="D262" s="326" t="n"/>
      <c r="E262" s="324" t="n"/>
      <c r="F262" s="320" t="n"/>
      <c r="G262" s="327" t="n"/>
      <c r="H262" s="271" t="n"/>
      <c r="I262" s="275">
        <f>IF(COUNTA(A262:F262)=0,"",IF(OR(E262&lt;0,F262&lt;0,F262&gt;10),"ERRO: valores inválidos",IF(COUNTIFS($A$5:$A$1200,A262,$B$5:$B$1200,B262,$C$5:$C$1200,C262,$D$5:$D$1200,D262)&gt;1,"ERRO: chave duplicada","OK")))</f>
        <v/>
      </c>
    </row>
    <row r="263" ht="15" customHeight="1" s="131">
      <c r="A263" s="320" t="n"/>
      <c r="B263" s="323" t="n"/>
      <c r="C263" s="320" t="n"/>
      <c r="D263" s="326" t="n"/>
      <c r="E263" s="324" t="n"/>
      <c r="F263" s="320" t="n"/>
      <c r="G263" s="327" t="n"/>
      <c r="H263" s="271" t="n"/>
      <c r="I263" s="275">
        <f>IF(COUNTA(A263:F263)=0,"",IF(OR(E263&lt;0,F263&lt;0,F263&gt;10),"ERRO: valores inválidos",IF(COUNTIFS($A$5:$A$1200,A263,$B$5:$B$1200,B263,$C$5:$C$1200,C263,$D$5:$D$1200,D263)&gt;1,"ERRO: chave duplicada","OK")))</f>
        <v/>
      </c>
    </row>
    <row r="264" ht="15" customHeight="1" s="131">
      <c r="A264" s="320" t="n"/>
      <c r="B264" s="323" t="n"/>
      <c r="C264" s="320" t="n"/>
      <c r="D264" s="326" t="n"/>
      <c r="E264" s="324" t="n"/>
      <c r="F264" s="320" t="n"/>
      <c r="G264" s="327" t="n"/>
      <c r="H264" s="271" t="n"/>
      <c r="I264" s="275">
        <f>IF(COUNTA(A264:F264)=0,"",IF(OR(E264&lt;0,F264&lt;0,F264&gt;10),"ERRO: valores inválidos",IF(COUNTIFS($A$5:$A$1200,A264,$B$5:$B$1200,B264,$C$5:$C$1200,C264,$D$5:$D$1200,D264)&gt;1,"ERRO: chave duplicada","OK")))</f>
        <v/>
      </c>
    </row>
    <row r="265" ht="15" customHeight="1" s="131">
      <c r="A265" s="320" t="n"/>
      <c r="B265" s="323" t="n"/>
      <c r="C265" s="320" t="n"/>
      <c r="D265" s="326" t="n"/>
      <c r="E265" s="324" t="n"/>
      <c r="F265" s="320" t="n"/>
      <c r="G265" s="327" t="n"/>
      <c r="H265" s="271" t="n"/>
      <c r="I265" s="275">
        <f>IF(COUNTA(A265:F265)=0,"",IF(OR(E265&lt;0,F265&lt;0,F265&gt;10),"ERRO: valores inválidos",IF(COUNTIFS($A$5:$A$1200,A265,$B$5:$B$1200,B265,$C$5:$C$1200,C265,$D$5:$D$1200,D265)&gt;1,"ERRO: chave duplicada","OK")))</f>
        <v/>
      </c>
    </row>
    <row r="266" ht="15" customHeight="1" s="131">
      <c r="A266" s="320" t="n"/>
      <c r="B266" s="323" t="n"/>
      <c r="C266" s="320" t="n"/>
      <c r="D266" s="326" t="n"/>
      <c r="E266" s="324" t="n"/>
      <c r="F266" s="320" t="n"/>
      <c r="G266" s="327" t="n"/>
      <c r="H266" s="271" t="n"/>
      <c r="I266" s="275">
        <f>IF(COUNTA(A266:F266)=0,"",IF(OR(E266&lt;0,F266&lt;0,F266&gt;10),"ERRO: valores inválidos",IF(COUNTIFS($A$5:$A$1200,A266,$B$5:$B$1200,B266,$C$5:$C$1200,C266,$D$5:$D$1200,D266)&gt;1,"ERRO: chave duplicada","OK")))</f>
        <v/>
      </c>
    </row>
    <row r="267" ht="15" customHeight="1" s="131">
      <c r="A267" s="320" t="n"/>
      <c r="B267" s="323" t="n"/>
      <c r="C267" s="320" t="n"/>
      <c r="D267" s="326" t="n"/>
      <c r="E267" s="324" t="n"/>
      <c r="F267" s="320" t="n"/>
      <c r="G267" s="327" t="n"/>
      <c r="H267" s="271" t="n"/>
      <c r="I267" s="275">
        <f>IF(COUNTA(A267:F267)=0,"",IF(OR(E267&lt;0,F267&lt;0,F267&gt;10),"ERRO: valores inválidos",IF(COUNTIFS($A$5:$A$1200,A267,$B$5:$B$1200,B267,$C$5:$C$1200,C267,$D$5:$D$1200,D267)&gt;1,"ERRO: chave duplicada","OK")))</f>
        <v/>
      </c>
    </row>
    <row r="268" ht="15" customHeight="1" s="131">
      <c r="A268" s="320" t="n"/>
      <c r="B268" s="323" t="n"/>
      <c r="C268" s="320" t="n"/>
      <c r="D268" s="326" t="n"/>
      <c r="E268" s="324" t="n"/>
      <c r="F268" s="320" t="n"/>
      <c r="G268" s="327" t="n"/>
      <c r="H268" s="271" t="n"/>
      <c r="I268" s="275">
        <f>IF(COUNTA(A268:F268)=0,"",IF(OR(E268&lt;0,F268&lt;0,F268&gt;10),"ERRO: valores inválidos",IF(COUNTIFS($A$5:$A$1200,A268,$B$5:$B$1200,B268,$C$5:$C$1200,C268,$D$5:$D$1200,D268)&gt;1,"ERRO: chave duplicada","OK")))</f>
        <v/>
      </c>
    </row>
    <row r="269" ht="15" customHeight="1" s="131">
      <c r="A269" s="320" t="n"/>
      <c r="B269" s="323" t="n"/>
      <c r="C269" s="320" t="n"/>
      <c r="D269" s="326" t="n"/>
      <c r="E269" s="324" t="n"/>
      <c r="F269" s="320" t="n"/>
      <c r="G269" s="327" t="n"/>
      <c r="H269" s="271" t="n"/>
      <c r="I269" s="275">
        <f>IF(COUNTA(A269:F269)=0,"",IF(OR(E269&lt;0,F269&lt;0,F269&gt;10),"ERRO: valores inválidos",IF(COUNTIFS($A$5:$A$1200,A269,$B$5:$B$1200,B269,$C$5:$C$1200,C269,$D$5:$D$1200,D269)&gt;1,"ERRO: chave duplicada","OK")))</f>
        <v/>
      </c>
    </row>
    <row r="270" ht="15" customHeight="1" s="131">
      <c r="A270" s="320" t="n"/>
      <c r="B270" s="323" t="n"/>
      <c r="C270" s="320" t="n"/>
      <c r="D270" s="326" t="n"/>
      <c r="E270" s="324" t="n"/>
      <c r="F270" s="320" t="n"/>
      <c r="G270" s="327" t="n"/>
      <c r="H270" s="271" t="n"/>
      <c r="I270" s="275">
        <f>IF(COUNTA(A270:F270)=0,"",IF(OR(E270&lt;0,F270&lt;0,F270&gt;10),"ERRO: valores inválidos",IF(COUNTIFS($A$5:$A$1200,A270,$B$5:$B$1200,B270,$C$5:$C$1200,C270,$D$5:$D$1200,D270)&gt;1,"ERRO: chave duplicada","OK")))</f>
        <v/>
      </c>
    </row>
    <row r="271" ht="15" customHeight="1" s="131">
      <c r="A271" s="320" t="n"/>
      <c r="B271" s="323" t="n"/>
      <c r="C271" s="320" t="n"/>
      <c r="D271" s="326" t="n"/>
      <c r="E271" s="324" t="n"/>
      <c r="F271" s="320" t="n"/>
      <c r="G271" s="327" t="n"/>
      <c r="H271" s="271" t="n"/>
      <c r="I271" s="275">
        <f>IF(COUNTA(A271:F271)=0,"",IF(OR(E271&lt;0,F271&lt;0,F271&gt;10),"ERRO: valores inválidos",IF(COUNTIFS($A$5:$A$1200,A271,$B$5:$B$1200,B271,$C$5:$C$1200,C271,$D$5:$D$1200,D271)&gt;1,"ERRO: chave duplicada","OK")))</f>
        <v/>
      </c>
    </row>
    <row r="272" ht="15" customHeight="1" s="131">
      <c r="A272" s="320" t="n"/>
      <c r="B272" s="323" t="n"/>
      <c r="C272" s="320" t="n"/>
      <c r="D272" s="326" t="n"/>
      <c r="E272" s="324" t="n"/>
      <c r="F272" s="320" t="n"/>
      <c r="G272" s="327" t="n"/>
      <c r="H272" s="271" t="n"/>
      <c r="I272" s="275">
        <f>IF(COUNTA(A272:F272)=0,"",IF(OR(E272&lt;0,F272&lt;0,F272&gt;10),"ERRO: valores inválidos",IF(COUNTIFS($A$5:$A$1200,A272,$B$5:$B$1200,B272,$C$5:$C$1200,C272,$D$5:$D$1200,D272)&gt;1,"ERRO: chave duplicada","OK")))</f>
        <v/>
      </c>
    </row>
    <row r="273" ht="15" customHeight="1" s="131">
      <c r="A273" s="320" t="n"/>
      <c r="B273" s="323" t="n"/>
      <c r="C273" s="320" t="n"/>
      <c r="D273" s="326" t="n"/>
      <c r="E273" s="324" t="n"/>
      <c r="F273" s="320" t="n"/>
      <c r="G273" s="327" t="n"/>
      <c r="H273" s="271" t="n"/>
      <c r="I273" s="275">
        <f>IF(COUNTA(A273:F273)=0,"",IF(OR(E273&lt;0,F273&lt;0,F273&gt;10),"ERRO: valores inválidos",IF(COUNTIFS($A$5:$A$1200,A273,$B$5:$B$1200,B273,$C$5:$C$1200,C273,$D$5:$D$1200,D273)&gt;1,"ERRO: chave duplicada","OK")))</f>
        <v/>
      </c>
    </row>
    <row r="274" ht="15" customHeight="1" s="131">
      <c r="A274" s="320" t="n"/>
      <c r="B274" s="323" t="n"/>
      <c r="C274" s="320" t="n"/>
      <c r="D274" s="326" t="n"/>
      <c r="E274" s="324" t="n"/>
      <c r="F274" s="320" t="n"/>
      <c r="G274" s="327" t="n"/>
      <c r="H274" s="271" t="n"/>
      <c r="I274" s="275">
        <f>IF(COUNTA(A274:F274)=0,"",IF(OR(E274&lt;0,F274&lt;0,F274&gt;10),"ERRO: valores inválidos",IF(COUNTIFS($A$5:$A$1200,A274,$B$5:$B$1200,B274,$C$5:$C$1200,C274,$D$5:$D$1200,D274)&gt;1,"ERRO: chave duplicada","OK")))</f>
        <v/>
      </c>
    </row>
    <row r="275" ht="15" customHeight="1" s="131">
      <c r="A275" s="320" t="n"/>
      <c r="B275" s="323" t="n"/>
      <c r="C275" s="320" t="n"/>
      <c r="D275" s="326" t="n"/>
      <c r="E275" s="324" t="n"/>
      <c r="F275" s="320" t="n"/>
      <c r="G275" s="327" t="n"/>
      <c r="H275" s="271" t="n"/>
      <c r="I275" s="275">
        <f>IF(COUNTA(A275:F275)=0,"",IF(OR(E275&lt;0,F275&lt;0,F275&gt;10),"ERRO: valores inválidos",IF(COUNTIFS($A$5:$A$1200,A275,$B$5:$B$1200,B275,$C$5:$C$1200,C275,$D$5:$D$1200,D275)&gt;1,"ERRO: chave duplicada","OK")))</f>
        <v/>
      </c>
    </row>
    <row r="276" ht="15" customHeight="1" s="131">
      <c r="A276" s="320" t="n"/>
      <c r="B276" s="323" t="n"/>
      <c r="C276" s="320" t="n"/>
      <c r="D276" s="326" t="n"/>
      <c r="E276" s="324" t="n"/>
      <c r="F276" s="320" t="n"/>
      <c r="G276" s="327" t="n"/>
      <c r="H276" s="271" t="n"/>
      <c r="I276" s="275">
        <f>IF(COUNTA(A276:F276)=0,"",IF(OR(E276&lt;0,F276&lt;0,F276&gt;10),"ERRO: valores inválidos",IF(COUNTIFS($A$5:$A$1200,A276,$B$5:$B$1200,B276,$C$5:$C$1200,C276,$D$5:$D$1200,D276)&gt;1,"ERRO: chave duplicada","OK")))</f>
        <v/>
      </c>
    </row>
    <row r="277" ht="15" customHeight="1" s="131">
      <c r="A277" s="320" t="n"/>
      <c r="B277" s="323" t="n"/>
      <c r="C277" s="320" t="n"/>
      <c r="D277" s="326" t="n"/>
      <c r="E277" s="324" t="n"/>
      <c r="F277" s="320" t="n"/>
      <c r="G277" s="327" t="n"/>
      <c r="H277" s="271" t="n"/>
      <c r="I277" s="275">
        <f>IF(COUNTA(A277:F277)=0,"",IF(OR(E277&lt;0,F277&lt;0,F277&gt;10),"ERRO: valores inválidos",IF(COUNTIFS($A$5:$A$1200,A277,$B$5:$B$1200,B277,$C$5:$C$1200,C277,$D$5:$D$1200,D277)&gt;1,"ERRO: chave duplicada","OK")))</f>
        <v/>
      </c>
    </row>
    <row r="278" ht="15" customHeight="1" s="131">
      <c r="A278" s="320" t="n"/>
      <c r="B278" s="323" t="n"/>
      <c r="C278" s="320" t="n"/>
      <c r="D278" s="326" t="n"/>
      <c r="E278" s="324" t="n"/>
      <c r="F278" s="320" t="n"/>
      <c r="G278" s="327" t="n"/>
      <c r="H278" s="271" t="n"/>
      <c r="I278" s="275">
        <f>IF(COUNTA(A278:F278)=0,"",IF(OR(E278&lt;0,F278&lt;0,F278&gt;10),"ERRO: valores inválidos",IF(COUNTIFS($A$5:$A$1200,A278,$B$5:$B$1200,B278,$C$5:$C$1200,C278,$D$5:$D$1200,D278)&gt;1,"ERRO: chave duplicada","OK")))</f>
        <v/>
      </c>
    </row>
    <row r="279" ht="15" customHeight="1" s="131">
      <c r="A279" s="320" t="n"/>
      <c r="B279" s="323" t="n"/>
      <c r="C279" s="320" t="n"/>
      <c r="D279" s="326" t="n"/>
      <c r="E279" s="324" t="n"/>
      <c r="F279" s="320" t="n"/>
      <c r="G279" s="327" t="n"/>
      <c r="H279" s="271" t="n"/>
      <c r="I279" s="275">
        <f>IF(COUNTA(A279:F279)=0,"",IF(OR(E279&lt;0,F279&lt;0,F279&gt;10),"ERRO: valores inválidos",IF(COUNTIFS($A$5:$A$1200,A279,$B$5:$B$1200,B279,$C$5:$C$1200,C279,$D$5:$D$1200,D279)&gt;1,"ERRO: chave duplicada","OK")))</f>
        <v/>
      </c>
    </row>
    <row r="280" ht="15" customHeight="1" s="131">
      <c r="A280" s="320" t="n"/>
      <c r="B280" s="323" t="n"/>
      <c r="C280" s="320" t="n"/>
      <c r="D280" s="326" t="n"/>
      <c r="E280" s="324" t="n"/>
      <c r="F280" s="320" t="n"/>
      <c r="G280" s="327" t="n"/>
      <c r="H280" s="271" t="n"/>
      <c r="I280" s="275">
        <f>IF(COUNTA(A280:F280)=0,"",IF(OR(E280&lt;0,F280&lt;0,F280&gt;10),"ERRO: valores inválidos",IF(COUNTIFS($A$5:$A$1200,A280,$B$5:$B$1200,B280,$C$5:$C$1200,C280,$D$5:$D$1200,D280)&gt;1,"ERRO: chave duplicada","OK")))</f>
        <v/>
      </c>
    </row>
    <row r="281" ht="15" customHeight="1" s="131">
      <c r="A281" s="320" t="n"/>
      <c r="B281" s="323" t="n"/>
      <c r="C281" s="320" t="n"/>
      <c r="D281" s="326" t="n"/>
      <c r="E281" s="324" t="n"/>
      <c r="F281" s="320" t="n"/>
      <c r="G281" s="327" t="n"/>
      <c r="H281" s="271" t="n"/>
      <c r="I281" s="275">
        <f>IF(COUNTA(A281:F281)=0,"",IF(OR(E281&lt;0,F281&lt;0,F281&gt;10),"ERRO: valores inválidos",IF(COUNTIFS($A$5:$A$1200,A281,$B$5:$B$1200,B281,$C$5:$C$1200,C281,$D$5:$D$1200,D281)&gt;1,"ERRO: chave duplicada","OK")))</f>
        <v/>
      </c>
    </row>
    <row r="282" ht="15" customHeight="1" s="131">
      <c r="A282" s="320" t="n"/>
      <c r="B282" s="323" t="n"/>
      <c r="C282" s="320" t="n"/>
      <c r="D282" s="326" t="n"/>
      <c r="E282" s="324" t="n"/>
      <c r="F282" s="320" t="n"/>
      <c r="G282" s="327" t="n"/>
      <c r="H282" s="271" t="n"/>
      <c r="I282" s="275">
        <f>IF(COUNTA(A282:F282)=0,"",IF(OR(E282&lt;0,F282&lt;0,F282&gt;10),"ERRO: valores inválidos",IF(COUNTIFS($A$5:$A$1200,A282,$B$5:$B$1200,B282,$C$5:$C$1200,C282,$D$5:$D$1200,D282)&gt;1,"ERRO: chave duplicada","OK")))</f>
        <v/>
      </c>
    </row>
    <row r="283" ht="15" customHeight="1" s="131">
      <c r="A283" s="320" t="n"/>
      <c r="B283" s="323" t="n"/>
      <c r="C283" s="320" t="n"/>
      <c r="D283" s="326" t="n"/>
      <c r="E283" s="324" t="n"/>
      <c r="F283" s="320" t="n"/>
      <c r="G283" s="327" t="n"/>
      <c r="H283" s="271" t="n"/>
      <c r="I283" s="275">
        <f>IF(COUNTA(A283:F283)=0,"",IF(OR(E283&lt;0,F283&lt;0,F283&gt;10),"ERRO: valores inválidos",IF(COUNTIFS($A$5:$A$1200,A283,$B$5:$B$1200,B283,$C$5:$C$1200,C283,$D$5:$D$1200,D283)&gt;1,"ERRO: chave duplicada","OK")))</f>
        <v/>
      </c>
    </row>
    <row r="284" ht="15" customHeight="1" s="131">
      <c r="A284" s="320" t="n"/>
      <c r="B284" s="323" t="n"/>
      <c r="C284" s="320" t="n"/>
      <c r="D284" s="326" t="n"/>
      <c r="E284" s="324" t="n"/>
      <c r="F284" s="320" t="n"/>
      <c r="G284" s="327" t="n"/>
      <c r="H284" s="271" t="n"/>
      <c r="I284" s="275">
        <f>IF(COUNTA(A284:F284)=0,"",IF(OR(E284&lt;0,F284&lt;0,F284&gt;10),"ERRO: valores inválidos",IF(COUNTIFS($A$5:$A$1200,A284,$B$5:$B$1200,B284,$C$5:$C$1200,C284,$D$5:$D$1200,D284)&gt;1,"ERRO: chave duplicada","OK")))</f>
        <v/>
      </c>
    </row>
    <row r="285" ht="15" customHeight="1" s="131">
      <c r="A285" s="320" t="n"/>
      <c r="B285" s="323" t="n"/>
      <c r="C285" s="320" t="n"/>
      <c r="D285" s="326" t="n"/>
      <c r="E285" s="324" t="n"/>
      <c r="F285" s="320" t="n"/>
      <c r="G285" s="327" t="n"/>
      <c r="H285" s="271" t="n"/>
      <c r="I285" s="275">
        <f>IF(COUNTA(A285:F285)=0,"",IF(OR(E285&lt;0,F285&lt;0,F285&gt;10),"ERRO: valores inválidos",IF(COUNTIFS($A$5:$A$1200,A285,$B$5:$B$1200,B285,$C$5:$C$1200,C285,$D$5:$D$1200,D285)&gt;1,"ERRO: chave duplicada","OK")))</f>
        <v/>
      </c>
    </row>
    <row r="286" ht="15" customHeight="1" s="131">
      <c r="A286" s="320" t="n"/>
      <c r="B286" s="323" t="n"/>
      <c r="C286" s="320" t="n"/>
      <c r="D286" s="326" t="n"/>
      <c r="E286" s="324" t="n"/>
      <c r="F286" s="320" t="n"/>
      <c r="G286" s="327" t="n"/>
      <c r="H286" s="271" t="n"/>
      <c r="I286" s="275">
        <f>IF(COUNTA(A286:F286)=0,"",IF(OR(E286&lt;0,F286&lt;0,F286&gt;10),"ERRO: valores inválidos",IF(COUNTIFS($A$5:$A$1200,A286,$B$5:$B$1200,B286,$C$5:$C$1200,C286,$D$5:$D$1200,D286)&gt;1,"ERRO: chave duplicada","OK")))</f>
        <v/>
      </c>
    </row>
    <row r="287" ht="15" customHeight="1" s="131">
      <c r="A287" s="320" t="n"/>
      <c r="B287" s="323" t="n"/>
      <c r="C287" s="320" t="n"/>
      <c r="D287" s="326" t="n"/>
      <c r="E287" s="324" t="n"/>
      <c r="F287" s="320" t="n"/>
      <c r="G287" s="327" t="n"/>
      <c r="H287" s="271" t="n"/>
      <c r="I287" s="275">
        <f>IF(COUNTA(A287:F287)=0,"",IF(OR(E287&lt;0,F287&lt;0,F287&gt;10),"ERRO: valores inválidos",IF(COUNTIFS($A$5:$A$1200,A287,$B$5:$B$1200,B287,$C$5:$C$1200,C287,$D$5:$D$1200,D287)&gt;1,"ERRO: chave duplicada","OK")))</f>
        <v/>
      </c>
    </row>
    <row r="288" ht="15" customHeight="1" s="131">
      <c r="A288" s="320" t="n"/>
      <c r="B288" s="323" t="n"/>
      <c r="C288" s="320" t="n"/>
      <c r="D288" s="326" t="n"/>
      <c r="E288" s="324" t="n"/>
      <c r="F288" s="320" t="n"/>
      <c r="G288" s="327" t="n"/>
      <c r="H288" s="271" t="n"/>
      <c r="I288" s="275">
        <f>IF(COUNTA(A288:F288)=0,"",IF(OR(E288&lt;0,F288&lt;0,F288&gt;10),"ERRO: valores inválidos",IF(COUNTIFS($A$5:$A$1200,A288,$B$5:$B$1200,B288,$C$5:$C$1200,C288,$D$5:$D$1200,D288)&gt;1,"ERRO: chave duplicada","OK")))</f>
        <v/>
      </c>
    </row>
    <row r="289" ht="15" customHeight="1" s="131">
      <c r="A289" s="320" t="n"/>
      <c r="B289" s="323" t="n"/>
      <c r="C289" s="320" t="n"/>
      <c r="D289" s="326" t="n"/>
      <c r="E289" s="324" t="n"/>
      <c r="F289" s="320" t="n"/>
      <c r="G289" s="327" t="n"/>
      <c r="H289" s="271" t="n"/>
      <c r="I289" s="275">
        <f>IF(COUNTA(A289:F289)=0,"",IF(OR(E289&lt;0,F289&lt;0,F289&gt;10),"ERRO: valores inválidos",IF(COUNTIFS($A$5:$A$1200,A289,$B$5:$B$1200,B289,$C$5:$C$1200,C289,$D$5:$D$1200,D289)&gt;1,"ERRO: chave duplicada","OK")))</f>
        <v/>
      </c>
    </row>
    <row r="290" ht="15" customHeight="1" s="131">
      <c r="A290" s="320" t="n"/>
      <c r="B290" s="323" t="n"/>
      <c r="C290" s="320" t="n"/>
      <c r="D290" s="326" t="n"/>
      <c r="E290" s="324" t="n"/>
      <c r="F290" s="320" t="n"/>
      <c r="G290" s="327" t="n"/>
      <c r="H290" s="271" t="n"/>
      <c r="I290" s="275">
        <f>IF(COUNTA(A290:F290)=0,"",IF(OR(E290&lt;0,F290&lt;0,F290&gt;10),"ERRO: valores inválidos",IF(COUNTIFS($A$5:$A$1200,A290,$B$5:$B$1200,B290,$C$5:$C$1200,C290,$D$5:$D$1200,D290)&gt;1,"ERRO: chave duplicada","OK")))</f>
        <v/>
      </c>
    </row>
    <row r="291" ht="15" customHeight="1" s="131">
      <c r="A291" s="320" t="n"/>
      <c r="B291" s="323" t="n"/>
      <c r="C291" s="320" t="n"/>
      <c r="D291" s="326" t="n"/>
      <c r="E291" s="324" t="n"/>
      <c r="F291" s="320" t="n"/>
      <c r="G291" s="327" t="n"/>
      <c r="H291" s="271" t="n"/>
      <c r="I291" s="275">
        <f>IF(COUNTA(A291:F291)=0,"",IF(OR(E291&lt;0,F291&lt;0,F291&gt;10),"ERRO: valores inválidos",IF(COUNTIFS($A$5:$A$1200,A291,$B$5:$B$1200,B291,$C$5:$C$1200,C291,$D$5:$D$1200,D291)&gt;1,"ERRO: chave duplicada","OK")))</f>
        <v/>
      </c>
    </row>
    <row r="292" ht="15" customHeight="1" s="131">
      <c r="A292" s="320" t="n"/>
      <c r="B292" s="323" t="n"/>
      <c r="C292" s="320" t="n"/>
      <c r="D292" s="326" t="n"/>
      <c r="E292" s="324" t="n"/>
      <c r="F292" s="320" t="n"/>
      <c r="G292" s="327" t="n"/>
      <c r="H292" s="271" t="n"/>
      <c r="I292" s="275">
        <f>IF(COUNTA(A292:F292)=0,"",IF(OR(E292&lt;0,F292&lt;0,F292&gt;10),"ERRO: valores inválidos",IF(COUNTIFS($A$5:$A$1200,A292,$B$5:$B$1200,B292,$C$5:$C$1200,C292,$D$5:$D$1200,D292)&gt;1,"ERRO: chave duplicada","OK")))</f>
        <v/>
      </c>
    </row>
    <row r="293" ht="15" customHeight="1" s="131">
      <c r="A293" s="320" t="n"/>
      <c r="B293" s="323" t="n"/>
      <c r="C293" s="320" t="n"/>
      <c r="D293" s="326" t="n"/>
      <c r="E293" s="324" t="n"/>
      <c r="F293" s="320" t="n"/>
      <c r="G293" s="327" t="n"/>
      <c r="H293" s="271" t="n"/>
      <c r="I293" s="275">
        <f>IF(COUNTA(A293:F293)=0,"",IF(OR(E293&lt;0,F293&lt;0,F293&gt;10),"ERRO: valores inválidos",IF(COUNTIFS($A$5:$A$1200,A293,$B$5:$B$1200,B293,$C$5:$C$1200,C293,$D$5:$D$1200,D293)&gt;1,"ERRO: chave duplicada","OK")))</f>
        <v/>
      </c>
    </row>
    <row r="294" ht="15" customHeight="1" s="131">
      <c r="A294" s="320" t="n"/>
      <c r="B294" s="323" t="n"/>
      <c r="C294" s="320" t="n"/>
      <c r="D294" s="326" t="n"/>
      <c r="E294" s="324" t="n"/>
      <c r="F294" s="320" t="n"/>
      <c r="G294" s="327" t="n"/>
      <c r="H294" s="271" t="n"/>
      <c r="I294" s="275">
        <f>IF(COUNTA(A294:F294)=0,"",IF(OR(E294&lt;0,F294&lt;0,F294&gt;10),"ERRO: valores inválidos",IF(COUNTIFS($A$5:$A$1200,A294,$B$5:$B$1200,B294,$C$5:$C$1200,C294,$D$5:$D$1200,D294)&gt;1,"ERRO: chave duplicada","OK")))</f>
        <v/>
      </c>
    </row>
    <row r="295" ht="15" customHeight="1" s="131">
      <c r="A295" s="320" t="n"/>
      <c r="B295" s="323" t="n"/>
      <c r="C295" s="320" t="n"/>
      <c r="D295" s="326" t="n"/>
      <c r="E295" s="324" t="n"/>
      <c r="F295" s="320" t="n"/>
      <c r="G295" s="327" t="n"/>
      <c r="H295" s="271" t="n"/>
      <c r="I295" s="275">
        <f>IF(COUNTA(A295:F295)=0,"",IF(OR(E295&lt;0,F295&lt;0,F295&gt;10),"ERRO: valores inválidos",IF(COUNTIFS($A$5:$A$1200,A295,$B$5:$B$1200,B295,$C$5:$C$1200,C295,$D$5:$D$1200,D295)&gt;1,"ERRO: chave duplicada","OK")))</f>
        <v/>
      </c>
    </row>
    <row r="296" ht="15" customHeight="1" s="131">
      <c r="A296" s="320" t="n"/>
      <c r="B296" s="323" t="n"/>
      <c r="C296" s="320" t="n"/>
      <c r="D296" s="326" t="n"/>
      <c r="E296" s="324" t="n"/>
      <c r="F296" s="320" t="n"/>
      <c r="G296" s="327" t="n"/>
      <c r="H296" s="271" t="n"/>
      <c r="I296" s="275">
        <f>IF(COUNTA(A296:F296)=0,"",IF(OR(E296&lt;0,F296&lt;0,F296&gt;10),"ERRO: valores inválidos",IF(COUNTIFS($A$5:$A$1200,A296,$B$5:$B$1200,B296,$C$5:$C$1200,C296,$D$5:$D$1200,D296)&gt;1,"ERRO: chave duplicada","OK")))</f>
        <v/>
      </c>
    </row>
    <row r="297" ht="15" customHeight="1" s="131">
      <c r="A297" s="320" t="n"/>
      <c r="B297" s="323" t="n"/>
      <c r="C297" s="320" t="n"/>
      <c r="D297" s="326" t="n"/>
      <c r="E297" s="324" t="n"/>
      <c r="F297" s="320" t="n"/>
      <c r="G297" s="327" t="n"/>
      <c r="H297" s="271" t="n"/>
      <c r="I297" s="275">
        <f>IF(COUNTA(A297:F297)=0,"",IF(OR(E297&lt;0,F297&lt;0,F297&gt;10),"ERRO: valores inválidos",IF(COUNTIFS($A$5:$A$1200,A297,$B$5:$B$1200,B297,$C$5:$C$1200,C297,$D$5:$D$1200,D297)&gt;1,"ERRO: chave duplicada","OK")))</f>
        <v/>
      </c>
    </row>
    <row r="298" ht="15" customHeight="1" s="131">
      <c r="A298" s="320" t="n"/>
      <c r="B298" s="323" t="n"/>
      <c r="C298" s="320" t="n"/>
      <c r="D298" s="326" t="n"/>
      <c r="E298" s="324" t="n"/>
      <c r="F298" s="320" t="n"/>
      <c r="G298" s="327" t="n"/>
      <c r="H298" s="271" t="n"/>
      <c r="I298" s="275">
        <f>IF(COUNTA(A298:F298)=0,"",IF(OR(E298&lt;0,F298&lt;0,F298&gt;10),"ERRO: valores inválidos",IF(COUNTIFS($A$5:$A$1200,A298,$B$5:$B$1200,B298,$C$5:$C$1200,C298,$D$5:$D$1200,D298)&gt;1,"ERRO: chave duplicada","OK")))</f>
        <v/>
      </c>
    </row>
    <row r="299" ht="15" customHeight="1" s="131">
      <c r="A299" s="320" t="n"/>
      <c r="B299" s="323" t="n"/>
      <c r="C299" s="320" t="n"/>
      <c r="D299" s="326" t="n"/>
      <c r="E299" s="324" t="n"/>
      <c r="F299" s="320" t="n"/>
      <c r="G299" s="327" t="n"/>
      <c r="H299" s="271" t="n"/>
      <c r="I299" s="275">
        <f>IF(COUNTA(A299:F299)=0,"",IF(OR(E299&lt;0,F299&lt;0,F299&gt;10),"ERRO: valores inválidos",IF(COUNTIFS($A$5:$A$1200,A299,$B$5:$B$1200,B299,$C$5:$C$1200,C299,$D$5:$D$1200,D299)&gt;1,"ERRO: chave duplicada","OK")))</f>
        <v/>
      </c>
    </row>
    <row r="300" ht="15" customHeight="1" s="131">
      <c r="A300" s="320" t="n"/>
      <c r="B300" s="323" t="n"/>
      <c r="C300" s="320" t="n"/>
      <c r="D300" s="326" t="n"/>
      <c r="E300" s="324" t="n"/>
      <c r="F300" s="320" t="n"/>
      <c r="G300" s="327" t="n"/>
      <c r="H300" s="271" t="n"/>
      <c r="I300" s="275">
        <f>IF(COUNTA(A300:F300)=0,"",IF(OR(E300&lt;0,F300&lt;0,F300&gt;10),"ERRO: valores inválidos",IF(COUNTIFS($A$5:$A$1200,A300,$B$5:$B$1200,B300,$C$5:$C$1200,C300,$D$5:$D$1200,D300)&gt;1,"ERRO: chave duplicada","OK")))</f>
        <v/>
      </c>
    </row>
    <row r="301" ht="15" customHeight="1" s="131">
      <c r="A301" s="320" t="n"/>
      <c r="B301" s="323" t="n"/>
      <c r="C301" s="320" t="n"/>
      <c r="D301" s="326" t="n"/>
      <c r="E301" s="324" t="n"/>
      <c r="F301" s="320" t="n"/>
      <c r="G301" s="327" t="n"/>
      <c r="H301" s="271" t="n"/>
      <c r="I301" s="275">
        <f>IF(COUNTA(A301:F301)=0,"",IF(OR(E301&lt;0,F301&lt;0,F301&gt;10),"ERRO: valores inválidos",IF(COUNTIFS($A$5:$A$1200,A301,$B$5:$B$1200,B301,$C$5:$C$1200,C301,$D$5:$D$1200,D301)&gt;1,"ERRO: chave duplicada","OK")))</f>
        <v/>
      </c>
    </row>
    <row r="302" ht="15" customHeight="1" s="131">
      <c r="A302" s="320" t="n"/>
      <c r="B302" s="323" t="n"/>
      <c r="C302" s="320" t="n"/>
      <c r="D302" s="326" t="n"/>
      <c r="E302" s="324" t="n"/>
      <c r="F302" s="320" t="n"/>
      <c r="G302" s="327" t="n"/>
      <c r="H302" s="271" t="n"/>
      <c r="I302" s="275">
        <f>IF(COUNTA(A302:F302)=0,"",IF(OR(E302&lt;0,F302&lt;0,F302&gt;10),"ERRO: valores inválidos",IF(COUNTIFS($A$5:$A$1200,A302,$B$5:$B$1200,B302,$C$5:$C$1200,C302,$D$5:$D$1200,D302)&gt;1,"ERRO: chave duplicada","OK")))</f>
        <v/>
      </c>
    </row>
    <row r="303" ht="15" customHeight="1" s="131">
      <c r="A303" s="320" t="n"/>
      <c r="B303" s="323" t="n"/>
      <c r="C303" s="320" t="n"/>
      <c r="D303" s="326" t="n"/>
      <c r="E303" s="324" t="n"/>
      <c r="F303" s="320" t="n"/>
      <c r="G303" s="327" t="n"/>
      <c r="H303" s="271" t="n"/>
      <c r="I303" s="275">
        <f>IF(COUNTA(A303:F303)=0,"",IF(OR(E303&lt;0,F303&lt;0,F303&gt;10),"ERRO: valores inválidos",IF(COUNTIFS($A$5:$A$1200,A303,$B$5:$B$1200,B303,$C$5:$C$1200,C303,$D$5:$D$1200,D303)&gt;1,"ERRO: chave duplicada","OK")))</f>
        <v/>
      </c>
    </row>
    <row r="304" ht="15" customHeight="1" s="131">
      <c r="A304" s="320" t="n"/>
      <c r="B304" s="323" t="n"/>
      <c r="C304" s="320" t="n"/>
      <c r="D304" s="326" t="n"/>
      <c r="E304" s="324" t="n"/>
      <c r="F304" s="320" t="n"/>
      <c r="G304" s="327" t="n"/>
      <c r="H304" s="271" t="n"/>
      <c r="I304" s="275">
        <f>IF(COUNTA(A304:F304)=0,"",IF(OR(E304&lt;0,F304&lt;0,F304&gt;10),"ERRO: valores inválidos",IF(COUNTIFS($A$5:$A$1200,A304,$B$5:$B$1200,B304,$C$5:$C$1200,C304,$D$5:$D$1200,D304)&gt;1,"ERRO: chave duplicada","OK")))</f>
        <v/>
      </c>
    </row>
    <row r="305" ht="15" customHeight="1" s="131">
      <c r="A305" s="320" t="n"/>
      <c r="B305" s="323" t="n"/>
      <c r="C305" s="320" t="n"/>
      <c r="D305" s="326" t="n"/>
      <c r="E305" s="324" t="n"/>
      <c r="F305" s="320" t="n"/>
      <c r="G305" s="327" t="n"/>
      <c r="H305" s="271" t="n"/>
      <c r="I305" s="275">
        <f>IF(COUNTA(A305:F305)=0,"",IF(OR(E305&lt;0,F305&lt;0,F305&gt;10),"ERRO: valores inválidos",IF(COUNTIFS($A$5:$A$1200,A305,$B$5:$B$1200,B305,$C$5:$C$1200,C305,$D$5:$D$1200,D305)&gt;1,"ERRO: chave duplicada","OK")))</f>
        <v/>
      </c>
    </row>
    <row r="306" ht="15" customHeight="1" s="131">
      <c r="A306" s="320" t="n"/>
      <c r="B306" s="323" t="n"/>
      <c r="C306" s="320" t="n"/>
      <c r="D306" s="326" t="n"/>
      <c r="E306" s="324" t="n"/>
      <c r="F306" s="320" t="n"/>
      <c r="G306" s="327" t="n"/>
      <c r="H306" s="271" t="n"/>
      <c r="I306" s="275">
        <f>IF(COUNTA(A306:F306)=0,"",IF(OR(E306&lt;0,F306&lt;0,F306&gt;10),"ERRO: valores inválidos",IF(COUNTIFS($A$5:$A$1200,A306,$B$5:$B$1200,B306,$C$5:$C$1200,C306,$D$5:$D$1200,D306)&gt;1,"ERRO: chave duplicada","OK")))</f>
        <v/>
      </c>
    </row>
    <row r="307" ht="15" customHeight="1" s="131">
      <c r="A307" s="320" t="n"/>
      <c r="B307" s="323" t="n"/>
      <c r="C307" s="320" t="n"/>
      <c r="D307" s="326" t="n"/>
      <c r="E307" s="324" t="n"/>
      <c r="F307" s="320" t="n"/>
      <c r="G307" s="327" t="n"/>
      <c r="H307" s="271" t="n"/>
      <c r="I307" s="275">
        <f>IF(COUNTA(A307:F307)=0,"",IF(OR(E307&lt;0,F307&lt;0,F307&gt;10),"ERRO: valores inválidos",IF(COUNTIFS($A$5:$A$1200,A307,$B$5:$B$1200,B307,$C$5:$C$1200,C307,$D$5:$D$1200,D307)&gt;1,"ERRO: chave duplicada","OK")))</f>
        <v/>
      </c>
    </row>
    <row r="308" ht="15" customHeight="1" s="131">
      <c r="A308" s="320" t="n"/>
      <c r="B308" s="323" t="n"/>
      <c r="C308" s="320" t="n"/>
      <c r="D308" s="326" t="n"/>
      <c r="E308" s="324" t="n"/>
      <c r="F308" s="320" t="n"/>
      <c r="G308" s="327" t="n"/>
      <c r="H308" s="271" t="n"/>
      <c r="I308" s="275">
        <f>IF(COUNTA(A308:F308)=0,"",IF(OR(E308&lt;0,F308&lt;0,F308&gt;10),"ERRO: valores inválidos",IF(COUNTIFS($A$5:$A$1200,A308,$B$5:$B$1200,B308,$C$5:$C$1200,C308,$D$5:$D$1200,D308)&gt;1,"ERRO: chave duplicada","OK")))</f>
        <v/>
      </c>
    </row>
    <row r="309" ht="15" customHeight="1" s="131">
      <c r="A309" s="320" t="n"/>
      <c r="B309" s="323" t="n"/>
      <c r="C309" s="320" t="n"/>
      <c r="D309" s="326" t="n"/>
      <c r="E309" s="324" t="n"/>
      <c r="F309" s="320" t="n"/>
      <c r="G309" s="327" t="n"/>
      <c r="H309" s="271" t="n"/>
      <c r="I309" s="275">
        <f>IF(COUNTA(A309:F309)=0,"",IF(OR(E309&lt;0,F309&lt;0,F309&gt;10),"ERRO: valores inválidos",IF(COUNTIFS($A$5:$A$1200,A309,$B$5:$B$1200,B309,$C$5:$C$1200,C309,$D$5:$D$1200,D309)&gt;1,"ERRO: chave duplicada","OK")))</f>
        <v/>
      </c>
    </row>
    <row r="310" ht="15" customHeight="1" s="131">
      <c r="A310" s="320" t="n"/>
      <c r="B310" s="323" t="n"/>
      <c r="C310" s="320" t="n"/>
      <c r="D310" s="326" t="n"/>
      <c r="E310" s="324" t="n"/>
      <c r="F310" s="320" t="n"/>
      <c r="G310" s="327" t="n"/>
      <c r="H310" s="271" t="n"/>
      <c r="I310" s="275">
        <f>IF(COUNTA(A310:F310)=0,"",IF(OR(E310&lt;0,F310&lt;0,F310&gt;10),"ERRO: valores inválidos",IF(COUNTIFS($A$5:$A$1200,A310,$B$5:$B$1200,B310,$C$5:$C$1200,C310,$D$5:$D$1200,D310)&gt;1,"ERRO: chave duplicada","OK")))</f>
        <v/>
      </c>
    </row>
    <row r="311" ht="15" customHeight="1" s="131">
      <c r="A311" s="320" t="n"/>
      <c r="B311" s="323" t="n"/>
      <c r="C311" s="320" t="n"/>
      <c r="D311" s="326" t="n"/>
      <c r="E311" s="324" t="n"/>
      <c r="F311" s="320" t="n"/>
      <c r="G311" s="327" t="n"/>
      <c r="H311" s="271" t="n"/>
      <c r="I311" s="275">
        <f>IF(COUNTA(A311:F311)=0,"",IF(OR(E311&lt;0,F311&lt;0,F311&gt;10),"ERRO: valores inválidos",IF(COUNTIFS($A$5:$A$1200,A311,$B$5:$B$1200,B311,$C$5:$C$1200,C311,$D$5:$D$1200,D311)&gt;1,"ERRO: chave duplicada","OK")))</f>
        <v/>
      </c>
    </row>
    <row r="312" ht="15" customHeight="1" s="131">
      <c r="A312" s="320" t="n"/>
      <c r="B312" s="323" t="n"/>
      <c r="C312" s="320" t="n"/>
      <c r="D312" s="326" t="n"/>
      <c r="E312" s="324" t="n"/>
      <c r="F312" s="320" t="n"/>
      <c r="G312" s="327" t="n"/>
      <c r="H312" s="271" t="n"/>
      <c r="I312" s="275">
        <f>IF(COUNTA(A312:F312)=0,"",IF(OR(E312&lt;0,F312&lt;0,F312&gt;10),"ERRO: valores inválidos",IF(COUNTIFS($A$5:$A$1200,A312,$B$5:$B$1200,B312,$C$5:$C$1200,C312,$D$5:$D$1200,D312)&gt;1,"ERRO: chave duplicada","OK")))</f>
        <v/>
      </c>
    </row>
    <row r="313" ht="15" customHeight="1" s="131">
      <c r="A313" s="320" t="n"/>
      <c r="B313" s="323" t="n"/>
      <c r="C313" s="320" t="n"/>
      <c r="D313" s="326" t="n"/>
      <c r="E313" s="324" t="n"/>
      <c r="F313" s="320" t="n"/>
      <c r="G313" s="327" t="n"/>
      <c r="H313" s="271" t="n"/>
      <c r="I313" s="275">
        <f>IF(COUNTA(A313:F313)=0,"",IF(OR(E313&lt;0,F313&lt;0,F313&gt;10),"ERRO: valores inválidos",IF(COUNTIFS($A$5:$A$1200,A313,$B$5:$B$1200,B313,$C$5:$C$1200,C313,$D$5:$D$1200,D313)&gt;1,"ERRO: chave duplicada","OK")))</f>
        <v/>
      </c>
    </row>
    <row r="314" ht="15" customHeight="1" s="131">
      <c r="A314" s="320" t="n"/>
      <c r="B314" s="323" t="n"/>
      <c r="C314" s="320" t="n"/>
      <c r="D314" s="326" t="n"/>
      <c r="E314" s="324" t="n"/>
      <c r="F314" s="320" t="n"/>
      <c r="G314" s="327" t="n"/>
      <c r="H314" s="271" t="n"/>
      <c r="I314" s="275">
        <f>IF(COUNTA(A314:F314)=0,"",IF(OR(E314&lt;0,F314&lt;0,F314&gt;10),"ERRO: valores inválidos",IF(COUNTIFS($A$5:$A$1200,A314,$B$5:$B$1200,B314,$C$5:$C$1200,C314,$D$5:$D$1200,D314)&gt;1,"ERRO: chave duplicada","OK")))</f>
        <v/>
      </c>
    </row>
    <row r="315" ht="15" customHeight="1" s="131">
      <c r="A315" s="320" t="n"/>
      <c r="B315" s="323" t="n"/>
      <c r="C315" s="320" t="n"/>
      <c r="D315" s="326" t="n"/>
      <c r="E315" s="324" t="n"/>
      <c r="F315" s="320" t="n"/>
      <c r="G315" s="327" t="n"/>
      <c r="H315" s="271" t="n"/>
      <c r="I315" s="275">
        <f>IF(COUNTA(A315:F315)=0,"",IF(OR(E315&lt;0,F315&lt;0,F315&gt;10),"ERRO: valores inválidos",IF(COUNTIFS($A$5:$A$1200,A315,$B$5:$B$1200,B315,$C$5:$C$1200,C315,$D$5:$D$1200,D315)&gt;1,"ERRO: chave duplicada","OK")))</f>
        <v/>
      </c>
    </row>
    <row r="316" ht="15" customHeight="1" s="131">
      <c r="A316" s="320" t="n"/>
      <c r="B316" s="323" t="n"/>
      <c r="C316" s="320" t="n"/>
      <c r="D316" s="326" t="n"/>
      <c r="E316" s="324" t="n"/>
      <c r="F316" s="320" t="n"/>
      <c r="G316" s="327" t="n"/>
      <c r="H316" s="271" t="n"/>
      <c r="I316" s="275">
        <f>IF(COUNTA(A316:F316)=0,"",IF(OR(E316&lt;0,F316&lt;0,F316&gt;10),"ERRO: valores inválidos",IF(COUNTIFS($A$5:$A$1200,A316,$B$5:$B$1200,B316,$C$5:$C$1200,C316,$D$5:$D$1200,D316)&gt;1,"ERRO: chave duplicada","OK")))</f>
        <v/>
      </c>
    </row>
    <row r="317" ht="15" customHeight="1" s="131">
      <c r="A317" s="320" t="n"/>
      <c r="B317" s="323" t="n"/>
      <c r="C317" s="320" t="n"/>
      <c r="D317" s="326" t="n"/>
      <c r="E317" s="324" t="n"/>
      <c r="F317" s="320" t="n"/>
      <c r="G317" s="327" t="n"/>
      <c r="H317" s="271" t="n"/>
      <c r="I317" s="275">
        <f>IF(COUNTA(A317:F317)=0,"",IF(OR(E317&lt;0,F317&lt;0,F317&gt;10),"ERRO: valores inválidos",IF(COUNTIFS($A$5:$A$1200,A317,$B$5:$B$1200,B317,$C$5:$C$1200,C317,$D$5:$D$1200,D317)&gt;1,"ERRO: chave duplicada","OK")))</f>
        <v/>
      </c>
    </row>
    <row r="318" ht="15" customHeight="1" s="131">
      <c r="A318" s="320" t="n"/>
      <c r="B318" s="323" t="n"/>
      <c r="C318" s="320" t="n"/>
      <c r="D318" s="326" t="n"/>
      <c r="E318" s="324" t="n"/>
      <c r="F318" s="320" t="n"/>
      <c r="G318" s="327" t="n"/>
      <c r="H318" s="271" t="n"/>
      <c r="I318" s="275">
        <f>IF(COUNTA(A318:F318)=0,"",IF(OR(E318&lt;0,F318&lt;0,F318&gt;10),"ERRO: valores inválidos",IF(COUNTIFS($A$5:$A$1200,A318,$B$5:$B$1200,B318,$C$5:$C$1200,C318,$D$5:$D$1200,D318)&gt;1,"ERRO: chave duplicada","OK")))</f>
        <v/>
      </c>
    </row>
    <row r="319" ht="15" customHeight="1" s="131">
      <c r="A319" s="320" t="n"/>
      <c r="B319" s="323" t="n"/>
      <c r="C319" s="320" t="n"/>
      <c r="D319" s="326" t="n"/>
      <c r="E319" s="324" t="n"/>
      <c r="F319" s="320" t="n"/>
      <c r="G319" s="327" t="n"/>
      <c r="H319" s="271" t="n"/>
      <c r="I319" s="275">
        <f>IF(COUNTA(A319:F319)=0,"",IF(OR(E319&lt;0,F319&lt;0,F319&gt;10),"ERRO: valores inválidos",IF(COUNTIFS($A$5:$A$1200,A319,$B$5:$B$1200,B319,$C$5:$C$1200,C319,$D$5:$D$1200,D319)&gt;1,"ERRO: chave duplicada","OK")))</f>
        <v/>
      </c>
    </row>
    <row r="320" ht="15" customHeight="1" s="131">
      <c r="A320" s="320" t="n"/>
      <c r="B320" s="323" t="n"/>
      <c r="C320" s="320" t="n"/>
      <c r="D320" s="326" t="n"/>
      <c r="E320" s="324" t="n"/>
      <c r="F320" s="320" t="n"/>
      <c r="G320" s="327" t="n"/>
      <c r="H320" s="271" t="n"/>
      <c r="I320" s="275">
        <f>IF(COUNTA(A320:F320)=0,"",IF(OR(E320&lt;0,F320&lt;0,F320&gt;10),"ERRO: valores inválidos",IF(COUNTIFS($A$5:$A$1200,A320,$B$5:$B$1200,B320,$C$5:$C$1200,C320,$D$5:$D$1200,D320)&gt;1,"ERRO: chave duplicada","OK")))</f>
        <v/>
      </c>
    </row>
    <row r="321" ht="15" customHeight="1" s="131">
      <c r="A321" s="320" t="n"/>
      <c r="B321" s="323" t="n"/>
      <c r="C321" s="320" t="n"/>
      <c r="D321" s="326" t="n"/>
      <c r="E321" s="324" t="n"/>
      <c r="F321" s="320" t="n"/>
      <c r="G321" s="327" t="n"/>
      <c r="H321" s="271" t="n"/>
      <c r="I321" s="275">
        <f>IF(COUNTA(A321:F321)=0,"",IF(OR(E321&lt;0,F321&lt;0,F321&gt;10),"ERRO: valores inválidos",IF(COUNTIFS($A$5:$A$1200,A321,$B$5:$B$1200,B321,$C$5:$C$1200,C321,$D$5:$D$1200,D321)&gt;1,"ERRO: chave duplicada","OK")))</f>
        <v/>
      </c>
    </row>
    <row r="322" ht="15" customHeight="1" s="131">
      <c r="A322" s="320" t="n"/>
      <c r="B322" s="323" t="n"/>
      <c r="C322" s="320" t="n"/>
      <c r="D322" s="326" t="n"/>
      <c r="E322" s="324" t="n"/>
      <c r="F322" s="320" t="n"/>
      <c r="G322" s="327" t="n"/>
      <c r="H322" s="271" t="n"/>
      <c r="I322" s="275">
        <f>IF(COUNTA(A322:F322)=0,"",IF(OR(E322&lt;0,F322&lt;0,F322&gt;10),"ERRO: valores inválidos",IF(COUNTIFS($A$5:$A$1200,A322,$B$5:$B$1200,B322,$C$5:$C$1200,C322,$D$5:$D$1200,D322)&gt;1,"ERRO: chave duplicada","OK")))</f>
        <v/>
      </c>
    </row>
    <row r="323" ht="15" customHeight="1" s="131">
      <c r="A323" s="320" t="n"/>
      <c r="B323" s="323" t="n"/>
      <c r="C323" s="320" t="n"/>
      <c r="D323" s="326" t="n"/>
      <c r="E323" s="324" t="n"/>
      <c r="F323" s="320" t="n"/>
      <c r="G323" s="327" t="n"/>
      <c r="H323" s="271" t="n"/>
      <c r="I323" s="275">
        <f>IF(COUNTA(A323:F323)=0,"",IF(OR(E323&lt;0,F323&lt;0,F323&gt;10),"ERRO: valores inválidos",IF(COUNTIFS($A$5:$A$1200,A323,$B$5:$B$1200,B323,$C$5:$C$1200,C323,$D$5:$D$1200,D323)&gt;1,"ERRO: chave duplicada","OK")))</f>
        <v/>
      </c>
    </row>
    <row r="324" ht="15" customHeight="1" s="131">
      <c r="A324" s="320" t="n"/>
      <c r="B324" s="323" t="n"/>
      <c r="C324" s="320" t="n"/>
      <c r="D324" s="326" t="n"/>
      <c r="E324" s="324" t="n"/>
      <c r="F324" s="320" t="n"/>
      <c r="G324" s="327" t="n"/>
      <c r="H324" s="271" t="n"/>
      <c r="I324" s="275">
        <f>IF(COUNTA(A324:F324)=0,"",IF(OR(E324&lt;0,F324&lt;0,F324&gt;10),"ERRO: valores inválidos",IF(COUNTIFS($A$5:$A$1200,A324,$B$5:$B$1200,B324,$C$5:$C$1200,C324,$D$5:$D$1200,D324)&gt;1,"ERRO: chave duplicada","OK")))</f>
        <v/>
      </c>
    </row>
    <row r="325" ht="15" customHeight="1" s="131">
      <c r="A325" s="320" t="n"/>
      <c r="B325" s="323" t="n"/>
      <c r="C325" s="320" t="n"/>
      <c r="D325" s="326" t="n"/>
      <c r="E325" s="324" t="n"/>
      <c r="F325" s="320" t="n"/>
      <c r="G325" s="327" t="n"/>
      <c r="H325" s="271" t="n"/>
      <c r="I325" s="275">
        <f>IF(COUNTA(A325:F325)=0,"",IF(OR(E325&lt;0,F325&lt;0,F325&gt;10),"ERRO: valores inválidos",IF(COUNTIFS($A$5:$A$1200,A325,$B$5:$B$1200,B325,$C$5:$C$1200,C325,$D$5:$D$1200,D325)&gt;1,"ERRO: chave duplicada","OK")))</f>
        <v/>
      </c>
    </row>
    <row r="326" ht="15" customHeight="1" s="131">
      <c r="A326" s="320" t="n"/>
      <c r="B326" s="323" t="n"/>
      <c r="C326" s="320" t="n"/>
      <c r="D326" s="326" t="n"/>
      <c r="E326" s="324" t="n"/>
      <c r="F326" s="320" t="n"/>
      <c r="G326" s="327" t="n"/>
      <c r="H326" s="271" t="n"/>
      <c r="I326" s="275">
        <f>IF(COUNTA(A326:F326)=0,"",IF(OR(E326&lt;0,F326&lt;0,F326&gt;10),"ERRO: valores inválidos",IF(COUNTIFS($A$5:$A$1200,A326,$B$5:$B$1200,B326,$C$5:$C$1200,C326,$D$5:$D$1200,D326)&gt;1,"ERRO: chave duplicada","OK")))</f>
        <v/>
      </c>
    </row>
    <row r="327" ht="15" customHeight="1" s="131">
      <c r="A327" s="320" t="n"/>
      <c r="B327" s="323" t="n"/>
      <c r="C327" s="320" t="n"/>
      <c r="D327" s="326" t="n"/>
      <c r="E327" s="324" t="n"/>
      <c r="F327" s="320" t="n"/>
      <c r="G327" s="327" t="n"/>
      <c r="H327" s="271" t="n"/>
      <c r="I327" s="275">
        <f>IF(COUNTA(A327:F327)=0,"",IF(OR(E327&lt;0,F327&lt;0,F327&gt;10),"ERRO: valores inválidos",IF(COUNTIFS($A$5:$A$1200,A327,$B$5:$B$1200,B327,$C$5:$C$1200,C327,$D$5:$D$1200,D327)&gt;1,"ERRO: chave duplicada","OK")))</f>
        <v/>
      </c>
    </row>
    <row r="328" ht="15" customHeight="1" s="131">
      <c r="A328" s="320" t="n"/>
      <c r="B328" s="323" t="n"/>
      <c r="C328" s="320" t="n"/>
      <c r="D328" s="326" t="n"/>
      <c r="E328" s="324" t="n"/>
      <c r="F328" s="320" t="n"/>
      <c r="G328" s="327" t="n"/>
      <c r="H328" s="271" t="n"/>
      <c r="I328" s="275">
        <f>IF(COUNTA(A328:F328)=0,"",IF(OR(E328&lt;0,F328&lt;0,F328&gt;10),"ERRO: valores inválidos",IF(COUNTIFS($A$5:$A$1200,A328,$B$5:$B$1200,B328,$C$5:$C$1200,C328,$D$5:$D$1200,D328)&gt;1,"ERRO: chave duplicada","OK")))</f>
        <v/>
      </c>
    </row>
    <row r="329" ht="15" customHeight="1" s="131">
      <c r="A329" s="320" t="n"/>
      <c r="B329" s="323" t="n"/>
      <c r="C329" s="320" t="n"/>
      <c r="D329" s="326" t="n"/>
      <c r="E329" s="324" t="n"/>
      <c r="F329" s="320" t="n"/>
      <c r="G329" s="327" t="n"/>
      <c r="H329" s="271" t="n"/>
      <c r="I329" s="275">
        <f>IF(COUNTA(A329:F329)=0,"",IF(OR(E329&lt;0,F329&lt;0,F329&gt;10),"ERRO: valores inválidos",IF(COUNTIFS($A$5:$A$1200,A329,$B$5:$B$1200,B329,$C$5:$C$1200,C329,$D$5:$D$1200,D329)&gt;1,"ERRO: chave duplicada","OK")))</f>
        <v/>
      </c>
    </row>
    <row r="330" ht="15" customHeight="1" s="131">
      <c r="A330" s="320" t="n"/>
      <c r="B330" s="323" t="n"/>
      <c r="C330" s="320" t="n"/>
      <c r="D330" s="326" t="n"/>
      <c r="E330" s="324" t="n"/>
      <c r="F330" s="320" t="n"/>
      <c r="G330" s="327" t="n"/>
      <c r="H330" s="271" t="n"/>
      <c r="I330" s="275">
        <f>IF(COUNTA(A330:F330)=0,"",IF(OR(E330&lt;0,F330&lt;0,F330&gt;10),"ERRO: valores inválidos",IF(COUNTIFS($A$5:$A$1200,A330,$B$5:$B$1200,B330,$C$5:$C$1200,C330,$D$5:$D$1200,D330)&gt;1,"ERRO: chave duplicada","OK")))</f>
        <v/>
      </c>
    </row>
    <row r="331" ht="15" customHeight="1" s="131">
      <c r="A331" s="320" t="n"/>
      <c r="B331" s="323" t="n"/>
      <c r="C331" s="320" t="n"/>
      <c r="D331" s="326" t="n"/>
      <c r="E331" s="324" t="n"/>
      <c r="F331" s="320" t="n"/>
      <c r="G331" s="327" t="n"/>
      <c r="H331" s="271" t="n"/>
      <c r="I331" s="275">
        <f>IF(COUNTA(A331:F331)=0,"",IF(OR(E331&lt;0,F331&lt;0,F331&gt;10),"ERRO: valores inválidos",IF(COUNTIFS($A$5:$A$1200,A331,$B$5:$B$1200,B331,$C$5:$C$1200,C331,$D$5:$D$1200,D331)&gt;1,"ERRO: chave duplicada","OK")))</f>
        <v/>
      </c>
    </row>
    <row r="332" ht="15" customHeight="1" s="131">
      <c r="A332" s="320" t="n"/>
      <c r="B332" s="323" t="n"/>
      <c r="C332" s="320" t="n"/>
      <c r="D332" s="326" t="n"/>
      <c r="E332" s="324" t="n"/>
      <c r="F332" s="320" t="n"/>
      <c r="G332" s="327" t="n"/>
      <c r="H332" s="271" t="n"/>
      <c r="I332" s="275">
        <f>IF(COUNTA(A332:F332)=0,"",IF(OR(E332&lt;0,F332&lt;0,F332&gt;10),"ERRO: valores inválidos",IF(COUNTIFS($A$5:$A$1200,A332,$B$5:$B$1200,B332,$C$5:$C$1200,C332,$D$5:$D$1200,D332)&gt;1,"ERRO: chave duplicada","OK")))</f>
        <v/>
      </c>
    </row>
    <row r="333" ht="15" customHeight="1" s="131">
      <c r="A333" s="320" t="n"/>
      <c r="B333" s="323" t="n"/>
      <c r="C333" s="320" t="n"/>
      <c r="D333" s="326" t="n"/>
      <c r="E333" s="324" t="n"/>
      <c r="F333" s="320" t="n"/>
      <c r="G333" s="327" t="n"/>
      <c r="H333" s="271" t="n"/>
      <c r="I333" s="275">
        <f>IF(COUNTA(A333:F333)=0,"",IF(OR(E333&lt;0,F333&lt;0,F333&gt;10),"ERRO: valores inválidos",IF(COUNTIFS($A$5:$A$1200,A333,$B$5:$B$1200,B333,$C$5:$C$1200,C333,$D$5:$D$1200,D333)&gt;1,"ERRO: chave duplicada","OK")))</f>
        <v/>
      </c>
    </row>
    <row r="334" ht="15" customHeight="1" s="131">
      <c r="A334" s="320" t="n"/>
      <c r="B334" s="323" t="n"/>
      <c r="C334" s="320" t="n"/>
      <c r="D334" s="326" t="n"/>
      <c r="E334" s="324" t="n"/>
      <c r="F334" s="320" t="n"/>
      <c r="G334" s="327" t="n"/>
      <c r="H334" s="271" t="n"/>
      <c r="I334" s="275">
        <f>IF(COUNTA(A334:F334)=0,"",IF(OR(E334&lt;0,F334&lt;0,F334&gt;10),"ERRO: valores inválidos",IF(COUNTIFS($A$5:$A$1200,A334,$B$5:$B$1200,B334,$C$5:$C$1200,C334,$D$5:$D$1200,D334)&gt;1,"ERRO: chave duplicada","OK")))</f>
        <v/>
      </c>
    </row>
    <row r="335" ht="15" customHeight="1" s="131">
      <c r="A335" s="320" t="n"/>
      <c r="B335" s="323" t="n"/>
      <c r="C335" s="320" t="n"/>
      <c r="D335" s="326" t="n"/>
      <c r="E335" s="324" t="n"/>
      <c r="F335" s="320" t="n"/>
      <c r="G335" s="327" t="n"/>
      <c r="H335" s="271" t="n"/>
      <c r="I335" s="275">
        <f>IF(COUNTA(A335:F335)=0,"",IF(OR(E335&lt;0,F335&lt;0,F335&gt;10),"ERRO: valores inválidos",IF(COUNTIFS($A$5:$A$1200,A335,$B$5:$B$1200,B335,$C$5:$C$1200,C335,$D$5:$D$1200,D335)&gt;1,"ERRO: chave duplicada","OK")))</f>
        <v/>
      </c>
    </row>
    <row r="336" ht="15" customHeight="1" s="131">
      <c r="A336" s="320" t="n"/>
      <c r="B336" s="323" t="n"/>
      <c r="C336" s="320" t="n"/>
      <c r="D336" s="326" t="n"/>
      <c r="E336" s="324" t="n"/>
      <c r="F336" s="320" t="n"/>
      <c r="G336" s="327" t="n"/>
      <c r="H336" s="271" t="n"/>
      <c r="I336" s="275">
        <f>IF(COUNTA(A336:F336)=0,"",IF(OR(E336&lt;0,F336&lt;0,F336&gt;10),"ERRO: valores inválidos",IF(COUNTIFS($A$5:$A$1200,A336,$B$5:$B$1200,B336,$C$5:$C$1200,C336,$D$5:$D$1200,D336)&gt;1,"ERRO: chave duplicada","OK")))</f>
        <v/>
      </c>
    </row>
    <row r="337" ht="15" customHeight="1" s="131">
      <c r="A337" s="320" t="n"/>
      <c r="B337" s="323" t="n"/>
      <c r="C337" s="320" t="n"/>
      <c r="D337" s="326" t="n"/>
      <c r="E337" s="324" t="n"/>
      <c r="F337" s="320" t="n"/>
      <c r="G337" s="327" t="n"/>
      <c r="H337" s="271" t="n"/>
      <c r="I337" s="275">
        <f>IF(COUNTA(A337:F337)=0,"",IF(OR(E337&lt;0,F337&lt;0,F337&gt;10),"ERRO: valores inválidos",IF(COUNTIFS($A$5:$A$1200,A337,$B$5:$B$1200,B337,$C$5:$C$1200,C337,$D$5:$D$1200,D337)&gt;1,"ERRO: chave duplicada","OK")))</f>
        <v/>
      </c>
    </row>
    <row r="338" ht="15" customHeight="1" s="131">
      <c r="A338" s="320" t="n"/>
      <c r="B338" s="323" t="n"/>
      <c r="C338" s="320" t="n"/>
      <c r="D338" s="326" t="n"/>
      <c r="E338" s="324" t="n"/>
      <c r="F338" s="320" t="n"/>
      <c r="G338" s="327" t="n"/>
      <c r="H338" s="271" t="n"/>
      <c r="I338" s="275">
        <f>IF(COUNTA(A338:F338)=0,"",IF(OR(E338&lt;0,F338&lt;0,F338&gt;10),"ERRO: valores inválidos",IF(COUNTIFS($A$5:$A$1200,A338,$B$5:$B$1200,B338,$C$5:$C$1200,C338,$D$5:$D$1200,D338)&gt;1,"ERRO: chave duplicada","OK")))</f>
        <v/>
      </c>
    </row>
    <row r="339" ht="15" customHeight="1" s="131">
      <c r="A339" s="320" t="n"/>
      <c r="B339" s="323" t="n"/>
      <c r="C339" s="320" t="n"/>
      <c r="D339" s="326" t="n"/>
      <c r="E339" s="324" t="n"/>
      <c r="F339" s="320" t="n"/>
      <c r="G339" s="327" t="n"/>
      <c r="H339" s="271" t="n"/>
      <c r="I339" s="275">
        <f>IF(COUNTA(A339:F339)=0,"",IF(OR(E339&lt;0,F339&lt;0,F339&gt;10),"ERRO: valores inválidos",IF(COUNTIFS($A$5:$A$1200,A339,$B$5:$B$1200,B339,$C$5:$C$1200,C339,$D$5:$D$1200,D339)&gt;1,"ERRO: chave duplicada","OK")))</f>
        <v/>
      </c>
    </row>
    <row r="340" ht="15" customHeight="1" s="131">
      <c r="A340" s="320" t="n"/>
      <c r="B340" s="323" t="n"/>
      <c r="C340" s="320" t="n"/>
      <c r="D340" s="326" t="n"/>
      <c r="E340" s="324" t="n"/>
      <c r="F340" s="320" t="n"/>
      <c r="G340" s="327" t="n"/>
      <c r="H340" s="271" t="n"/>
      <c r="I340" s="275">
        <f>IF(COUNTA(A340:F340)=0,"",IF(OR(E340&lt;0,F340&lt;0,F340&gt;10),"ERRO: valores inválidos",IF(COUNTIFS($A$5:$A$1200,A340,$B$5:$B$1200,B340,$C$5:$C$1200,C340,$D$5:$D$1200,D340)&gt;1,"ERRO: chave duplicada","OK")))</f>
        <v/>
      </c>
    </row>
    <row r="341" ht="15" customHeight="1" s="131">
      <c r="A341" s="320" t="n"/>
      <c r="B341" s="323" t="n"/>
      <c r="C341" s="320" t="n"/>
      <c r="D341" s="326" t="n"/>
      <c r="E341" s="324" t="n"/>
      <c r="F341" s="320" t="n"/>
      <c r="G341" s="327" t="n"/>
      <c r="H341" s="271" t="n"/>
      <c r="I341" s="275">
        <f>IF(COUNTA(A341:F341)=0,"",IF(OR(E341&lt;0,F341&lt;0,F341&gt;10),"ERRO: valores inválidos",IF(COUNTIFS($A$5:$A$1200,A341,$B$5:$B$1200,B341,$C$5:$C$1200,C341,$D$5:$D$1200,D341)&gt;1,"ERRO: chave duplicada","OK")))</f>
        <v/>
      </c>
    </row>
    <row r="342" ht="15" customHeight="1" s="131">
      <c r="A342" s="320" t="n"/>
      <c r="B342" s="323" t="n"/>
      <c r="C342" s="320" t="n"/>
      <c r="D342" s="326" t="n"/>
      <c r="E342" s="324" t="n"/>
      <c r="F342" s="320" t="n"/>
      <c r="G342" s="327" t="n"/>
      <c r="H342" s="271" t="n"/>
      <c r="I342" s="275">
        <f>IF(COUNTA(A342:F342)=0,"",IF(OR(E342&lt;0,F342&lt;0,F342&gt;10),"ERRO: valores inválidos",IF(COUNTIFS($A$5:$A$1200,A342,$B$5:$B$1200,B342,$C$5:$C$1200,C342,$D$5:$D$1200,D342)&gt;1,"ERRO: chave duplicada","OK")))</f>
        <v/>
      </c>
    </row>
    <row r="343" ht="15" customHeight="1" s="131">
      <c r="A343" s="320" t="n"/>
      <c r="B343" s="323" t="n"/>
      <c r="C343" s="320" t="n"/>
      <c r="D343" s="326" t="n"/>
      <c r="E343" s="324" t="n"/>
      <c r="F343" s="320" t="n"/>
      <c r="G343" s="327" t="n"/>
      <c r="H343" s="271" t="n"/>
      <c r="I343" s="275">
        <f>IF(COUNTA(A343:F343)=0,"",IF(OR(E343&lt;0,F343&lt;0,F343&gt;10),"ERRO: valores inválidos",IF(COUNTIFS($A$5:$A$1200,A343,$B$5:$B$1200,B343,$C$5:$C$1200,C343,$D$5:$D$1200,D343)&gt;1,"ERRO: chave duplicada","OK")))</f>
        <v/>
      </c>
    </row>
    <row r="344" ht="15" customHeight="1" s="131">
      <c r="A344" s="320" t="n"/>
      <c r="B344" s="323" t="n"/>
      <c r="C344" s="320" t="n"/>
      <c r="D344" s="326" t="n"/>
      <c r="E344" s="324" t="n"/>
      <c r="F344" s="320" t="n"/>
      <c r="G344" s="327" t="n"/>
      <c r="H344" s="271" t="n"/>
      <c r="I344" s="275">
        <f>IF(COUNTA(A344:F344)=0,"",IF(OR(E344&lt;0,F344&lt;0,F344&gt;10),"ERRO: valores inválidos",IF(COUNTIFS($A$5:$A$1200,A344,$B$5:$B$1200,B344,$C$5:$C$1200,C344,$D$5:$D$1200,D344)&gt;1,"ERRO: chave duplicada","OK")))</f>
        <v/>
      </c>
    </row>
    <row r="345" ht="15" customHeight="1" s="131">
      <c r="A345" s="320" t="n"/>
      <c r="B345" s="323" t="n"/>
      <c r="C345" s="320" t="n"/>
      <c r="D345" s="326" t="n"/>
      <c r="E345" s="324" t="n"/>
      <c r="F345" s="320" t="n"/>
      <c r="G345" s="327" t="n"/>
      <c r="H345" s="271" t="n"/>
      <c r="I345" s="275">
        <f>IF(COUNTA(A345:F345)=0,"",IF(OR(E345&lt;0,F345&lt;0,F345&gt;10),"ERRO: valores inválidos",IF(COUNTIFS($A$5:$A$1200,A345,$B$5:$B$1200,B345,$C$5:$C$1200,C345,$D$5:$D$1200,D345)&gt;1,"ERRO: chave duplicada","OK")))</f>
        <v/>
      </c>
    </row>
    <row r="346" ht="15" customHeight="1" s="131">
      <c r="A346" s="320" t="n"/>
      <c r="B346" s="323" t="n"/>
      <c r="C346" s="320" t="n"/>
      <c r="D346" s="326" t="n"/>
      <c r="E346" s="324" t="n"/>
      <c r="F346" s="320" t="n"/>
      <c r="G346" s="327" t="n"/>
      <c r="H346" s="271" t="n"/>
      <c r="I346" s="275">
        <f>IF(COUNTA(A346:F346)=0,"",IF(OR(E346&lt;0,F346&lt;0,F346&gt;10),"ERRO: valores inválidos",IF(COUNTIFS($A$5:$A$1200,A346,$B$5:$B$1200,B346,$C$5:$C$1200,C346,$D$5:$D$1200,D346)&gt;1,"ERRO: chave duplicada","OK")))</f>
        <v/>
      </c>
    </row>
    <row r="347" ht="15" customHeight="1" s="131">
      <c r="A347" s="320" t="n"/>
      <c r="B347" s="323" t="n"/>
      <c r="C347" s="320" t="n"/>
      <c r="D347" s="326" t="n"/>
      <c r="E347" s="324" t="n"/>
      <c r="F347" s="320" t="n"/>
      <c r="G347" s="327" t="n"/>
      <c r="H347" s="271" t="n"/>
      <c r="I347" s="275">
        <f>IF(COUNTA(A347:F347)=0,"",IF(OR(E347&lt;0,F347&lt;0,F347&gt;10),"ERRO: valores inválidos",IF(COUNTIFS($A$5:$A$1200,A347,$B$5:$B$1200,B347,$C$5:$C$1200,C347,$D$5:$D$1200,D347)&gt;1,"ERRO: chave duplicada","OK")))</f>
        <v/>
      </c>
    </row>
    <row r="348" ht="15" customHeight="1" s="131">
      <c r="A348" s="320" t="n"/>
      <c r="B348" s="323" t="n"/>
      <c r="C348" s="320" t="n"/>
      <c r="D348" s="326" t="n"/>
      <c r="E348" s="324" t="n"/>
      <c r="F348" s="320" t="n"/>
      <c r="G348" s="327" t="n"/>
      <c r="H348" s="271" t="n"/>
      <c r="I348" s="275">
        <f>IF(COUNTA(A348:F348)=0,"",IF(OR(E348&lt;0,F348&lt;0,F348&gt;10),"ERRO: valores inválidos",IF(COUNTIFS($A$5:$A$1200,A348,$B$5:$B$1200,B348,$C$5:$C$1200,C348,$D$5:$D$1200,D348)&gt;1,"ERRO: chave duplicada","OK")))</f>
        <v/>
      </c>
    </row>
    <row r="349" ht="15" customHeight="1" s="131">
      <c r="A349" s="320" t="n"/>
      <c r="B349" s="323" t="n"/>
      <c r="C349" s="320" t="n"/>
      <c r="D349" s="326" t="n"/>
      <c r="E349" s="324" t="n"/>
      <c r="F349" s="320" t="n"/>
      <c r="G349" s="327" t="n"/>
      <c r="H349" s="271" t="n"/>
      <c r="I349" s="275">
        <f>IF(COUNTA(A349:F349)=0,"",IF(OR(E349&lt;0,F349&lt;0,F349&gt;10),"ERRO: valores inválidos",IF(COUNTIFS($A$5:$A$1200,A349,$B$5:$B$1200,B349,$C$5:$C$1200,C349,$D$5:$D$1200,D349)&gt;1,"ERRO: chave duplicada","OK")))</f>
        <v/>
      </c>
    </row>
    <row r="350" ht="15" customHeight="1" s="131">
      <c r="A350" s="320" t="n"/>
      <c r="B350" s="323" t="n"/>
      <c r="C350" s="320" t="n"/>
      <c r="D350" s="326" t="n"/>
      <c r="E350" s="324" t="n"/>
      <c r="F350" s="320" t="n"/>
      <c r="G350" s="327" t="n"/>
      <c r="H350" s="271" t="n"/>
      <c r="I350" s="275">
        <f>IF(COUNTA(A350:F350)=0,"",IF(OR(E350&lt;0,F350&lt;0,F350&gt;10),"ERRO: valores inválidos",IF(COUNTIFS($A$5:$A$1200,A350,$B$5:$B$1200,B350,$C$5:$C$1200,C350,$D$5:$D$1200,D350)&gt;1,"ERRO: chave duplicada","OK")))</f>
        <v/>
      </c>
    </row>
    <row r="351" ht="15" customHeight="1" s="131">
      <c r="A351" s="320" t="n"/>
      <c r="B351" s="323" t="n"/>
      <c r="C351" s="320" t="n"/>
      <c r="D351" s="326" t="n"/>
      <c r="E351" s="324" t="n"/>
      <c r="F351" s="320" t="n"/>
      <c r="G351" s="327" t="n"/>
      <c r="H351" s="271" t="n"/>
      <c r="I351" s="275">
        <f>IF(COUNTA(A351:F351)=0,"",IF(OR(E351&lt;0,F351&lt;0,F351&gt;10),"ERRO: valores inválidos",IF(COUNTIFS($A$5:$A$1200,A351,$B$5:$B$1200,B351,$C$5:$C$1200,C351,$D$5:$D$1200,D351)&gt;1,"ERRO: chave duplicada","OK")))</f>
        <v/>
      </c>
    </row>
    <row r="352" ht="15" customHeight="1" s="131">
      <c r="A352" s="320" t="n"/>
      <c r="B352" s="323" t="n"/>
      <c r="C352" s="320" t="n"/>
      <c r="D352" s="326" t="n"/>
      <c r="E352" s="324" t="n"/>
      <c r="F352" s="320" t="n"/>
      <c r="G352" s="327" t="n"/>
      <c r="H352" s="271" t="n"/>
      <c r="I352" s="275">
        <f>IF(COUNTA(A352:F352)=0,"",IF(OR(E352&lt;0,F352&lt;0,F352&gt;10),"ERRO: valores inválidos",IF(COUNTIFS($A$5:$A$1200,A352,$B$5:$B$1200,B352,$C$5:$C$1200,C352,$D$5:$D$1200,D352)&gt;1,"ERRO: chave duplicada","OK")))</f>
        <v/>
      </c>
    </row>
    <row r="353" ht="15" customHeight="1" s="131">
      <c r="A353" s="320" t="n"/>
      <c r="B353" s="323" t="n"/>
      <c r="C353" s="320" t="n"/>
      <c r="D353" s="326" t="n"/>
      <c r="E353" s="324" t="n"/>
      <c r="F353" s="320" t="n"/>
      <c r="G353" s="327" t="n"/>
      <c r="H353" s="271" t="n"/>
      <c r="I353" s="275">
        <f>IF(COUNTA(A353:F353)=0,"",IF(OR(E353&lt;0,F353&lt;0,F353&gt;10),"ERRO: valores inválidos",IF(COUNTIFS($A$5:$A$1200,A353,$B$5:$B$1200,B353,$C$5:$C$1200,C353,$D$5:$D$1200,D353)&gt;1,"ERRO: chave duplicada","OK")))</f>
        <v/>
      </c>
    </row>
    <row r="354" ht="15" customHeight="1" s="131">
      <c r="A354" s="320" t="n"/>
      <c r="B354" s="323" t="n"/>
      <c r="C354" s="320" t="n"/>
      <c r="D354" s="326" t="n"/>
      <c r="E354" s="324" t="n"/>
      <c r="F354" s="320" t="n"/>
      <c r="G354" s="327" t="n"/>
      <c r="H354" s="271" t="n"/>
      <c r="I354" s="275">
        <f>IF(COUNTA(A354:F354)=0,"",IF(OR(E354&lt;0,F354&lt;0,F354&gt;10),"ERRO: valores inválidos",IF(COUNTIFS($A$5:$A$1200,A354,$B$5:$B$1200,B354,$C$5:$C$1200,C354,$D$5:$D$1200,D354)&gt;1,"ERRO: chave duplicada","OK")))</f>
        <v/>
      </c>
    </row>
    <row r="355" ht="15" customHeight="1" s="131">
      <c r="A355" s="320" t="n"/>
      <c r="B355" s="323" t="n"/>
      <c r="C355" s="320" t="n"/>
      <c r="D355" s="326" t="n"/>
      <c r="E355" s="324" t="n"/>
      <c r="F355" s="320" t="n"/>
      <c r="G355" s="327" t="n"/>
      <c r="H355" s="271" t="n"/>
      <c r="I355" s="275">
        <f>IF(COUNTA(A355:F355)=0,"",IF(OR(E355&lt;0,F355&lt;0,F355&gt;10),"ERRO: valores inválidos",IF(COUNTIFS($A$5:$A$1200,A355,$B$5:$B$1200,B355,$C$5:$C$1200,C355,$D$5:$D$1200,D355)&gt;1,"ERRO: chave duplicada","OK")))</f>
        <v/>
      </c>
    </row>
    <row r="356" ht="15" customHeight="1" s="131">
      <c r="A356" s="320" t="n"/>
      <c r="B356" s="323" t="n"/>
      <c r="C356" s="320" t="n"/>
      <c r="D356" s="326" t="n"/>
      <c r="E356" s="324" t="n"/>
      <c r="F356" s="320" t="n"/>
      <c r="G356" s="327" t="n"/>
      <c r="H356" s="271" t="n"/>
      <c r="I356" s="275">
        <f>IF(COUNTA(A356:F356)=0,"",IF(OR(E356&lt;0,F356&lt;0,F356&gt;10),"ERRO: valores inválidos",IF(COUNTIFS($A$5:$A$1200,A356,$B$5:$B$1200,B356,$C$5:$C$1200,C356,$D$5:$D$1200,D356)&gt;1,"ERRO: chave duplicada","OK")))</f>
        <v/>
      </c>
    </row>
    <row r="357" ht="15" customHeight="1" s="131">
      <c r="A357" s="320" t="n"/>
      <c r="B357" s="323" t="n"/>
      <c r="C357" s="320" t="n"/>
      <c r="D357" s="326" t="n"/>
      <c r="E357" s="324" t="n"/>
      <c r="F357" s="320" t="n"/>
      <c r="G357" s="327" t="n"/>
      <c r="H357" s="271" t="n"/>
      <c r="I357" s="275">
        <f>IF(COUNTA(A357:F357)=0,"",IF(OR(E357&lt;0,F357&lt;0,F357&gt;10),"ERRO: valores inválidos",IF(COUNTIFS($A$5:$A$1200,A357,$B$5:$B$1200,B357,$C$5:$C$1200,C357,$D$5:$D$1200,D357)&gt;1,"ERRO: chave duplicada","OK")))</f>
        <v/>
      </c>
    </row>
    <row r="358" ht="15" customHeight="1" s="131">
      <c r="A358" s="320" t="n"/>
      <c r="B358" s="323" t="n"/>
      <c r="C358" s="320" t="n"/>
      <c r="D358" s="326" t="n"/>
      <c r="E358" s="324" t="n"/>
      <c r="F358" s="320" t="n"/>
      <c r="G358" s="327" t="n"/>
      <c r="H358" s="271" t="n"/>
      <c r="I358" s="275">
        <f>IF(COUNTA(A358:F358)=0,"",IF(OR(E358&lt;0,F358&lt;0,F358&gt;10),"ERRO: valores inválidos",IF(COUNTIFS($A$5:$A$1200,A358,$B$5:$B$1200,B358,$C$5:$C$1200,C358,$D$5:$D$1200,D358)&gt;1,"ERRO: chave duplicada","OK")))</f>
        <v/>
      </c>
    </row>
    <row r="359" ht="15" customHeight="1" s="131">
      <c r="A359" s="320" t="n"/>
      <c r="B359" s="323" t="n"/>
      <c r="C359" s="320" t="n"/>
      <c r="D359" s="326" t="n"/>
      <c r="E359" s="324" t="n"/>
      <c r="F359" s="320" t="n"/>
      <c r="G359" s="327" t="n"/>
      <c r="H359" s="271" t="n"/>
      <c r="I359" s="275">
        <f>IF(COUNTA(A359:F359)=0,"",IF(OR(E359&lt;0,F359&lt;0,F359&gt;10),"ERRO: valores inválidos",IF(COUNTIFS($A$5:$A$1200,A359,$B$5:$B$1200,B359,$C$5:$C$1200,C359,$D$5:$D$1200,D359)&gt;1,"ERRO: chave duplicada","OK")))</f>
        <v/>
      </c>
    </row>
    <row r="360" ht="15" customHeight="1" s="131">
      <c r="A360" s="320" t="n"/>
      <c r="B360" s="323" t="n"/>
      <c r="C360" s="320" t="n"/>
      <c r="D360" s="326" t="n"/>
      <c r="E360" s="324" t="n"/>
      <c r="F360" s="320" t="n"/>
      <c r="G360" s="327" t="n"/>
      <c r="H360" s="271" t="n"/>
      <c r="I360" s="275">
        <f>IF(COUNTA(A360:F360)=0,"",IF(OR(E360&lt;0,F360&lt;0,F360&gt;10),"ERRO: valores inválidos",IF(COUNTIFS($A$5:$A$1200,A360,$B$5:$B$1200,B360,$C$5:$C$1200,C360,$D$5:$D$1200,D360)&gt;1,"ERRO: chave duplicada","OK")))</f>
        <v/>
      </c>
    </row>
    <row r="361" ht="15" customHeight="1" s="131">
      <c r="A361" s="320" t="n"/>
      <c r="B361" s="323" t="n"/>
      <c r="C361" s="320" t="n"/>
      <c r="D361" s="326" t="n"/>
      <c r="E361" s="324" t="n"/>
      <c r="F361" s="320" t="n"/>
      <c r="G361" s="327" t="n"/>
      <c r="H361" s="271" t="n"/>
      <c r="I361" s="275">
        <f>IF(COUNTA(A361:F361)=0,"",IF(OR(E361&lt;0,F361&lt;0,F361&gt;10),"ERRO: valores inválidos",IF(COUNTIFS($A$5:$A$1200,A361,$B$5:$B$1200,B361,$C$5:$C$1200,C361,$D$5:$D$1200,D361)&gt;1,"ERRO: chave duplicada","OK")))</f>
        <v/>
      </c>
    </row>
    <row r="362" ht="15" customHeight="1" s="131">
      <c r="A362" s="320" t="n"/>
      <c r="B362" s="323" t="n"/>
      <c r="C362" s="320" t="n"/>
      <c r="D362" s="326" t="n"/>
      <c r="E362" s="324" t="n"/>
      <c r="F362" s="320" t="n"/>
      <c r="G362" s="327" t="n"/>
      <c r="H362" s="271" t="n"/>
      <c r="I362" s="275">
        <f>IF(COUNTA(A362:F362)=0,"",IF(OR(E362&lt;0,F362&lt;0,F362&gt;10),"ERRO: valores inválidos",IF(COUNTIFS($A$5:$A$1200,A362,$B$5:$B$1200,B362,$C$5:$C$1200,C362,$D$5:$D$1200,D362)&gt;1,"ERRO: chave duplicada","OK")))</f>
        <v/>
      </c>
    </row>
    <row r="363" ht="15" customHeight="1" s="131">
      <c r="A363" s="320" t="n"/>
      <c r="B363" s="323" t="n"/>
      <c r="C363" s="320" t="n"/>
      <c r="D363" s="326" t="n"/>
      <c r="E363" s="324" t="n"/>
      <c r="F363" s="320" t="n"/>
      <c r="G363" s="327" t="n"/>
      <c r="H363" s="271" t="n"/>
      <c r="I363" s="275">
        <f>IF(COUNTA(A363:F363)=0,"",IF(OR(E363&lt;0,F363&lt;0,F363&gt;10),"ERRO: valores inválidos",IF(COUNTIFS($A$5:$A$1200,A363,$B$5:$B$1200,B363,$C$5:$C$1200,C363,$D$5:$D$1200,D363)&gt;1,"ERRO: chave duplicada","OK")))</f>
        <v/>
      </c>
    </row>
    <row r="364" ht="15" customHeight="1" s="131">
      <c r="A364" s="320" t="n"/>
      <c r="B364" s="323" t="n"/>
      <c r="C364" s="320" t="n"/>
      <c r="D364" s="326" t="n"/>
      <c r="E364" s="324" t="n"/>
      <c r="F364" s="320" t="n"/>
      <c r="G364" s="327" t="n"/>
      <c r="H364" s="271" t="n"/>
      <c r="I364" s="275">
        <f>IF(COUNTA(A364:F364)=0,"",IF(OR(E364&lt;0,F364&lt;0,F364&gt;10),"ERRO: valores inválidos",IF(COUNTIFS($A$5:$A$1200,A364,$B$5:$B$1200,B364,$C$5:$C$1200,C364,$D$5:$D$1200,D364)&gt;1,"ERRO: chave duplicada","OK")))</f>
        <v/>
      </c>
    </row>
    <row r="365" ht="15" customHeight="1" s="131">
      <c r="A365" s="320" t="n"/>
      <c r="B365" s="323" t="n"/>
      <c r="C365" s="320" t="n"/>
      <c r="D365" s="326" t="n"/>
      <c r="E365" s="324" t="n"/>
      <c r="F365" s="320" t="n"/>
      <c r="G365" s="327" t="n"/>
      <c r="H365" s="271" t="n"/>
      <c r="I365" s="275">
        <f>IF(COUNTA(A365:F365)=0,"",IF(OR(E365&lt;0,F365&lt;0,F365&gt;10),"ERRO: valores inválidos",IF(COUNTIFS($A$5:$A$1200,A365,$B$5:$B$1200,B365,$C$5:$C$1200,C365,$D$5:$D$1200,D365)&gt;1,"ERRO: chave duplicada","OK")))</f>
        <v/>
      </c>
    </row>
    <row r="366" ht="15" customHeight="1" s="131">
      <c r="A366" s="320" t="n"/>
      <c r="B366" s="323" t="n"/>
      <c r="C366" s="320" t="n"/>
      <c r="D366" s="326" t="n"/>
      <c r="E366" s="324" t="n"/>
      <c r="F366" s="320" t="n"/>
      <c r="G366" s="327" t="n"/>
      <c r="H366" s="271" t="n"/>
      <c r="I366" s="275">
        <f>IF(COUNTA(A366:F366)=0,"",IF(OR(E366&lt;0,F366&lt;0,F366&gt;10),"ERRO: valores inválidos",IF(COUNTIFS($A$5:$A$1200,A366,$B$5:$B$1200,B366,$C$5:$C$1200,C366,$D$5:$D$1200,D366)&gt;1,"ERRO: chave duplicada","OK")))</f>
        <v/>
      </c>
    </row>
    <row r="367" ht="15" customHeight="1" s="131">
      <c r="A367" s="320" t="n"/>
      <c r="B367" s="323" t="n"/>
      <c r="C367" s="320" t="n"/>
      <c r="D367" s="326" t="n"/>
      <c r="E367" s="324" t="n"/>
      <c r="F367" s="320" t="n"/>
      <c r="G367" s="327" t="n"/>
      <c r="H367" s="271" t="n"/>
      <c r="I367" s="275">
        <f>IF(COUNTA(A367:F367)=0,"",IF(OR(E367&lt;0,F367&lt;0,F367&gt;10),"ERRO: valores inválidos",IF(COUNTIFS($A$5:$A$1200,A367,$B$5:$B$1200,B367,$C$5:$C$1200,C367,$D$5:$D$1200,D367)&gt;1,"ERRO: chave duplicada","OK")))</f>
        <v/>
      </c>
    </row>
    <row r="368" ht="15" customHeight="1" s="131">
      <c r="A368" s="320" t="n"/>
      <c r="B368" s="323" t="n"/>
      <c r="C368" s="320" t="n"/>
      <c r="D368" s="326" t="n"/>
      <c r="E368" s="324" t="n"/>
      <c r="F368" s="320" t="n"/>
      <c r="G368" s="327" t="n"/>
      <c r="H368" s="271" t="n"/>
      <c r="I368" s="275">
        <f>IF(COUNTA(A368:F368)=0,"",IF(OR(E368&lt;0,F368&lt;0,F368&gt;10),"ERRO: valores inválidos",IF(COUNTIFS($A$5:$A$1200,A368,$B$5:$B$1200,B368,$C$5:$C$1200,C368,$D$5:$D$1200,D368)&gt;1,"ERRO: chave duplicada","OK")))</f>
        <v/>
      </c>
    </row>
    <row r="369" ht="15" customHeight="1" s="131">
      <c r="A369" s="320" t="n"/>
      <c r="B369" s="323" t="n"/>
      <c r="C369" s="320" t="n"/>
      <c r="D369" s="326" t="n"/>
      <c r="E369" s="324" t="n"/>
      <c r="F369" s="320" t="n"/>
      <c r="G369" s="327" t="n"/>
      <c r="H369" s="271" t="n"/>
      <c r="I369" s="275">
        <f>IF(COUNTA(A369:F369)=0,"",IF(OR(E369&lt;0,F369&lt;0,F369&gt;10),"ERRO: valores inválidos",IF(COUNTIFS($A$5:$A$1200,A369,$B$5:$B$1200,B369,$C$5:$C$1200,C369,$D$5:$D$1200,D369)&gt;1,"ERRO: chave duplicada","OK")))</f>
        <v/>
      </c>
    </row>
    <row r="370" ht="15" customHeight="1" s="131">
      <c r="A370" s="320" t="n"/>
      <c r="B370" s="323" t="n"/>
      <c r="C370" s="320" t="n"/>
      <c r="D370" s="326" t="n"/>
      <c r="E370" s="324" t="n"/>
      <c r="F370" s="320" t="n"/>
      <c r="G370" s="327" t="n"/>
      <c r="H370" s="271" t="n"/>
      <c r="I370" s="275">
        <f>IF(COUNTA(A370:F370)=0,"",IF(OR(E370&lt;0,F370&lt;0,F370&gt;10),"ERRO: valores inválidos",IF(COUNTIFS($A$5:$A$1200,A370,$B$5:$B$1200,B370,$C$5:$C$1200,C370,$D$5:$D$1200,D370)&gt;1,"ERRO: chave duplicada","OK")))</f>
        <v/>
      </c>
    </row>
    <row r="371" ht="15" customHeight="1" s="131">
      <c r="A371" s="320" t="n"/>
      <c r="B371" s="323" t="n"/>
      <c r="C371" s="320" t="n"/>
      <c r="D371" s="326" t="n"/>
      <c r="E371" s="324" t="n"/>
      <c r="F371" s="320" t="n"/>
      <c r="G371" s="327" t="n"/>
      <c r="H371" s="271" t="n"/>
      <c r="I371" s="275">
        <f>IF(COUNTA(A371:F371)=0,"",IF(OR(E371&lt;0,F371&lt;0,F371&gt;10),"ERRO: valores inválidos",IF(COUNTIFS($A$5:$A$1200,A371,$B$5:$B$1200,B371,$C$5:$C$1200,C371,$D$5:$D$1200,D371)&gt;1,"ERRO: chave duplicada","OK")))</f>
        <v/>
      </c>
    </row>
    <row r="372" ht="15" customHeight="1" s="131">
      <c r="A372" s="320" t="n"/>
      <c r="B372" s="323" t="n"/>
      <c r="C372" s="320" t="n"/>
      <c r="D372" s="326" t="n"/>
      <c r="E372" s="324" t="n"/>
      <c r="F372" s="320" t="n"/>
      <c r="G372" s="327" t="n"/>
      <c r="H372" s="271" t="n"/>
      <c r="I372" s="275">
        <f>IF(COUNTA(A372:F372)=0,"",IF(OR(E372&lt;0,F372&lt;0,F372&gt;10),"ERRO: valores inválidos",IF(COUNTIFS($A$5:$A$1200,A372,$B$5:$B$1200,B372,$C$5:$C$1200,C372,$D$5:$D$1200,D372)&gt;1,"ERRO: chave duplicada","OK")))</f>
        <v/>
      </c>
    </row>
    <row r="373" ht="15" customHeight="1" s="131">
      <c r="A373" s="320" t="n"/>
      <c r="B373" s="323" t="n"/>
      <c r="C373" s="320" t="n"/>
      <c r="D373" s="326" t="n"/>
      <c r="E373" s="324" t="n"/>
      <c r="F373" s="320" t="n"/>
      <c r="G373" s="327" t="n"/>
      <c r="H373" s="271" t="n"/>
      <c r="I373" s="275">
        <f>IF(COUNTA(A373:F373)=0,"",IF(OR(E373&lt;0,F373&lt;0,F373&gt;10),"ERRO: valores inválidos",IF(COUNTIFS($A$5:$A$1200,A373,$B$5:$B$1200,B373,$C$5:$C$1200,C373,$D$5:$D$1200,D373)&gt;1,"ERRO: chave duplicada","OK")))</f>
        <v/>
      </c>
    </row>
    <row r="374" ht="15" customHeight="1" s="131">
      <c r="A374" s="320" t="n"/>
      <c r="B374" s="323" t="n"/>
      <c r="C374" s="320" t="n"/>
      <c r="D374" s="326" t="n"/>
      <c r="E374" s="324" t="n"/>
      <c r="F374" s="320" t="n"/>
      <c r="G374" s="327" t="n"/>
      <c r="H374" s="271" t="n"/>
      <c r="I374" s="275">
        <f>IF(COUNTA(A374:F374)=0,"",IF(OR(E374&lt;0,F374&lt;0,F374&gt;10),"ERRO: valores inválidos",IF(COUNTIFS($A$5:$A$1200,A374,$B$5:$B$1200,B374,$C$5:$C$1200,C374,$D$5:$D$1200,D374)&gt;1,"ERRO: chave duplicada","OK")))</f>
        <v/>
      </c>
    </row>
    <row r="375" ht="15" customHeight="1" s="131">
      <c r="A375" s="320" t="n"/>
      <c r="B375" s="323" t="n"/>
      <c r="C375" s="320" t="n"/>
      <c r="D375" s="326" t="n"/>
      <c r="E375" s="324" t="n"/>
      <c r="F375" s="320" t="n"/>
      <c r="G375" s="327" t="n"/>
      <c r="H375" s="271" t="n"/>
      <c r="I375" s="275">
        <f>IF(COUNTA(A375:F375)=0,"",IF(OR(E375&lt;0,F375&lt;0,F375&gt;10),"ERRO: valores inválidos",IF(COUNTIFS($A$5:$A$1200,A375,$B$5:$B$1200,B375,$C$5:$C$1200,C375,$D$5:$D$1200,D375)&gt;1,"ERRO: chave duplicada","OK")))</f>
        <v/>
      </c>
    </row>
    <row r="376" ht="15" customHeight="1" s="131">
      <c r="A376" s="320" t="n"/>
      <c r="B376" s="323" t="n"/>
      <c r="C376" s="320" t="n"/>
      <c r="D376" s="326" t="n"/>
      <c r="E376" s="324" t="n"/>
      <c r="F376" s="320" t="n"/>
      <c r="G376" s="327" t="n"/>
      <c r="H376" s="271" t="n"/>
      <c r="I376" s="275">
        <f>IF(COUNTA(A376:F376)=0,"",IF(OR(E376&lt;0,F376&lt;0,F376&gt;10),"ERRO: valores inválidos",IF(COUNTIFS($A$5:$A$1200,A376,$B$5:$B$1200,B376,$C$5:$C$1200,C376,$D$5:$D$1200,D376)&gt;1,"ERRO: chave duplicada","OK")))</f>
        <v/>
      </c>
    </row>
    <row r="377" ht="15" customHeight="1" s="131">
      <c r="A377" s="320" t="n"/>
      <c r="B377" s="323" t="n"/>
      <c r="C377" s="320" t="n"/>
      <c r="D377" s="326" t="n"/>
      <c r="E377" s="324" t="n"/>
      <c r="F377" s="320" t="n"/>
      <c r="G377" s="327" t="n"/>
      <c r="H377" s="271" t="n"/>
      <c r="I377" s="275">
        <f>IF(COUNTA(A377:F377)=0,"",IF(OR(E377&lt;0,F377&lt;0,F377&gt;10),"ERRO: valores inválidos",IF(COUNTIFS($A$5:$A$1200,A377,$B$5:$B$1200,B377,$C$5:$C$1200,C377,$D$5:$D$1200,D377)&gt;1,"ERRO: chave duplicada","OK")))</f>
        <v/>
      </c>
    </row>
    <row r="378" ht="15" customHeight="1" s="131">
      <c r="A378" s="320" t="n"/>
      <c r="B378" s="323" t="n"/>
      <c r="C378" s="320" t="n"/>
      <c r="D378" s="326" t="n"/>
      <c r="E378" s="324" t="n"/>
      <c r="F378" s="320" t="n"/>
      <c r="G378" s="327" t="n"/>
      <c r="H378" s="271" t="n"/>
      <c r="I378" s="275">
        <f>IF(COUNTA(A378:F378)=0,"",IF(OR(E378&lt;0,F378&lt;0,F378&gt;10),"ERRO: valores inválidos",IF(COUNTIFS($A$5:$A$1200,A378,$B$5:$B$1200,B378,$C$5:$C$1200,C378,$D$5:$D$1200,D378)&gt;1,"ERRO: chave duplicada","OK")))</f>
        <v/>
      </c>
    </row>
    <row r="379" ht="15" customHeight="1" s="131">
      <c r="A379" s="320" t="n"/>
      <c r="B379" s="323" t="n"/>
      <c r="C379" s="320" t="n"/>
      <c r="D379" s="326" t="n"/>
      <c r="E379" s="324" t="n"/>
      <c r="F379" s="320" t="n"/>
      <c r="G379" s="327" t="n"/>
      <c r="H379" s="271" t="n"/>
      <c r="I379" s="275">
        <f>IF(COUNTA(A379:F379)=0,"",IF(OR(E379&lt;0,F379&lt;0,F379&gt;10),"ERRO: valores inválidos",IF(COUNTIFS($A$5:$A$1200,A379,$B$5:$B$1200,B379,$C$5:$C$1200,C379,$D$5:$D$1200,D379)&gt;1,"ERRO: chave duplicada","OK")))</f>
        <v/>
      </c>
    </row>
    <row r="380" ht="15" customHeight="1" s="131">
      <c r="A380" s="320" t="n"/>
      <c r="B380" s="323" t="n"/>
      <c r="C380" s="320" t="n"/>
      <c r="D380" s="326" t="n"/>
      <c r="E380" s="324" t="n"/>
      <c r="F380" s="320" t="n"/>
      <c r="G380" s="327" t="n"/>
      <c r="H380" s="271" t="n"/>
      <c r="I380" s="275">
        <f>IF(COUNTA(A380:F380)=0,"",IF(OR(E380&lt;0,F380&lt;0,F380&gt;10),"ERRO: valores inválidos",IF(COUNTIFS($A$5:$A$1200,A380,$B$5:$B$1200,B380,$C$5:$C$1200,C380,$D$5:$D$1200,D380)&gt;1,"ERRO: chave duplicada","OK")))</f>
        <v/>
      </c>
    </row>
    <row r="381" ht="15" customHeight="1" s="131">
      <c r="A381" s="320" t="n"/>
      <c r="B381" s="323" t="n"/>
      <c r="C381" s="320" t="n"/>
      <c r="D381" s="326" t="n"/>
      <c r="E381" s="324" t="n"/>
      <c r="F381" s="320" t="n"/>
      <c r="G381" s="327" t="n"/>
      <c r="H381" s="271" t="n"/>
      <c r="I381" s="275">
        <f>IF(COUNTA(A381:F381)=0,"",IF(OR(E381&lt;0,F381&lt;0,F381&gt;10),"ERRO: valores inválidos",IF(COUNTIFS($A$5:$A$1200,A381,$B$5:$B$1200,B381,$C$5:$C$1200,C381,$D$5:$D$1200,D381)&gt;1,"ERRO: chave duplicada","OK")))</f>
        <v/>
      </c>
    </row>
    <row r="382" ht="15" customHeight="1" s="131">
      <c r="A382" s="320" t="n"/>
      <c r="B382" s="323" t="n"/>
      <c r="C382" s="320" t="n"/>
      <c r="D382" s="326" t="n"/>
      <c r="E382" s="324" t="n"/>
      <c r="F382" s="320" t="n"/>
      <c r="G382" s="327" t="n"/>
      <c r="H382" s="271" t="n"/>
      <c r="I382" s="275">
        <f>IF(COUNTA(A382:F382)=0,"",IF(OR(E382&lt;0,F382&lt;0,F382&gt;10),"ERRO: valores inválidos",IF(COUNTIFS($A$5:$A$1200,A382,$B$5:$B$1200,B382,$C$5:$C$1200,C382,$D$5:$D$1200,D382)&gt;1,"ERRO: chave duplicada","OK")))</f>
        <v/>
      </c>
    </row>
    <row r="383" ht="15" customHeight="1" s="131">
      <c r="A383" s="320" t="n"/>
      <c r="B383" s="323" t="n"/>
      <c r="C383" s="320" t="n"/>
      <c r="D383" s="326" t="n"/>
      <c r="E383" s="324" t="n"/>
      <c r="F383" s="320" t="n"/>
      <c r="G383" s="327" t="n"/>
      <c r="H383" s="271" t="n"/>
      <c r="I383" s="275">
        <f>IF(COUNTA(A383:F383)=0,"",IF(OR(E383&lt;0,F383&lt;0,F383&gt;10),"ERRO: valores inválidos",IF(COUNTIFS($A$5:$A$1200,A383,$B$5:$B$1200,B383,$C$5:$C$1200,C383,$D$5:$D$1200,D383)&gt;1,"ERRO: chave duplicada","OK")))</f>
        <v/>
      </c>
    </row>
    <row r="384" ht="15" customHeight="1" s="131">
      <c r="A384" s="320" t="n"/>
      <c r="B384" s="323" t="n"/>
      <c r="C384" s="320" t="n"/>
      <c r="D384" s="326" t="n"/>
      <c r="E384" s="324" t="n"/>
      <c r="F384" s="320" t="n"/>
      <c r="G384" s="327" t="n"/>
      <c r="H384" s="271" t="n"/>
      <c r="I384" s="275">
        <f>IF(COUNTA(A384:F384)=0,"",IF(OR(E384&lt;0,F384&lt;0,F384&gt;10),"ERRO: valores inválidos",IF(COUNTIFS($A$5:$A$1200,A384,$B$5:$B$1200,B384,$C$5:$C$1200,C384,$D$5:$D$1200,D384)&gt;1,"ERRO: chave duplicada","OK")))</f>
        <v/>
      </c>
    </row>
    <row r="385" ht="15" customHeight="1" s="131">
      <c r="A385" s="320" t="n"/>
      <c r="B385" s="323" t="n"/>
      <c r="C385" s="320" t="n"/>
      <c r="D385" s="326" t="n"/>
      <c r="E385" s="324" t="n"/>
      <c r="F385" s="320" t="n"/>
      <c r="G385" s="327" t="n"/>
      <c r="H385" s="271" t="n"/>
      <c r="I385" s="275">
        <f>IF(COUNTA(A385:F385)=0,"",IF(OR(E385&lt;0,F385&lt;0,F385&gt;10),"ERRO: valores inválidos",IF(COUNTIFS($A$5:$A$1200,A385,$B$5:$B$1200,B385,$C$5:$C$1200,C385,$D$5:$D$1200,D385)&gt;1,"ERRO: chave duplicada","OK")))</f>
        <v/>
      </c>
    </row>
    <row r="386" ht="15" customHeight="1" s="131">
      <c r="A386" s="320" t="n"/>
      <c r="B386" s="323" t="n"/>
      <c r="C386" s="320" t="n"/>
      <c r="D386" s="326" t="n"/>
      <c r="E386" s="324" t="n"/>
      <c r="F386" s="320" t="n"/>
      <c r="G386" s="327" t="n"/>
      <c r="H386" s="271" t="n"/>
      <c r="I386" s="275">
        <f>IF(COUNTA(A386:F386)=0,"",IF(OR(E386&lt;0,F386&lt;0,F386&gt;10),"ERRO: valores inválidos",IF(COUNTIFS($A$5:$A$1200,A386,$B$5:$B$1200,B386,$C$5:$C$1200,C386,$D$5:$D$1200,D386)&gt;1,"ERRO: chave duplicada","OK")))</f>
        <v/>
      </c>
    </row>
    <row r="387" ht="15" customHeight="1" s="131">
      <c r="A387" s="320" t="n"/>
      <c r="B387" s="323" t="n"/>
      <c r="C387" s="320" t="n"/>
      <c r="D387" s="326" t="n"/>
      <c r="E387" s="324" t="n"/>
      <c r="F387" s="320" t="n"/>
      <c r="G387" s="327" t="n"/>
      <c r="H387" s="271" t="n"/>
      <c r="I387" s="275">
        <f>IF(COUNTA(A387:F387)=0,"",IF(OR(E387&lt;0,F387&lt;0,F387&gt;10),"ERRO: valores inválidos",IF(COUNTIFS($A$5:$A$1200,A387,$B$5:$B$1200,B387,$C$5:$C$1200,C387,$D$5:$D$1200,D387)&gt;1,"ERRO: chave duplicada","OK")))</f>
        <v/>
      </c>
    </row>
    <row r="388" ht="15" customHeight="1" s="131">
      <c r="A388" s="320" t="n"/>
      <c r="B388" s="323" t="n"/>
      <c r="C388" s="320" t="n"/>
      <c r="D388" s="326" t="n"/>
      <c r="E388" s="324" t="n"/>
      <c r="F388" s="320" t="n"/>
      <c r="G388" s="327" t="n"/>
      <c r="H388" s="271" t="n"/>
      <c r="I388" s="275">
        <f>IF(COUNTA(A388:F388)=0,"",IF(OR(E388&lt;0,F388&lt;0,F388&gt;10),"ERRO: valores inválidos",IF(COUNTIFS($A$5:$A$1200,A388,$B$5:$B$1200,B388,$C$5:$C$1200,C388,$D$5:$D$1200,D388)&gt;1,"ERRO: chave duplicada","OK")))</f>
        <v/>
      </c>
    </row>
    <row r="389" ht="15" customHeight="1" s="131">
      <c r="A389" s="320" t="n"/>
      <c r="B389" s="323" t="n"/>
      <c r="C389" s="320" t="n"/>
      <c r="D389" s="326" t="n"/>
      <c r="E389" s="324" t="n"/>
      <c r="F389" s="320" t="n"/>
      <c r="G389" s="327" t="n"/>
      <c r="H389" s="271" t="n"/>
      <c r="I389" s="275">
        <f>IF(COUNTA(A389:F389)=0,"",IF(OR(E389&lt;0,F389&lt;0,F389&gt;10),"ERRO: valores inválidos",IF(COUNTIFS($A$5:$A$1200,A389,$B$5:$B$1200,B389,$C$5:$C$1200,C389,$D$5:$D$1200,D389)&gt;1,"ERRO: chave duplicada","OK")))</f>
        <v/>
      </c>
    </row>
    <row r="390" ht="15" customHeight="1" s="131">
      <c r="A390" s="320" t="n"/>
      <c r="B390" s="323" t="n"/>
      <c r="C390" s="320" t="n"/>
      <c r="D390" s="326" t="n"/>
      <c r="E390" s="324" t="n"/>
      <c r="F390" s="320" t="n"/>
      <c r="G390" s="327" t="n"/>
      <c r="H390" s="271" t="n"/>
      <c r="I390" s="275">
        <f>IF(COUNTA(A390:F390)=0,"",IF(OR(E390&lt;0,F390&lt;0,F390&gt;10),"ERRO: valores inválidos",IF(COUNTIFS($A$5:$A$1200,A390,$B$5:$B$1200,B390,$C$5:$C$1200,C390,$D$5:$D$1200,D390)&gt;1,"ERRO: chave duplicada","OK")))</f>
        <v/>
      </c>
    </row>
    <row r="391" ht="15" customHeight="1" s="131">
      <c r="A391" s="320" t="n"/>
      <c r="B391" s="323" t="n"/>
      <c r="C391" s="320" t="n"/>
      <c r="D391" s="326" t="n"/>
      <c r="E391" s="324" t="n"/>
      <c r="F391" s="320" t="n"/>
      <c r="G391" s="327" t="n"/>
      <c r="H391" s="271" t="n"/>
      <c r="I391" s="275">
        <f>IF(COUNTA(A391:F391)=0,"",IF(OR(E391&lt;0,F391&lt;0,F391&gt;10),"ERRO: valores inválidos",IF(COUNTIFS($A$5:$A$1200,A391,$B$5:$B$1200,B391,$C$5:$C$1200,C391,$D$5:$D$1200,D391)&gt;1,"ERRO: chave duplicada","OK")))</f>
        <v/>
      </c>
    </row>
    <row r="392" ht="15" customHeight="1" s="131">
      <c r="A392" s="320" t="n"/>
      <c r="B392" s="323" t="n"/>
      <c r="C392" s="320" t="n"/>
      <c r="D392" s="326" t="n"/>
      <c r="E392" s="324" t="n"/>
      <c r="F392" s="320" t="n"/>
      <c r="G392" s="327" t="n"/>
      <c r="H392" s="271" t="n"/>
      <c r="I392" s="275">
        <f>IF(COUNTA(A392:F392)=0,"",IF(OR(E392&lt;0,F392&lt;0,F392&gt;10),"ERRO: valores inválidos",IF(COUNTIFS($A$5:$A$1200,A392,$B$5:$B$1200,B392,$C$5:$C$1200,C392,$D$5:$D$1200,D392)&gt;1,"ERRO: chave duplicada","OK")))</f>
        <v/>
      </c>
    </row>
    <row r="393" ht="15" customHeight="1" s="131">
      <c r="A393" s="320" t="n"/>
      <c r="B393" s="323" t="n"/>
      <c r="C393" s="320" t="n"/>
      <c r="D393" s="326" t="n"/>
      <c r="E393" s="324" t="n"/>
      <c r="F393" s="320" t="n"/>
      <c r="G393" s="327" t="n"/>
      <c r="H393" s="271" t="n"/>
      <c r="I393" s="275">
        <f>IF(COUNTA(A393:F393)=0,"",IF(OR(E393&lt;0,F393&lt;0,F393&gt;10),"ERRO: valores inválidos",IF(COUNTIFS($A$5:$A$1200,A393,$B$5:$B$1200,B393,$C$5:$C$1200,C393,$D$5:$D$1200,D393)&gt;1,"ERRO: chave duplicada","OK")))</f>
        <v/>
      </c>
    </row>
    <row r="394" ht="15" customHeight="1" s="131">
      <c r="A394" s="320" t="n"/>
      <c r="B394" s="323" t="n"/>
      <c r="C394" s="320" t="n"/>
      <c r="D394" s="326" t="n"/>
      <c r="E394" s="324" t="n"/>
      <c r="F394" s="320" t="n"/>
      <c r="G394" s="327" t="n"/>
      <c r="H394" s="271" t="n"/>
      <c r="I394" s="275">
        <f>IF(COUNTA(A394:F394)=0,"",IF(OR(E394&lt;0,F394&lt;0,F394&gt;10),"ERRO: valores inválidos",IF(COUNTIFS($A$5:$A$1200,A394,$B$5:$B$1200,B394,$C$5:$C$1200,C394,$D$5:$D$1200,D394)&gt;1,"ERRO: chave duplicada","OK")))</f>
        <v/>
      </c>
    </row>
    <row r="395" ht="15" customHeight="1" s="131">
      <c r="A395" s="320" t="n"/>
      <c r="B395" s="323" t="n"/>
      <c r="C395" s="320" t="n"/>
      <c r="D395" s="326" t="n"/>
      <c r="E395" s="324" t="n"/>
      <c r="F395" s="320" t="n"/>
      <c r="G395" s="327" t="n"/>
      <c r="H395" s="271" t="n"/>
      <c r="I395" s="275">
        <f>IF(COUNTA(A395:F395)=0,"",IF(OR(E395&lt;0,F395&lt;0,F395&gt;10),"ERRO: valores inválidos",IF(COUNTIFS($A$5:$A$1200,A395,$B$5:$B$1200,B395,$C$5:$C$1200,C395,$D$5:$D$1200,D395)&gt;1,"ERRO: chave duplicada","OK")))</f>
        <v/>
      </c>
    </row>
    <row r="396" ht="15" customHeight="1" s="131">
      <c r="A396" s="320" t="n"/>
      <c r="B396" s="323" t="n"/>
      <c r="C396" s="320" t="n"/>
      <c r="D396" s="326" t="n"/>
      <c r="E396" s="324" t="n"/>
      <c r="F396" s="320" t="n"/>
      <c r="G396" s="327" t="n"/>
      <c r="H396" s="271" t="n"/>
      <c r="I396" s="275">
        <f>IF(COUNTA(A396:F396)=0,"",IF(OR(E396&lt;0,F396&lt;0,F396&gt;10),"ERRO: valores inválidos",IF(COUNTIFS($A$5:$A$1200,A396,$B$5:$B$1200,B396,$C$5:$C$1200,C396,$D$5:$D$1200,D396)&gt;1,"ERRO: chave duplicada","OK")))</f>
        <v/>
      </c>
    </row>
    <row r="397" ht="15" customHeight="1" s="131">
      <c r="A397" s="320" t="n"/>
      <c r="B397" s="323" t="n"/>
      <c r="C397" s="320" t="n"/>
      <c r="D397" s="326" t="n"/>
      <c r="E397" s="324" t="n"/>
      <c r="F397" s="320" t="n"/>
      <c r="G397" s="327" t="n"/>
      <c r="H397" s="271" t="n"/>
      <c r="I397" s="275">
        <f>IF(COUNTA(A397:F397)=0,"",IF(OR(E397&lt;0,F397&lt;0,F397&gt;10),"ERRO: valores inválidos",IF(COUNTIFS($A$5:$A$1200,A397,$B$5:$B$1200,B397,$C$5:$C$1200,C397,$D$5:$D$1200,D397)&gt;1,"ERRO: chave duplicada","OK")))</f>
        <v/>
      </c>
    </row>
    <row r="398" ht="15" customHeight="1" s="131">
      <c r="A398" s="320" t="n"/>
      <c r="B398" s="323" t="n"/>
      <c r="C398" s="320" t="n"/>
      <c r="D398" s="326" t="n"/>
      <c r="E398" s="324" t="n"/>
      <c r="F398" s="320" t="n"/>
      <c r="G398" s="327" t="n"/>
      <c r="H398" s="271" t="n"/>
      <c r="I398" s="275">
        <f>IF(COUNTA(A398:F398)=0,"",IF(OR(E398&lt;0,F398&lt;0,F398&gt;10),"ERRO: valores inválidos",IF(COUNTIFS($A$5:$A$1200,A398,$B$5:$B$1200,B398,$C$5:$C$1200,C398,$D$5:$D$1200,D398)&gt;1,"ERRO: chave duplicada","OK")))</f>
        <v/>
      </c>
    </row>
    <row r="399" ht="15" customHeight="1" s="131">
      <c r="A399" s="320" t="n"/>
      <c r="B399" s="323" t="n"/>
      <c r="C399" s="320" t="n"/>
      <c r="D399" s="326" t="n"/>
      <c r="E399" s="324" t="n"/>
      <c r="F399" s="320" t="n"/>
      <c r="G399" s="327" t="n"/>
      <c r="H399" s="271" t="n"/>
      <c r="I399" s="275">
        <f>IF(COUNTA(A399:F399)=0,"",IF(OR(E399&lt;0,F399&lt;0,F399&gt;10),"ERRO: valores inválidos",IF(COUNTIFS($A$5:$A$1200,A399,$B$5:$B$1200,B399,$C$5:$C$1200,C399,$D$5:$D$1200,D399)&gt;1,"ERRO: chave duplicada","OK")))</f>
        <v/>
      </c>
    </row>
    <row r="400" ht="15" customHeight="1" s="131">
      <c r="A400" s="320" t="n"/>
      <c r="B400" s="323" t="n"/>
      <c r="C400" s="320" t="n"/>
      <c r="D400" s="326" t="n"/>
      <c r="E400" s="324" t="n"/>
      <c r="F400" s="320" t="n"/>
      <c r="G400" s="327" t="n"/>
      <c r="H400" s="271" t="n"/>
      <c r="I400" s="275">
        <f>IF(COUNTA(A400:F400)=0,"",IF(OR(E400&lt;0,F400&lt;0,F400&gt;10),"ERRO: valores inválidos",IF(COUNTIFS($A$5:$A$1200,A400,$B$5:$B$1200,B400,$C$5:$C$1200,C400,$D$5:$D$1200,D400)&gt;1,"ERRO: chave duplicada","OK")))</f>
        <v/>
      </c>
    </row>
    <row r="401" ht="15" customHeight="1" s="131">
      <c r="A401" s="320" t="n"/>
      <c r="B401" s="323" t="n"/>
      <c r="C401" s="320" t="n"/>
      <c r="D401" s="326" t="n"/>
      <c r="E401" s="324" t="n"/>
      <c r="F401" s="320" t="n"/>
      <c r="G401" s="327" t="n"/>
      <c r="H401" s="271" t="n"/>
      <c r="I401" s="275">
        <f>IF(COUNTA(A401:F401)=0,"",IF(OR(E401&lt;0,F401&lt;0,F401&gt;10),"ERRO: valores inválidos",IF(COUNTIFS($A$5:$A$1200,A401,$B$5:$B$1200,B401,$C$5:$C$1200,C401,$D$5:$D$1200,D401)&gt;1,"ERRO: chave duplicada","OK")))</f>
        <v/>
      </c>
    </row>
    <row r="402" ht="15" customHeight="1" s="131">
      <c r="A402" s="320" t="n"/>
      <c r="B402" s="323" t="n"/>
      <c r="C402" s="320" t="n"/>
      <c r="D402" s="326" t="n"/>
      <c r="E402" s="324" t="n"/>
      <c r="F402" s="320" t="n"/>
      <c r="G402" s="327" t="n"/>
      <c r="H402" s="271" t="n"/>
      <c r="I402" s="275">
        <f>IF(COUNTA(A402:F402)=0,"",IF(OR(E402&lt;0,F402&lt;0,F402&gt;10),"ERRO: valores inválidos",IF(COUNTIFS($A$5:$A$1200,A402,$B$5:$B$1200,B402,$C$5:$C$1200,C402,$D$5:$D$1200,D402)&gt;1,"ERRO: chave duplicada","OK")))</f>
        <v/>
      </c>
    </row>
    <row r="403" ht="15" customHeight="1" s="131">
      <c r="A403" s="320" t="n"/>
      <c r="B403" s="323" t="n"/>
      <c r="C403" s="320" t="n"/>
      <c r="D403" s="326" t="n"/>
      <c r="E403" s="324" t="n"/>
      <c r="F403" s="320" t="n"/>
      <c r="G403" s="327" t="n"/>
      <c r="H403" s="271" t="n"/>
      <c r="I403" s="275">
        <f>IF(COUNTA(A403:F403)=0,"",IF(OR(E403&lt;0,F403&lt;0,F403&gt;10),"ERRO: valores inválidos",IF(COUNTIFS($A$5:$A$1200,A403,$B$5:$B$1200,B403,$C$5:$C$1200,C403,$D$5:$D$1200,D403)&gt;1,"ERRO: chave duplicada","OK")))</f>
        <v/>
      </c>
    </row>
    <row r="404" ht="15" customHeight="1" s="131">
      <c r="A404" s="320" t="n"/>
      <c r="B404" s="323" t="n"/>
      <c r="C404" s="320" t="n"/>
      <c r="D404" s="326" t="n"/>
      <c r="E404" s="324" t="n"/>
      <c r="F404" s="320" t="n"/>
      <c r="G404" s="327" t="n"/>
      <c r="H404" s="271" t="n"/>
      <c r="I404" s="275">
        <f>IF(COUNTA(A404:F404)=0,"",IF(OR(E404&lt;0,F404&lt;0,F404&gt;10),"ERRO: valores inválidos",IF(COUNTIFS($A$5:$A$1200,A404,$B$5:$B$1200,B404,$C$5:$C$1200,C404,$D$5:$D$1200,D404)&gt;1,"ERRO: chave duplicada","OK")))</f>
        <v/>
      </c>
    </row>
    <row r="405" ht="15" customHeight="1" s="131">
      <c r="A405" s="320" t="n"/>
      <c r="B405" s="323" t="n"/>
      <c r="C405" s="320" t="n"/>
      <c r="D405" s="326" t="n"/>
      <c r="E405" s="324" t="n"/>
      <c r="F405" s="320" t="n"/>
      <c r="G405" s="327" t="n"/>
      <c r="H405" s="271" t="n"/>
      <c r="I405" s="275">
        <f>IF(COUNTA(A405:F405)=0,"",IF(OR(E405&lt;0,F405&lt;0,F405&gt;10),"ERRO: valores inválidos",IF(COUNTIFS($A$5:$A$1200,A405,$B$5:$B$1200,B405,$C$5:$C$1200,C405,$D$5:$D$1200,D405)&gt;1,"ERRO: chave duplicada","OK")))</f>
        <v/>
      </c>
    </row>
    <row r="406" ht="15" customHeight="1" s="131">
      <c r="A406" s="320" t="n"/>
      <c r="B406" s="323" t="n"/>
      <c r="C406" s="320" t="n"/>
      <c r="D406" s="326" t="n"/>
      <c r="E406" s="324" t="n"/>
      <c r="F406" s="320" t="n"/>
      <c r="G406" s="327" t="n"/>
      <c r="H406" s="271" t="n"/>
      <c r="I406" s="275">
        <f>IF(COUNTA(A406:F406)=0,"",IF(OR(E406&lt;0,F406&lt;0,F406&gt;10),"ERRO: valores inválidos",IF(COUNTIFS($A$5:$A$1200,A406,$B$5:$B$1200,B406,$C$5:$C$1200,C406,$D$5:$D$1200,D406)&gt;1,"ERRO: chave duplicada","OK")))</f>
        <v/>
      </c>
    </row>
    <row r="407" ht="15" customHeight="1" s="131">
      <c r="A407" s="320" t="n"/>
      <c r="B407" s="323" t="n"/>
      <c r="C407" s="320" t="n"/>
      <c r="D407" s="326" t="n"/>
      <c r="E407" s="324" t="n"/>
      <c r="F407" s="320" t="n"/>
      <c r="G407" s="327" t="n"/>
      <c r="H407" s="271" t="n"/>
      <c r="I407" s="275">
        <f>IF(COUNTA(A407:F407)=0,"",IF(OR(E407&lt;0,F407&lt;0,F407&gt;10),"ERRO: valores inválidos",IF(COUNTIFS($A$5:$A$1200,A407,$B$5:$B$1200,B407,$C$5:$C$1200,C407,$D$5:$D$1200,D407)&gt;1,"ERRO: chave duplicada","OK")))</f>
        <v/>
      </c>
    </row>
    <row r="408" ht="15" customHeight="1" s="131">
      <c r="A408" s="320" t="n"/>
      <c r="B408" s="323" t="n"/>
      <c r="C408" s="320" t="n"/>
      <c r="D408" s="326" t="n"/>
      <c r="E408" s="324" t="n"/>
      <c r="F408" s="320" t="n"/>
      <c r="G408" s="327" t="n"/>
      <c r="H408" s="271" t="n"/>
      <c r="I408" s="275">
        <f>IF(COUNTA(A408:F408)=0,"",IF(OR(E408&lt;0,F408&lt;0,F408&gt;10),"ERRO: valores inválidos",IF(COUNTIFS($A$5:$A$1200,A408,$B$5:$B$1200,B408,$C$5:$C$1200,C408,$D$5:$D$1200,D408)&gt;1,"ERRO: chave duplicada","OK")))</f>
        <v/>
      </c>
    </row>
    <row r="409" ht="15" customHeight="1" s="131">
      <c r="A409" s="320" t="n"/>
      <c r="B409" s="323" t="n"/>
      <c r="C409" s="320" t="n"/>
      <c r="D409" s="326" t="n"/>
      <c r="E409" s="324" t="n"/>
      <c r="F409" s="320" t="n"/>
      <c r="G409" s="327" t="n"/>
      <c r="H409" s="271" t="n"/>
      <c r="I409" s="275">
        <f>IF(COUNTA(A409:F409)=0,"",IF(OR(E409&lt;0,F409&lt;0,F409&gt;10),"ERRO: valores inválidos",IF(COUNTIFS($A$5:$A$1200,A409,$B$5:$B$1200,B409,$C$5:$C$1200,C409,$D$5:$D$1200,D409)&gt;1,"ERRO: chave duplicada","OK")))</f>
        <v/>
      </c>
    </row>
    <row r="410" ht="15" customHeight="1" s="131">
      <c r="A410" s="320" t="n"/>
      <c r="B410" s="323" t="n"/>
      <c r="C410" s="320" t="n"/>
      <c r="D410" s="326" t="n"/>
      <c r="E410" s="324" t="n"/>
      <c r="F410" s="320" t="n"/>
      <c r="G410" s="327" t="n"/>
      <c r="H410" s="271" t="n"/>
      <c r="I410" s="275">
        <f>IF(COUNTA(A410:F410)=0,"",IF(OR(E410&lt;0,F410&lt;0,F410&gt;10),"ERRO: valores inválidos",IF(COUNTIFS($A$5:$A$1200,A410,$B$5:$B$1200,B410,$C$5:$C$1200,C410,$D$5:$D$1200,D410)&gt;1,"ERRO: chave duplicada","OK")))</f>
        <v/>
      </c>
    </row>
    <row r="411" ht="15" customHeight="1" s="131">
      <c r="A411" s="320" t="n"/>
      <c r="B411" s="323" t="n"/>
      <c r="C411" s="320" t="n"/>
      <c r="D411" s="326" t="n"/>
      <c r="E411" s="324" t="n"/>
      <c r="F411" s="320" t="n"/>
      <c r="G411" s="327" t="n"/>
      <c r="H411" s="271" t="n"/>
      <c r="I411" s="275">
        <f>IF(COUNTA(A411:F411)=0,"",IF(OR(E411&lt;0,F411&lt;0,F411&gt;10),"ERRO: valores inválidos",IF(COUNTIFS($A$5:$A$1200,A411,$B$5:$B$1200,B411,$C$5:$C$1200,C411,$D$5:$D$1200,D411)&gt;1,"ERRO: chave duplicada","OK")))</f>
        <v/>
      </c>
    </row>
    <row r="412" ht="15" customHeight="1" s="131">
      <c r="A412" s="320" t="n"/>
      <c r="B412" s="323" t="n"/>
      <c r="C412" s="320" t="n"/>
      <c r="D412" s="326" t="n"/>
      <c r="E412" s="324" t="n"/>
      <c r="F412" s="320" t="n"/>
      <c r="G412" s="327" t="n"/>
      <c r="H412" s="271" t="n"/>
      <c r="I412" s="275">
        <f>IF(COUNTA(A412:F412)=0,"",IF(OR(E412&lt;0,F412&lt;0,F412&gt;10),"ERRO: valores inválidos",IF(COUNTIFS($A$5:$A$1200,A412,$B$5:$B$1200,B412,$C$5:$C$1200,C412,$D$5:$D$1200,D412)&gt;1,"ERRO: chave duplicada","OK")))</f>
        <v/>
      </c>
    </row>
    <row r="413" ht="15" customHeight="1" s="131">
      <c r="A413" s="320" t="n"/>
      <c r="B413" s="323" t="n"/>
      <c r="C413" s="320" t="n"/>
      <c r="D413" s="326" t="n"/>
      <c r="E413" s="324" t="n"/>
      <c r="F413" s="320" t="n"/>
      <c r="G413" s="327" t="n"/>
      <c r="H413" s="271" t="n"/>
      <c r="I413" s="275">
        <f>IF(COUNTA(A413:F413)=0,"",IF(OR(E413&lt;0,F413&lt;0,F413&gt;10),"ERRO: valores inválidos",IF(COUNTIFS($A$5:$A$1200,A413,$B$5:$B$1200,B413,$C$5:$C$1200,C413,$D$5:$D$1200,D413)&gt;1,"ERRO: chave duplicada","OK")))</f>
        <v/>
      </c>
    </row>
    <row r="414" ht="15" customHeight="1" s="131">
      <c r="A414" s="320" t="n"/>
      <c r="B414" s="323" t="n"/>
      <c r="C414" s="320" t="n"/>
      <c r="D414" s="326" t="n"/>
      <c r="E414" s="324" t="n"/>
      <c r="F414" s="320" t="n"/>
      <c r="G414" s="327" t="n"/>
      <c r="H414" s="271" t="n"/>
      <c r="I414" s="275">
        <f>IF(COUNTA(A414:F414)=0,"",IF(OR(E414&lt;0,F414&lt;0,F414&gt;10),"ERRO: valores inválidos",IF(COUNTIFS($A$5:$A$1200,A414,$B$5:$B$1200,B414,$C$5:$C$1200,C414,$D$5:$D$1200,D414)&gt;1,"ERRO: chave duplicada","OK")))</f>
        <v/>
      </c>
    </row>
    <row r="415" ht="15" customHeight="1" s="131">
      <c r="A415" s="320" t="n"/>
      <c r="B415" s="323" t="n"/>
      <c r="C415" s="320" t="n"/>
      <c r="D415" s="326" t="n"/>
      <c r="E415" s="324" t="n"/>
      <c r="F415" s="320" t="n"/>
      <c r="G415" s="327" t="n"/>
      <c r="H415" s="271" t="n"/>
      <c r="I415" s="275">
        <f>IF(COUNTA(A415:F415)=0,"",IF(OR(E415&lt;0,F415&lt;0,F415&gt;10),"ERRO: valores inválidos",IF(COUNTIFS($A$5:$A$1200,A415,$B$5:$B$1200,B415,$C$5:$C$1200,C415,$D$5:$D$1200,D415)&gt;1,"ERRO: chave duplicada","OK")))</f>
        <v/>
      </c>
    </row>
    <row r="416" ht="15" customHeight="1" s="131">
      <c r="A416" s="320" t="n"/>
      <c r="B416" s="323" t="n"/>
      <c r="C416" s="320" t="n"/>
      <c r="D416" s="326" t="n"/>
      <c r="E416" s="324" t="n"/>
      <c r="F416" s="320" t="n"/>
      <c r="G416" s="327" t="n"/>
      <c r="H416" s="271" t="n"/>
      <c r="I416" s="275">
        <f>IF(COUNTA(A416:F416)=0,"",IF(OR(E416&lt;0,F416&lt;0,F416&gt;10),"ERRO: valores inválidos",IF(COUNTIFS($A$5:$A$1200,A416,$B$5:$B$1200,B416,$C$5:$C$1200,C416,$D$5:$D$1200,D416)&gt;1,"ERRO: chave duplicada","OK")))</f>
        <v/>
      </c>
    </row>
    <row r="417" ht="15" customHeight="1" s="131">
      <c r="A417" s="320" t="n"/>
      <c r="B417" s="323" t="n"/>
      <c r="C417" s="320" t="n"/>
      <c r="D417" s="326" t="n"/>
      <c r="E417" s="324" t="n"/>
      <c r="F417" s="320" t="n"/>
      <c r="G417" s="327" t="n"/>
      <c r="H417" s="271" t="n"/>
      <c r="I417" s="275">
        <f>IF(COUNTA(A417:F417)=0,"",IF(OR(E417&lt;0,F417&lt;0,F417&gt;10),"ERRO: valores inválidos",IF(COUNTIFS($A$5:$A$1200,A417,$B$5:$B$1200,B417,$C$5:$C$1200,C417,$D$5:$D$1200,D417)&gt;1,"ERRO: chave duplicada","OK")))</f>
        <v/>
      </c>
    </row>
    <row r="418" ht="15" customHeight="1" s="131">
      <c r="A418" s="320" t="n"/>
      <c r="B418" s="323" t="n"/>
      <c r="C418" s="320" t="n"/>
      <c r="D418" s="326" t="n"/>
      <c r="E418" s="324" t="n"/>
      <c r="F418" s="320" t="n"/>
      <c r="G418" s="327" t="n"/>
      <c r="H418" s="271" t="n"/>
      <c r="I418" s="275">
        <f>IF(COUNTA(A418:F418)=0,"",IF(OR(E418&lt;0,F418&lt;0,F418&gt;10),"ERRO: valores inválidos",IF(COUNTIFS($A$5:$A$1200,A418,$B$5:$B$1200,B418,$C$5:$C$1200,C418,$D$5:$D$1200,D418)&gt;1,"ERRO: chave duplicada","OK")))</f>
        <v/>
      </c>
    </row>
    <row r="419" ht="15" customHeight="1" s="131">
      <c r="A419" s="320" t="n"/>
      <c r="B419" s="323" t="n"/>
      <c r="C419" s="320" t="n"/>
      <c r="D419" s="326" t="n"/>
      <c r="E419" s="324" t="n"/>
      <c r="F419" s="320" t="n"/>
      <c r="G419" s="327" t="n"/>
      <c r="H419" s="271" t="n"/>
      <c r="I419" s="275">
        <f>IF(COUNTA(A419:F419)=0,"",IF(OR(E419&lt;0,F419&lt;0,F419&gt;10),"ERRO: valores inválidos",IF(COUNTIFS($A$5:$A$1200,A419,$B$5:$B$1200,B419,$C$5:$C$1200,C419,$D$5:$D$1200,D419)&gt;1,"ERRO: chave duplicada","OK")))</f>
        <v/>
      </c>
    </row>
    <row r="420" ht="15" customHeight="1" s="131">
      <c r="A420" s="320" t="n"/>
      <c r="B420" s="323" t="n"/>
      <c r="C420" s="320" t="n"/>
      <c r="D420" s="326" t="n"/>
      <c r="E420" s="324" t="n"/>
      <c r="F420" s="320" t="n"/>
      <c r="G420" s="327" t="n"/>
      <c r="H420" s="271" t="n"/>
      <c r="I420" s="275">
        <f>IF(COUNTA(A420:F420)=0,"",IF(OR(E420&lt;0,F420&lt;0,F420&gt;10),"ERRO: valores inválidos",IF(COUNTIFS($A$5:$A$1200,A420,$B$5:$B$1200,B420,$C$5:$C$1200,C420,$D$5:$D$1200,D420)&gt;1,"ERRO: chave duplicada","OK")))</f>
        <v/>
      </c>
    </row>
    <row r="421" ht="15" customHeight="1" s="131">
      <c r="A421" s="320" t="n"/>
      <c r="B421" s="323" t="n"/>
      <c r="C421" s="320" t="n"/>
      <c r="D421" s="326" t="n"/>
      <c r="E421" s="324" t="n"/>
      <c r="F421" s="320" t="n"/>
      <c r="G421" s="327" t="n"/>
      <c r="H421" s="271" t="n"/>
      <c r="I421" s="275">
        <f>IF(COUNTA(A421:F421)=0,"",IF(OR(E421&lt;0,F421&lt;0,F421&gt;10),"ERRO: valores inválidos",IF(COUNTIFS($A$5:$A$1200,A421,$B$5:$B$1200,B421,$C$5:$C$1200,C421,$D$5:$D$1200,D421)&gt;1,"ERRO: chave duplicada","OK")))</f>
        <v/>
      </c>
    </row>
    <row r="422" ht="15" customHeight="1" s="131">
      <c r="A422" s="320" t="n"/>
      <c r="B422" s="323" t="n"/>
      <c r="C422" s="320" t="n"/>
      <c r="D422" s="326" t="n"/>
      <c r="E422" s="324" t="n"/>
      <c r="F422" s="320" t="n"/>
      <c r="G422" s="327" t="n"/>
      <c r="H422" s="271" t="n"/>
      <c r="I422" s="275">
        <f>IF(COUNTA(A422:F422)=0,"",IF(OR(E422&lt;0,F422&lt;0,F422&gt;10),"ERRO: valores inválidos",IF(COUNTIFS($A$5:$A$1200,A422,$B$5:$B$1200,B422,$C$5:$C$1200,C422,$D$5:$D$1200,D422)&gt;1,"ERRO: chave duplicada","OK")))</f>
        <v/>
      </c>
    </row>
    <row r="423" ht="15" customHeight="1" s="131">
      <c r="A423" s="320" t="n"/>
      <c r="B423" s="323" t="n"/>
      <c r="C423" s="320" t="n"/>
      <c r="D423" s="326" t="n"/>
      <c r="E423" s="324" t="n"/>
      <c r="F423" s="320" t="n"/>
      <c r="G423" s="327" t="n"/>
      <c r="H423" s="271" t="n"/>
      <c r="I423" s="275">
        <f>IF(COUNTA(A423:F423)=0,"",IF(OR(E423&lt;0,F423&lt;0,F423&gt;10),"ERRO: valores inválidos",IF(COUNTIFS($A$5:$A$1200,A423,$B$5:$B$1200,B423,$C$5:$C$1200,C423,$D$5:$D$1200,D423)&gt;1,"ERRO: chave duplicada","OK")))</f>
        <v/>
      </c>
    </row>
    <row r="424" ht="15" customHeight="1" s="131">
      <c r="A424" s="320" t="n"/>
      <c r="B424" s="323" t="n"/>
      <c r="C424" s="320" t="n"/>
      <c r="D424" s="326" t="n"/>
      <c r="E424" s="324" t="n"/>
      <c r="F424" s="320" t="n"/>
      <c r="G424" s="327" t="n"/>
      <c r="H424" s="271" t="n"/>
      <c r="I424" s="275">
        <f>IF(COUNTA(A424:F424)=0,"",IF(OR(E424&lt;0,F424&lt;0,F424&gt;10),"ERRO: valores inválidos",IF(COUNTIFS($A$5:$A$1200,A424,$B$5:$B$1200,B424,$C$5:$C$1200,C424,$D$5:$D$1200,D424)&gt;1,"ERRO: chave duplicada","OK")))</f>
        <v/>
      </c>
    </row>
    <row r="425" ht="15" customHeight="1" s="131">
      <c r="A425" s="320" t="n"/>
      <c r="B425" s="323" t="n"/>
      <c r="C425" s="320" t="n"/>
      <c r="D425" s="326" t="n"/>
      <c r="E425" s="324" t="n"/>
      <c r="F425" s="320" t="n"/>
      <c r="G425" s="327" t="n"/>
      <c r="H425" s="271" t="n"/>
      <c r="I425" s="275">
        <f>IF(COUNTA(A425:F425)=0,"",IF(OR(E425&lt;0,F425&lt;0,F425&gt;10),"ERRO: valores inválidos",IF(COUNTIFS($A$5:$A$1200,A425,$B$5:$B$1200,B425,$C$5:$C$1200,C425,$D$5:$D$1200,D425)&gt;1,"ERRO: chave duplicada","OK")))</f>
        <v/>
      </c>
    </row>
    <row r="426" ht="15" customHeight="1" s="131">
      <c r="A426" s="320" t="n"/>
      <c r="B426" s="323" t="n"/>
      <c r="C426" s="320" t="n"/>
      <c r="D426" s="326" t="n"/>
      <c r="E426" s="324" t="n"/>
      <c r="F426" s="320" t="n"/>
      <c r="G426" s="327" t="n"/>
      <c r="H426" s="271" t="n"/>
      <c r="I426" s="275">
        <f>IF(COUNTA(A426:F426)=0,"",IF(OR(E426&lt;0,F426&lt;0,F426&gt;10),"ERRO: valores inválidos",IF(COUNTIFS($A$5:$A$1200,A426,$B$5:$B$1200,B426,$C$5:$C$1200,C426,$D$5:$D$1200,D426)&gt;1,"ERRO: chave duplicada","OK")))</f>
        <v/>
      </c>
    </row>
    <row r="427" ht="15" customHeight="1" s="131">
      <c r="A427" s="320" t="n"/>
      <c r="B427" s="323" t="n"/>
      <c r="C427" s="320" t="n"/>
      <c r="D427" s="326" t="n"/>
      <c r="E427" s="324" t="n"/>
      <c r="F427" s="320" t="n"/>
      <c r="G427" s="327" t="n"/>
      <c r="H427" s="271" t="n"/>
      <c r="I427" s="275">
        <f>IF(COUNTA(A427:F427)=0,"",IF(OR(E427&lt;0,F427&lt;0,F427&gt;10),"ERRO: valores inválidos",IF(COUNTIFS($A$5:$A$1200,A427,$B$5:$B$1200,B427,$C$5:$C$1200,C427,$D$5:$D$1200,D427)&gt;1,"ERRO: chave duplicada","OK")))</f>
        <v/>
      </c>
    </row>
    <row r="428" ht="15" customHeight="1" s="131">
      <c r="A428" s="320" t="n"/>
      <c r="B428" s="323" t="n"/>
      <c r="C428" s="320" t="n"/>
      <c r="D428" s="326" t="n"/>
      <c r="E428" s="324" t="n"/>
      <c r="F428" s="320" t="n"/>
      <c r="G428" s="327" t="n"/>
      <c r="H428" s="271" t="n"/>
      <c r="I428" s="275">
        <f>IF(COUNTA(A428:F428)=0,"",IF(OR(E428&lt;0,F428&lt;0,F428&gt;10),"ERRO: valores inválidos",IF(COUNTIFS($A$5:$A$1200,A428,$B$5:$B$1200,B428,$C$5:$C$1200,C428,$D$5:$D$1200,D428)&gt;1,"ERRO: chave duplicada","OK")))</f>
        <v/>
      </c>
    </row>
    <row r="429" ht="15" customHeight="1" s="131">
      <c r="A429" s="320" t="n"/>
      <c r="B429" s="323" t="n"/>
      <c r="C429" s="320" t="n"/>
      <c r="D429" s="326" t="n"/>
      <c r="E429" s="324" t="n"/>
      <c r="F429" s="320" t="n"/>
      <c r="G429" s="327" t="n"/>
      <c r="H429" s="271" t="n"/>
      <c r="I429" s="275">
        <f>IF(COUNTA(A429:F429)=0,"",IF(OR(E429&lt;0,F429&lt;0,F429&gt;10),"ERRO: valores inválidos",IF(COUNTIFS($A$5:$A$1200,A429,$B$5:$B$1200,B429,$C$5:$C$1200,C429,$D$5:$D$1200,D429)&gt;1,"ERRO: chave duplicada","OK")))</f>
        <v/>
      </c>
    </row>
    <row r="430" ht="15" customHeight="1" s="131">
      <c r="A430" s="320" t="n"/>
      <c r="B430" s="323" t="n"/>
      <c r="C430" s="320" t="n"/>
      <c r="D430" s="326" t="n"/>
      <c r="E430" s="324" t="n"/>
      <c r="F430" s="320" t="n"/>
      <c r="G430" s="327" t="n"/>
      <c r="H430" s="271" t="n"/>
      <c r="I430" s="275">
        <f>IF(COUNTA(A430:F430)=0,"",IF(OR(E430&lt;0,F430&lt;0,F430&gt;10),"ERRO: valores inválidos",IF(COUNTIFS($A$5:$A$1200,A430,$B$5:$B$1200,B430,$C$5:$C$1200,C430,$D$5:$D$1200,D430)&gt;1,"ERRO: chave duplicada","OK")))</f>
        <v/>
      </c>
    </row>
    <row r="431" ht="15" customHeight="1" s="131">
      <c r="A431" s="320" t="n"/>
      <c r="B431" s="323" t="n"/>
      <c r="C431" s="320" t="n"/>
      <c r="D431" s="326" t="n"/>
      <c r="E431" s="324" t="n"/>
      <c r="F431" s="320" t="n"/>
      <c r="G431" s="327" t="n"/>
      <c r="H431" s="271" t="n"/>
      <c r="I431" s="275">
        <f>IF(COUNTA(A431:F431)=0,"",IF(OR(E431&lt;0,F431&lt;0,F431&gt;10),"ERRO: valores inválidos",IF(COUNTIFS($A$5:$A$1200,A431,$B$5:$B$1200,B431,$C$5:$C$1200,C431,$D$5:$D$1200,D431)&gt;1,"ERRO: chave duplicada","OK")))</f>
        <v/>
      </c>
    </row>
    <row r="432" ht="15" customHeight="1" s="131">
      <c r="A432" s="320" t="n"/>
      <c r="B432" s="323" t="n"/>
      <c r="C432" s="320" t="n"/>
      <c r="D432" s="326" t="n"/>
      <c r="E432" s="324" t="n"/>
      <c r="F432" s="320" t="n"/>
      <c r="G432" s="327" t="n"/>
      <c r="H432" s="271" t="n"/>
      <c r="I432" s="275">
        <f>IF(COUNTA(A432:F432)=0,"",IF(OR(E432&lt;0,F432&lt;0,F432&gt;10),"ERRO: valores inválidos",IF(COUNTIFS($A$5:$A$1200,A432,$B$5:$B$1200,B432,$C$5:$C$1200,C432,$D$5:$D$1200,D432)&gt;1,"ERRO: chave duplicada","OK")))</f>
        <v/>
      </c>
    </row>
    <row r="433" ht="15" customHeight="1" s="131">
      <c r="A433" s="320" t="n"/>
      <c r="B433" s="323" t="n"/>
      <c r="C433" s="320" t="n"/>
      <c r="D433" s="326" t="n"/>
      <c r="E433" s="324" t="n"/>
      <c r="F433" s="320" t="n"/>
      <c r="G433" s="327" t="n"/>
      <c r="H433" s="271" t="n"/>
      <c r="I433" s="275">
        <f>IF(COUNTA(A433:F433)=0,"",IF(OR(E433&lt;0,F433&lt;0,F433&gt;10),"ERRO: valores inválidos",IF(COUNTIFS($A$5:$A$1200,A433,$B$5:$B$1200,B433,$C$5:$C$1200,C433,$D$5:$D$1200,D433)&gt;1,"ERRO: chave duplicada","OK")))</f>
        <v/>
      </c>
    </row>
    <row r="434" ht="15" customHeight="1" s="131">
      <c r="A434" s="320" t="n"/>
      <c r="B434" s="323" t="n"/>
      <c r="C434" s="320" t="n"/>
      <c r="D434" s="326" t="n"/>
      <c r="E434" s="324" t="n"/>
      <c r="F434" s="320" t="n"/>
      <c r="G434" s="327" t="n"/>
      <c r="H434" s="271" t="n"/>
      <c r="I434" s="275">
        <f>IF(COUNTA(A434:F434)=0,"",IF(OR(E434&lt;0,F434&lt;0,F434&gt;10),"ERRO: valores inválidos",IF(COUNTIFS($A$5:$A$1200,A434,$B$5:$B$1200,B434,$C$5:$C$1200,C434,$D$5:$D$1200,D434)&gt;1,"ERRO: chave duplicada","OK")))</f>
        <v/>
      </c>
    </row>
    <row r="435" ht="15" customHeight="1" s="131">
      <c r="A435" s="320" t="n"/>
      <c r="B435" s="323" t="n"/>
      <c r="C435" s="320" t="n"/>
      <c r="D435" s="326" t="n"/>
      <c r="E435" s="324" t="n"/>
      <c r="F435" s="320" t="n"/>
      <c r="G435" s="327" t="n"/>
      <c r="H435" s="271" t="n"/>
      <c r="I435" s="275">
        <f>IF(COUNTA(A435:F435)=0,"",IF(OR(E435&lt;0,F435&lt;0,F435&gt;10),"ERRO: valores inválidos",IF(COUNTIFS($A$5:$A$1200,A435,$B$5:$B$1200,B435,$C$5:$C$1200,C435,$D$5:$D$1200,D435)&gt;1,"ERRO: chave duplicada","OK")))</f>
        <v/>
      </c>
    </row>
    <row r="436" ht="15" customHeight="1" s="131">
      <c r="A436" s="320" t="n"/>
      <c r="B436" s="323" t="n"/>
      <c r="C436" s="320" t="n"/>
      <c r="D436" s="326" t="n"/>
      <c r="E436" s="324" t="n"/>
      <c r="F436" s="320" t="n"/>
      <c r="G436" s="327" t="n"/>
      <c r="H436" s="271" t="n"/>
      <c r="I436" s="275">
        <f>IF(COUNTA(A436:F436)=0,"",IF(OR(E436&lt;0,F436&lt;0,F436&gt;10),"ERRO: valores inválidos",IF(COUNTIFS($A$5:$A$1200,A436,$B$5:$B$1200,B436,$C$5:$C$1200,C436,$D$5:$D$1200,D436)&gt;1,"ERRO: chave duplicada","OK")))</f>
        <v/>
      </c>
    </row>
    <row r="437" ht="15" customHeight="1" s="131">
      <c r="A437" s="320" t="n"/>
      <c r="B437" s="323" t="n"/>
      <c r="C437" s="320" t="n"/>
      <c r="D437" s="326" t="n"/>
      <c r="E437" s="324" t="n"/>
      <c r="F437" s="320" t="n"/>
      <c r="G437" s="327" t="n"/>
      <c r="H437" s="271" t="n"/>
      <c r="I437" s="275">
        <f>IF(COUNTA(A437:F437)=0,"",IF(OR(E437&lt;0,F437&lt;0,F437&gt;10),"ERRO: valores inválidos",IF(COUNTIFS($A$5:$A$1200,A437,$B$5:$B$1200,B437,$C$5:$C$1200,C437,$D$5:$D$1200,D437)&gt;1,"ERRO: chave duplicada","OK")))</f>
        <v/>
      </c>
    </row>
    <row r="438" ht="15" customHeight="1" s="131">
      <c r="A438" s="320" t="n"/>
      <c r="B438" s="323" t="n"/>
      <c r="C438" s="320" t="n"/>
      <c r="D438" s="326" t="n"/>
      <c r="E438" s="324" t="n"/>
      <c r="F438" s="320" t="n"/>
      <c r="G438" s="327" t="n"/>
      <c r="H438" s="271" t="n"/>
      <c r="I438" s="275">
        <f>IF(COUNTA(A438:F438)=0,"",IF(OR(E438&lt;0,F438&lt;0,F438&gt;10),"ERRO: valores inválidos",IF(COUNTIFS($A$5:$A$1200,A438,$B$5:$B$1200,B438,$C$5:$C$1200,C438,$D$5:$D$1200,D438)&gt;1,"ERRO: chave duplicada","OK")))</f>
        <v/>
      </c>
    </row>
    <row r="439" ht="15" customHeight="1" s="131">
      <c r="A439" s="320" t="n"/>
      <c r="B439" s="323" t="n"/>
      <c r="C439" s="320" t="n"/>
      <c r="D439" s="326" t="n"/>
      <c r="E439" s="324" t="n"/>
      <c r="F439" s="320" t="n"/>
      <c r="G439" s="327" t="n"/>
      <c r="H439" s="271" t="n"/>
      <c r="I439" s="275">
        <f>IF(COUNTA(A439:F439)=0,"",IF(OR(E439&lt;0,F439&lt;0,F439&gt;10),"ERRO: valores inválidos",IF(COUNTIFS($A$5:$A$1200,A439,$B$5:$B$1200,B439,$C$5:$C$1200,C439,$D$5:$D$1200,D439)&gt;1,"ERRO: chave duplicada","OK")))</f>
        <v/>
      </c>
    </row>
    <row r="440" ht="15" customHeight="1" s="131">
      <c r="A440" s="320" t="n"/>
      <c r="B440" s="323" t="n"/>
      <c r="C440" s="320" t="n"/>
      <c r="D440" s="326" t="n"/>
      <c r="E440" s="324" t="n"/>
      <c r="F440" s="320" t="n"/>
      <c r="G440" s="327" t="n"/>
      <c r="H440" s="271" t="n"/>
      <c r="I440" s="275">
        <f>IF(COUNTA(A440:F440)=0,"",IF(OR(E440&lt;0,F440&lt;0,F440&gt;10),"ERRO: valores inválidos",IF(COUNTIFS($A$5:$A$1200,A440,$B$5:$B$1200,B440,$C$5:$C$1200,C440,$D$5:$D$1200,D440)&gt;1,"ERRO: chave duplicada","OK")))</f>
        <v/>
      </c>
    </row>
    <row r="441" ht="15" customHeight="1" s="131">
      <c r="A441" s="320" t="n"/>
      <c r="B441" s="323" t="n"/>
      <c r="C441" s="320" t="n"/>
      <c r="D441" s="326" t="n"/>
      <c r="E441" s="324" t="n"/>
      <c r="F441" s="320" t="n"/>
      <c r="G441" s="327" t="n"/>
      <c r="H441" s="271" t="n"/>
      <c r="I441" s="275">
        <f>IF(COUNTA(A441:F441)=0,"",IF(OR(E441&lt;0,F441&lt;0,F441&gt;10),"ERRO: valores inválidos",IF(COUNTIFS($A$5:$A$1200,A441,$B$5:$B$1200,B441,$C$5:$C$1200,C441,$D$5:$D$1200,D441)&gt;1,"ERRO: chave duplicada","OK")))</f>
        <v/>
      </c>
    </row>
    <row r="442" ht="15" customHeight="1" s="131">
      <c r="A442" s="320" t="n"/>
      <c r="B442" s="323" t="n"/>
      <c r="C442" s="320" t="n"/>
      <c r="D442" s="326" t="n"/>
      <c r="E442" s="324" t="n"/>
      <c r="F442" s="320" t="n"/>
      <c r="G442" s="327" t="n"/>
      <c r="H442" s="271" t="n"/>
      <c r="I442" s="275">
        <f>IF(COUNTA(A442:F442)=0,"",IF(OR(E442&lt;0,F442&lt;0,F442&gt;10),"ERRO: valores inválidos",IF(COUNTIFS($A$5:$A$1200,A442,$B$5:$B$1200,B442,$C$5:$C$1200,C442,$D$5:$D$1200,D442)&gt;1,"ERRO: chave duplicada","OK")))</f>
        <v/>
      </c>
    </row>
    <row r="443" ht="15" customHeight="1" s="131">
      <c r="A443" s="320" t="n"/>
      <c r="B443" s="323" t="n"/>
      <c r="C443" s="320" t="n"/>
      <c r="D443" s="326" t="n"/>
      <c r="E443" s="324" t="n"/>
      <c r="F443" s="320" t="n"/>
      <c r="G443" s="327" t="n"/>
      <c r="H443" s="271" t="n"/>
      <c r="I443" s="275">
        <f>IF(COUNTA(A443:F443)=0,"",IF(OR(E443&lt;0,F443&lt;0,F443&gt;10),"ERRO: valores inválidos",IF(COUNTIFS($A$5:$A$1200,A443,$B$5:$B$1200,B443,$C$5:$C$1200,C443,$D$5:$D$1200,D443)&gt;1,"ERRO: chave duplicada","OK")))</f>
        <v/>
      </c>
    </row>
    <row r="444" ht="15" customHeight="1" s="131">
      <c r="A444" s="320" t="n"/>
      <c r="B444" s="323" t="n"/>
      <c r="C444" s="320" t="n"/>
      <c r="D444" s="326" t="n"/>
      <c r="E444" s="324" t="n"/>
      <c r="F444" s="320" t="n"/>
      <c r="G444" s="327" t="n"/>
      <c r="H444" s="271" t="n"/>
      <c r="I444" s="275">
        <f>IF(COUNTA(A444:F444)=0,"",IF(OR(E444&lt;0,F444&lt;0,F444&gt;10),"ERRO: valores inválidos",IF(COUNTIFS($A$5:$A$1200,A444,$B$5:$B$1200,B444,$C$5:$C$1200,C444,$D$5:$D$1200,D444)&gt;1,"ERRO: chave duplicada","OK")))</f>
        <v/>
      </c>
    </row>
    <row r="445" ht="15" customHeight="1" s="131">
      <c r="A445" s="320" t="n"/>
      <c r="B445" s="323" t="n"/>
      <c r="C445" s="320" t="n"/>
      <c r="D445" s="326" t="n"/>
      <c r="E445" s="324" t="n"/>
      <c r="F445" s="320" t="n"/>
      <c r="G445" s="327" t="n"/>
      <c r="H445" s="271" t="n"/>
      <c r="I445" s="275">
        <f>IF(COUNTA(A445:F445)=0,"",IF(OR(E445&lt;0,F445&lt;0,F445&gt;10),"ERRO: valores inválidos",IF(COUNTIFS($A$5:$A$1200,A445,$B$5:$B$1200,B445,$C$5:$C$1200,C445,$D$5:$D$1200,D445)&gt;1,"ERRO: chave duplicada","OK")))</f>
        <v/>
      </c>
    </row>
    <row r="446" ht="15" customHeight="1" s="131">
      <c r="A446" s="320" t="n"/>
      <c r="B446" s="323" t="n"/>
      <c r="C446" s="320" t="n"/>
      <c r="D446" s="326" t="n"/>
      <c r="E446" s="324" t="n"/>
      <c r="F446" s="320" t="n"/>
      <c r="G446" s="327" t="n"/>
      <c r="H446" s="271" t="n"/>
      <c r="I446" s="275">
        <f>IF(COUNTA(A446:F446)=0,"",IF(OR(E446&lt;0,F446&lt;0,F446&gt;10),"ERRO: valores inválidos",IF(COUNTIFS($A$5:$A$1200,A446,$B$5:$B$1200,B446,$C$5:$C$1200,C446,$D$5:$D$1200,D446)&gt;1,"ERRO: chave duplicada","OK")))</f>
        <v/>
      </c>
    </row>
    <row r="447" ht="15" customHeight="1" s="131">
      <c r="A447" s="320" t="n"/>
      <c r="B447" s="323" t="n"/>
      <c r="C447" s="320" t="n"/>
      <c r="D447" s="326" t="n"/>
      <c r="E447" s="324" t="n"/>
      <c r="F447" s="320" t="n"/>
      <c r="G447" s="327" t="n"/>
      <c r="H447" s="271" t="n"/>
      <c r="I447" s="275">
        <f>IF(COUNTA(A447:F447)=0,"",IF(OR(E447&lt;0,F447&lt;0,F447&gt;10),"ERRO: valores inválidos",IF(COUNTIFS($A$5:$A$1200,A447,$B$5:$B$1200,B447,$C$5:$C$1200,C447,$D$5:$D$1200,D447)&gt;1,"ERRO: chave duplicada","OK")))</f>
        <v/>
      </c>
    </row>
    <row r="448" ht="15" customHeight="1" s="131">
      <c r="A448" s="320" t="n"/>
      <c r="B448" s="323" t="n"/>
      <c r="C448" s="320" t="n"/>
      <c r="D448" s="326" t="n"/>
      <c r="E448" s="324" t="n"/>
      <c r="F448" s="320" t="n"/>
      <c r="G448" s="327" t="n"/>
      <c r="H448" s="271" t="n"/>
      <c r="I448" s="275">
        <f>IF(COUNTA(A448:F448)=0,"",IF(OR(E448&lt;0,F448&lt;0,F448&gt;10),"ERRO: valores inválidos",IF(COUNTIFS($A$5:$A$1200,A448,$B$5:$B$1200,B448,$C$5:$C$1200,C448,$D$5:$D$1200,D448)&gt;1,"ERRO: chave duplicada","OK")))</f>
        <v/>
      </c>
    </row>
    <row r="449" ht="15" customHeight="1" s="131">
      <c r="A449" s="320" t="n"/>
      <c r="B449" s="323" t="n"/>
      <c r="C449" s="320" t="n"/>
      <c r="D449" s="326" t="n"/>
      <c r="E449" s="324" t="n"/>
      <c r="F449" s="320" t="n"/>
      <c r="G449" s="327" t="n"/>
      <c r="H449" s="271" t="n"/>
      <c r="I449" s="275">
        <f>IF(COUNTA(A449:F449)=0,"",IF(OR(E449&lt;0,F449&lt;0,F449&gt;10),"ERRO: valores inválidos",IF(COUNTIFS($A$5:$A$1200,A449,$B$5:$B$1200,B449,$C$5:$C$1200,C449,$D$5:$D$1200,D449)&gt;1,"ERRO: chave duplicada","OK")))</f>
        <v/>
      </c>
    </row>
    <row r="450" ht="15" customHeight="1" s="131">
      <c r="A450" s="320" t="n"/>
      <c r="B450" s="323" t="n"/>
      <c r="C450" s="320" t="n"/>
      <c r="D450" s="326" t="n"/>
      <c r="E450" s="324" t="n"/>
      <c r="F450" s="320" t="n"/>
      <c r="G450" s="327" t="n"/>
      <c r="H450" s="271" t="n"/>
      <c r="I450" s="275">
        <f>IF(COUNTA(A450:F450)=0,"",IF(OR(E450&lt;0,F450&lt;0,F450&gt;10),"ERRO: valores inválidos",IF(COUNTIFS($A$5:$A$1200,A450,$B$5:$B$1200,B450,$C$5:$C$1200,C450,$D$5:$D$1200,D450)&gt;1,"ERRO: chave duplicada","OK")))</f>
        <v/>
      </c>
    </row>
    <row r="451" ht="15" customHeight="1" s="131">
      <c r="A451" s="320" t="n"/>
      <c r="B451" s="323" t="n"/>
      <c r="C451" s="320" t="n"/>
      <c r="D451" s="326" t="n"/>
      <c r="E451" s="324" t="n"/>
      <c r="F451" s="320" t="n"/>
      <c r="G451" s="327" t="n"/>
      <c r="H451" s="271" t="n"/>
      <c r="I451" s="275">
        <f>IF(COUNTA(A451:F451)=0,"",IF(OR(E451&lt;0,F451&lt;0,F451&gt;10),"ERRO: valores inválidos",IF(COUNTIFS($A$5:$A$1200,A451,$B$5:$B$1200,B451,$C$5:$C$1200,C451,$D$5:$D$1200,D451)&gt;1,"ERRO: chave duplicada","OK")))</f>
        <v/>
      </c>
    </row>
    <row r="452" ht="15" customHeight="1" s="131">
      <c r="A452" s="320" t="n"/>
      <c r="B452" s="323" t="n"/>
      <c r="C452" s="320" t="n"/>
      <c r="D452" s="326" t="n"/>
      <c r="E452" s="324" t="n"/>
      <c r="F452" s="320" t="n"/>
      <c r="G452" s="327" t="n"/>
      <c r="H452" s="271" t="n"/>
      <c r="I452" s="275">
        <f>IF(COUNTA(A452:F452)=0,"",IF(OR(E452&lt;0,F452&lt;0,F452&gt;10),"ERRO: valores inválidos",IF(COUNTIFS($A$5:$A$1200,A452,$B$5:$B$1200,B452,$C$5:$C$1200,C452,$D$5:$D$1200,D452)&gt;1,"ERRO: chave duplicada","OK")))</f>
        <v/>
      </c>
    </row>
    <row r="453" ht="15" customHeight="1" s="131">
      <c r="A453" s="320" t="n"/>
      <c r="B453" s="323" t="n"/>
      <c r="C453" s="320" t="n"/>
      <c r="D453" s="326" t="n"/>
      <c r="E453" s="324" t="n"/>
      <c r="F453" s="320" t="n"/>
      <c r="G453" s="327" t="n"/>
      <c r="H453" s="271" t="n"/>
      <c r="I453" s="275">
        <f>IF(COUNTA(A453:F453)=0,"",IF(OR(E453&lt;0,F453&lt;0,F453&gt;10),"ERRO: valores inválidos",IF(COUNTIFS($A$5:$A$1200,A453,$B$5:$B$1200,B453,$C$5:$C$1200,C453,$D$5:$D$1200,D453)&gt;1,"ERRO: chave duplicada","OK")))</f>
        <v/>
      </c>
    </row>
    <row r="454" ht="15" customHeight="1" s="131">
      <c r="A454" s="320" t="n"/>
      <c r="B454" s="323" t="n"/>
      <c r="C454" s="320" t="n"/>
      <c r="D454" s="326" t="n"/>
      <c r="E454" s="324" t="n"/>
      <c r="F454" s="320" t="n"/>
      <c r="G454" s="327" t="n"/>
      <c r="H454" s="271" t="n"/>
      <c r="I454" s="275">
        <f>IF(COUNTA(A454:F454)=0,"",IF(OR(E454&lt;0,F454&lt;0,F454&gt;10),"ERRO: valores inválidos",IF(COUNTIFS($A$5:$A$1200,A454,$B$5:$B$1200,B454,$C$5:$C$1200,C454,$D$5:$D$1200,D454)&gt;1,"ERRO: chave duplicada","OK")))</f>
        <v/>
      </c>
    </row>
    <row r="455" ht="15" customHeight="1" s="131">
      <c r="A455" s="320" t="n"/>
      <c r="B455" s="323" t="n"/>
      <c r="C455" s="320" t="n"/>
      <c r="D455" s="326" t="n"/>
      <c r="E455" s="324" t="n"/>
      <c r="F455" s="320" t="n"/>
      <c r="G455" s="327" t="n"/>
      <c r="H455" s="271" t="n"/>
      <c r="I455" s="275">
        <f>IF(COUNTA(A455:F455)=0,"",IF(OR(E455&lt;0,F455&lt;0,F455&gt;10),"ERRO: valores inválidos",IF(COUNTIFS($A$5:$A$1200,A455,$B$5:$B$1200,B455,$C$5:$C$1200,C455,$D$5:$D$1200,D455)&gt;1,"ERRO: chave duplicada","OK")))</f>
        <v/>
      </c>
    </row>
    <row r="456" ht="15" customHeight="1" s="131">
      <c r="A456" s="320" t="n"/>
      <c r="B456" s="323" t="n"/>
      <c r="C456" s="320" t="n"/>
      <c r="D456" s="326" t="n"/>
      <c r="E456" s="324" t="n"/>
      <c r="F456" s="320" t="n"/>
      <c r="G456" s="327" t="n"/>
      <c r="H456" s="271" t="n"/>
      <c r="I456" s="275">
        <f>IF(COUNTA(A456:F456)=0,"",IF(OR(E456&lt;0,F456&lt;0,F456&gt;10),"ERRO: valores inválidos",IF(COUNTIFS($A$5:$A$1200,A456,$B$5:$B$1200,B456,$C$5:$C$1200,C456,$D$5:$D$1200,D456)&gt;1,"ERRO: chave duplicada","OK")))</f>
        <v/>
      </c>
    </row>
    <row r="457" ht="15" customHeight="1" s="131">
      <c r="A457" s="320" t="n"/>
      <c r="B457" s="323" t="n"/>
      <c r="C457" s="320" t="n"/>
      <c r="D457" s="326" t="n"/>
      <c r="E457" s="324" t="n"/>
      <c r="F457" s="320" t="n"/>
      <c r="G457" s="327" t="n"/>
      <c r="H457" s="271" t="n"/>
      <c r="I457" s="275">
        <f>IF(COUNTA(A457:F457)=0,"",IF(OR(E457&lt;0,F457&lt;0,F457&gt;10),"ERRO: valores inválidos",IF(COUNTIFS($A$5:$A$1200,A457,$B$5:$B$1200,B457,$C$5:$C$1200,C457,$D$5:$D$1200,D457)&gt;1,"ERRO: chave duplicada","OK")))</f>
        <v/>
      </c>
    </row>
    <row r="458" ht="15" customHeight="1" s="131">
      <c r="A458" s="320" t="n"/>
      <c r="B458" s="323" t="n"/>
      <c r="C458" s="320" t="n"/>
      <c r="D458" s="326" t="n"/>
      <c r="E458" s="324" t="n"/>
      <c r="F458" s="320" t="n"/>
      <c r="G458" s="327" t="n"/>
      <c r="H458" s="271" t="n"/>
      <c r="I458" s="275">
        <f>IF(COUNTA(A458:F458)=0,"",IF(OR(E458&lt;0,F458&lt;0,F458&gt;10),"ERRO: valores inválidos",IF(COUNTIFS($A$5:$A$1200,A458,$B$5:$B$1200,B458,$C$5:$C$1200,C458,$D$5:$D$1200,D458)&gt;1,"ERRO: chave duplicada","OK")))</f>
        <v/>
      </c>
    </row>
    <row r="459" ht="15" customHeight="1" s="131">
      <c r="A459" s="320" t="n"/>
      <c r="B459" s="323" t="n"/>
      <c r="C459" s="320" t="n"/>
      <c r="D459" s="326" t="n"/>
      <c r="E459" s="324" t="n"/>
      <c r="F459" s="320" t="n"/>
      <c r="G459" s="327" t="n"/>
      <c r="H459" s="271" t="n"/>
      <c r="I459" s="275">
        <f>IF(COUNTA(A459:F459)=0,"",IF(OR(E459&lt;0,F459&lt;0,F459&gt;10),"ERRO: valores inválidos",IF(COUNTIFS($A$5:$A$1200,A459,$B$5:$B$1200,B459,$C$5:$C$1200,C459,$D$5:$D$1200,D459)&gt;1,"ERRO: chave duplicada","OK")))</f>
        <v/>
      </c>
    </row>
    <row r="460" ht="15" customHeight="1" s="131">
      <c r="A460" s="320" t="n"/>
      <c r="B460" s="323" t="n"/>
      <c r="C460" s="320" t="n"/>
      <c r="D460" s="326" t="n"/>
      <c r="E460" s="324" t="n"/>
      <c r="F460" s="320" t="n"/>
      <c r="G460" s="327" t="n"/>
      <c r="H460" s="271" t="n"/>
      <c r="I460" s="275">
        <f>IF(COUNTA(A460:F460)=0,"",IF(OR(E460&lt;0,F460&lt;0,F460&gt;10),"ERRO: valores inválidos",IF(COUNTIFS($A$5:$A$1200,A460,$B$5:$B$1200,B460,$C$5:$C$1200,C460,$D$5:$D$1200,D460)&gt;1,"ERRO: chave duplicada","OK")))</f>
        <v/>
      </c>
    </row>
    <row r="461" ht="15" customHeight="1" s="131">
      <c r="A461" s="320" t="n"/>
      <c r="B461" s="323" t="n"/>
      <c r="C461" s="320" t="n"/>
      <c r="D461" s="326" t="n"/>
      <c r="E461" s="324" t="n"/>
      <c r="F461" s="320" t="n"/>
      <c r="G461" s="327" t="n"/>
      <c r="H461" s="271" t="n"/>
      <c r="I461" s="275">
        <f>IF(COUNTA(A461:F461)=0,"",IF(OR(E461&lt;0,F461&lt;0,F461&gt;10),"ERRO: valores inválidos",IF(COUNTIFS($A$5:$A$1200,A461,$B$5:$B$1200,B461,$C$5:$C$1200,C461,$D$5:$D$1200,D461)&gt;1,"ERRO: chave duplicada","OK")))</f>
        <v/>
      </c>
    </row>
    <row r="462" ht="15" customHeight="1" s="131">
      <c r="A462" s="320" t="n"/>
      <c r="B462" s="323" t="n"/>
      <c r="C462" s="320" t="n"/>
      <c r="D462" s="326" t="n"/>
      <c r="E462" s="324" t="n"/>
      <c r="F462" s="320" t="n"/>
      <c r="G462" s="327" t="n"/>
      <c r="H462" s="271" t="n"/>
      <c r="I462" s="275">
        <f>IF(COUNTA(A462:F462)=0,"",IF(OR(E462&lt;0,F462&lt;0,F462&gt;10),"ERRO: valores inválidos",IF(COUNTIFS($A$5:$A$1200,A462,$B$5:$B$1200,B462,$C$5:$C$1200,C462,$D$5:$D$1200,D462)&gt;1,"ERRO: chave duplicada","OK")))</f>
        <v/>
      </c>
    </row>
    <row r="463" ht="15" customHeight="1" s="131">
      <c r="A463" s="320" t="n"/>
      <c r="B463" s="323" t="n"/>
      <c r="C463" s="320" t="n"/>
      <c r="D463" s="326" t="n"/>
      <c r="E463" s="324" t="n"/>
      <c r="F463" s="320" t="n"/>
      <c r="G463" s="327" t="n"/>
      <c r="H463" s="271" t="n"/>
      <c r="I463" s="275">
        <f>IF(COUNTA(A463:F463)=0,"",IF(OR(E463&lt;0,F463&lt;0,F463&gt;10),"ERRO: valores inválidos",IF(COUNTIFS($A$5:$A$1200,A463,$B$5:$B$1200,B463,$C$5:$C$1200,C463,$D$5:$D$1200,D463)&gt;1,"ERRO: chave duplicada","OK")))</f>
        <v/>
      </c>
    </row>
    <row r="464" ht="15" customHeight="1" s="131">
      <c r="A464" s="320" t="n"/>
      <c r="B464" s="323" t="n"/>
      <c r="C464" s="320" t="n"/>
      <c r="D464" s="326" t="n"/>
      <c r="E464" s="324" t="n"/>
      <c r="F464" s="320" t="n"/>
      <c r="G464" s="327" t="n"/>
      <c r="H464" s="271" t="n"/>
      <c r="I464" s="275">
        <f>IF(COUNTA(A464:F464)=0,"",IF(OR(E464&lt;0,F464&lt;0,F464&gt;10),"ERRO: valores inválidos",IF(COUNTIFS($A$5:$A$1200,A464,$B$5:$B$1200,B464,$C$5:$C$1200,C464,$D$5:$D$1200,D464)&gt;1,"ERRO: chave duplicada","OK")))</f>
        <v/>
      </c>
    </row>
    <row r="465" ht="15" customHeight="1" s="131">
      <c r="A465" s="320" t="n"/>
      <c r="B465" s="323" t="n"/>
      <c r="C465" s="320" t="n"/>
      <c r="D465" s="326" t="n"/>
      <c r="E465" s="324" t="n"/>
      <c r="F465" s="320" t="n"/>
      <c r="G465" s="327" t="n"/>
      <c r="H465" s="271" t="n"/>
      <c r="I465" s="275">
        <f>IF(COUNTA(A465:F465)=0,"",IF(OR(E465&lt;0,F465&lt;0,F465&gt;10),"ERRO: valores inválidos",IF(COUNTIFS($A$5:$A$1200,A465,$B$5:$B$1200,B465,$C$5:$C$1200,C465,$D$5:$D$1200,D465)&gt;1,"ERRO: chave duplicada","OK")))</f>
        <v/>
      </c>
    </row>
    <row r="466" ht="15" customHeight="1" s="131">
      <c r="A466" s="320" t="n"/>
      <c r="B466" s="323" t="n"/>
      <c r="C466" s="320" t="n"/>
      <c r="D466" s="326" t="n"/>
      <c r="E466" s="324" t="n"/>
      <c r="F466" s="320" t="n"/>
      <c r="G466" s="327" t="n"/>
      <c r="H466" s="271" t="n"/>
      <c r="I466" s="275">
        <f>IF(COUNTA(A466:F466)=0,"",IF(OR(E466&lt;0,F466&lt;0,F466&gt;10),"ERRO: valores inválidos",IF(COUNTIFS($A$5:$A$1200,A466,$B$5:$B$1200,B466,$C$5:$C$1200,C466,$D$5:$D$1200,D466)&gt;1,"ERRO: chave duplicada","OK")))</f>
        <v/>
      </c>
    </row>
    <row r="467" ht="15" customHeight="1" s="131">
      <c r="A467" s="320" t="n"/>
      <c r="B467" s="323" t="n"/>
      <c r="C467" s="320" t="n"/>
      <c r="D467" s="326" t="n"/>
      <c r="E467" s="324" t="n"/>
      <c r="F467" s="320" t="n"/>
      <c r="G467" s="327" t="n"/>
      <c r="H467" s="271" t="n"/>
      <c r="I467" s="275">
        <f>IF(COUNTA(A467:F467)=0,"",IF(OR(E467&lt;0,F467&lt;0,F467&gt;10),"ERRO: valores inválidos",IF(COUNTIFS($A$5:$A$1200,A467,$B$5:$B$1200,B467,$C$5:$C$1200,C467,$D$5:$D$1200,D467)&gt;1,"ERRO: chave duplicada","OK")))</f>
        <v/>
      </c>
    </row>
    <row r="468" ht="15" customHeight="1" s="131">
      <c r="A468" s="320" t="n"/>
      <c r="B468" s="323" t="n"/>
      <c r="C468" s="320" t="n"/>
      <c r="D468" s="326" t="n"/>
      <c r="E468" s="324" t="n"/>
      <c r="F468" s="320" t="n"/>
      <c r="G468" s="327" t="n"/>
      <c r="H468" s="271" t="n"/>
      <c r="I468" s="275">
        <f>IF(COUNTA(A468:F468)=0,"",IF(OR(E468&lt;0,F468&lt;0,F468&gt;10),"ERRO: valores inválidos",IF(COUNTIFS($A$5:$A$1200,A468,$B$5:$B$1200,B468,$C$5:$C$1200,C468,$D$5:$D$1200,D468)&gt;1,"ERRO: chave duplicada","OK")))</f>
        <v/>
      </c>
    </row>
    <row r="469" ht="15" customHeight="1" s="131">
      <c r="A469" s="320" t="n"/>
      <c r="B469" s="323" t="n"/>
      <c r="C469" s="320" t="n"/>
      <c r="D469" s="326" t="n"/>
      <c r="E469" s="324" t="n"/>
      <c r="F469" s="320" t="n"/>
      <c r="G469" s="327" t="n"/>
      <c r="H469" s="271" t="n"/>
      <c r="I469" s="275">
        <f>IF(COUNTA(A469:F469)=0,"",IF(OR(E469&lt;0,F469&lt;0,F469&gt;10),"ERRO: valores inválidos",IF(COUNTIFS($A$5:$A$1200,A469,$B$5:$B$1200,B469,$C$5:$C$1200,C469,$D$5:$D$1200,D469)&gt;1,"ERRO: chave duplicada","OK")))</f>
        <v/>
      </c>
    </row>
    <row r="470" ht="15" customHeight="1" s="131">
      <c r="A470" s="320" t="n"/>
      <c r="B470" s="323" t="n"/>
      <c r="C470" s="320" t="n"/>
      <c r="D470" s="326" t="n"/>
      <c r="E470" s="324" t="n"/>
      <c r="F470" s="320" t="n"/>
      <c r="G470" s="327" t="n"/>
      <c r="H470" s="271" t="n"/>
      <c r="I470" s="275">
        <f>IF(COUNTA(A470:F470)=0,"",IF(OR(E470&lt;0,F470&lt;0,F470&gt;10),"ERRO: valores inválidos",IF(COUNTIFS($A$5:$A$1200,A470,$B$5:$B$1200,B470,$C$5:$C$1200,C470,$D$5:$D$1200,D470)&gt;1,"ERRO: chave duplicada","OK")))</f>
        <v/>
      </c>
    </row>
    <row r="471" ht="15" customHeight="1" s="131">
      <c r="A471" s="320" t="n"/>
      <c r="B471" s="323" t="n"/>
      <c r="C471" s="320" t="n"/>
      <c r="D471" s="326" t="n"/>
      <c r="E471" s="324" t="n"/>
      <c r="F471" s="320" t="n"/>
      <c r="G471" s="327" t="n"/>
      <c r="H471" s="271" t="n"/>
      <c r="I471" s="275">
        <f>IF(COUNTA(A471:F471)=0,"",IF(OR(E471&lt;0,F471&lt;0,F471&gt;10),"ERRO: valores inválidos",IF(COUNTIFS($A$5:$A$1200,A471,$B$5:$B$1200,B471,$C$5:$C$1200,C471,$D$5:$D$1200,D471)&gt;1,"ERRO: chave duplicada","OK")))</f>
        <v/>
      </c>
    </row>
    <row r="472" ht="15" customHeight="1" s="131">
      <c r="A472" s="320" t="n"/>
      <c r="B472" s="323" t="n"/>
      <c r="C472" s="320" t="n"/>
      <c r="D472" s="326" t="n"/>
      <c r="E472" s="324" t="n"/>
      <c r="F472" s="320" t="n"/>
      <c r="G472" s="327" t="n"/>
      <c r="H472" s="271" t="n"/>
      <c r="I472" s="275">
        <f>IF(COUNTA(A472:F472)=0,"",IF(OR(E472&lt;0,F472&lt;0,F472&gt;10),"ERRO: valores inválidos",IF(COUNTIFS($A$5:$A$1200,A472,$B$5:$B$1200,B472,$C$5:$C$1200,C472,$D$5:$D$1200,D472)&gt;1,"ERRO: chave duplicada","OK")))</f>
        <v/>
      </c>
    </row>
    <row r="473" ht="15" customHeight="1" s="131">
      <c r="A473" s="320" t="n"/>
      <c r="B473" s="323" t="n"/>
      <c r="C473" s="320" t="n"/>
      <c r="D473" s="326" t="n"/>
      <c r="E473" s="324" t="n"/>
      <c r="F473" s="320" t="n"/>
      <c r="G473" s="327" t="n"/>
      <c r="H473" s="271" t="n"/>
      <c r="I473" s="275">
        <f>IF(COUNTA(A473:F473)=0,"",IF(OR(E473&lt;0,F473&lt;0,F473&gt;10),"ERRO: valores inválidos",IF(COUNTIFS($A$5:$A$1200,A473,$B$5:$B$1200,B473,$C$5:$C$1200,C473,$D$5:$D$1200,D473)&gt;1,"ERRO: chave duplicada","OK")))</f>
        <v/>
      </c>
    </row>
    <row r="474" ht="15" customHeight="1" s="131">
      <c r="A474" s="320" t="n"/>
      <c r="B474" s="323" t="n"/>
      <c r="C474" s="320" t="n"/>
      <c r="D474" s="326" t="n"/>
      <c r="E474" s="324" t="n"/>
      <c r="F474" s="320" t="n"/>
      <c r="G474" s="327" t="n"/>
      <c r="H474" s="271" t="n"/>
      <c r="I474" s="275">
        <f>IF(COUNTA(A474:F474)=0,"",IF(OR(E474&lt;0,F474&lt;0,F474&gt;10),"ERRO: valores inválidos",IF(COUNTIFS($A$5:$A$1200,A474,$B$5:$B$1200,B474,$C$5:$C$1200,C474,$D$5:$D$1200,D474)&gt;1,"ERRO: chave duplicada","OK")))</f>
        <v/>
      </c>
    </row>
    <row r="475" ht="15" customHeight="1" s="131">
      <c r="A475" s="320" t="n"/>
      <c r="B475" s="323" t="n"/>
      <c r="C475" s="320" t="n"/>
      <c r="D475" s="326" t="n"/>
      <c r="E475" s="324" t="n"/>
      <c r="F475" s="320" t="n"/>
      <c r="G475" s="327" t="n"/>
      <c r="H475" s="271" t="n"/>
      <c r="I475" s="275">
        <f>IF(COUNTA(A475:F475)=0,"",IF(OR(E475&lt;0,F475&lt;0,F475&gt;10),"ERRO: valores inválidos",IF(COUNTIFS($A$5:$A$1200,A475,$B$5:$B$1200,B475,$C$5:$C$1200,C475,$D$5:$D$1200,D475)&gt;1,"ERRO: chave duplicada","OK")))</f>
        <v/>
      </c>
    </row>
    <row r="476" ht="15" customHeight="1" s="131">
      <c r="A476" s="320" t="n"/>
      <c r="B476" s="323" t="n"/>
      <c r="C476" s="320" t="n"/>
      <c r="D476" s="326" t="n"/>
      <c r="E476" s="324" t="n"/>
      <c r="F476" s="320" t="n"/>
      <c r="G476" s="327" t="n"/>
      <c r="H476" s="271" t="n"/>
      <c r="I476" s="275">
        <f>IF(COUNTA(A476:F476)=0,"",IF(OR(E476&lt;0,F476&lt;0,F476&gt;10),"ERRO: valores inválidos",IF(COUNTIFS($A$5:$A$1200,A476,$B$5:$B$1200,B476,$C$5:$C$1200,C476,$D$5:$D$1200,D476)&gt;1,"ERRO: chave duplicada","OK")))</f>
        <v/>
      </c>
    </row>
    <row r="477" ht="15" customHeight="1" s="131">
      <c r="A477" s="320" t="n"/>
      <c r="B477" s="323" t="n"/>
      <c r="C477" s="320" t="n"/>
      <c r="D477" s="326" t="n"/>
      <c r="E477" s="324" t="n"/>
      <c r="F477" s="320" t="n"/>
      <c r="G477" s="327" t="n"/>
      <c r="H477" s="271" t="n"/>
      <c r="I477" s="275">
        <f>IF(COUNTA(A477:F477)=0,"",IF(OR(E477&lt;0,F477&lt;0,F477&gt;10),"ERRO: valores inválidos",IF(COUNTIFS($A$5:$A$1200,A477,$B$5:$B$1200,B477,$C$5:$C$1200,C477,$D$5:$D$1200,D477)&gt;1,"ERRO: chave duplicada","OK")))</f>
        <v/>
      </c>
    </row>
    <row r="478" ht="15" customHeight="1" s="131">
      <c r="A478" s="320" t="n"/>
      <c r="B478" s="323" t="n"/>
      <c r="C478" s="320" t="n"/>
      <c r="D478" s="326" t="n"/>
      <c r="E478" s="324" t="n"/>
      <c r="F478" s="320" t="n"/>
      <c r="G478" s="327" t="n"/>
      <c r="H478" s="271" t="n"/>
      <c r="I478" s="275">
        <f>IF(COUNTA(A478:F478)=0,"",IF(OR(E478&lt;0,F478&lt;0,F478&gt;10),"ERRO: valores inválidos",IF(COUNTIFS($A$5:$A$1200,A478,$B$5:$B$1200,B478,$C$5:$C$1200,C478,$D$5:$D$1200,D478)&gt;1,"ERRO: chave duplicada","OK")))</f>
        <v/>
      </c>
    </row>
    <row r="479" ht="15" customHeight="1" s="131">
      <c r="A479" s="320" t="n"/>
      <c r="B479" s="323" t="n"/>
      <c r="C479" s="320" t="n"/>
      <c r="D479" s="326" t="n"/>
      <c r="E479" s="324" t="n"/>
      <c r="F479" s="320" t="n"/>
      <c r="G479" s="327" t="n"/>
      <c r="H479" s="271" t="n"/>
      <c r="I479" s="275">
        <f>IF(COUNTA(A479:F479)=0,"",IF(OR(E479&lt;0,F479&lt;0,F479&gt;10),"ERRO: valores inválidos",IF(COUNTIFS($A$5:$A$1200,A479,$B$5:$B$1200,B479,$C$5:$C$1200,C479,$D$5:$D$1200,D479)&gt;1,"ERRO: chave duplicada","OK")))</f>
        <v/>
      </c>
    </row>
    <row r="480" ht="15" customHeight="1" s="131">
      <c r="A480" s="320" t="n"/>
      <c r="B480" s="323" t="n"/>
      <c r="C480" s="320" t="n"/>
      <c r="D480" s="326" t="n"/>
      <c r="E480" s="324" t="n"/>
      <c r="F480" s="320" t="n"/>
      <c r="G480" s="327" t="n"/>
      <c r="H480" s="271" t="n"/>
      <c r="I480" s="275">
        <f>IF(COUNTA(A480:F480)=0,"",IF(OR(E480&lt;0,F480&lt;0,F480&gt;10),"ERRO: valores inválidos",IF(COUNTIFS($A$5:$A$1200,A480,$B$5:$B$1200,B480,$C$5:$C$1200,C480,$D$5:$D$1200,D480)&gt;1,"ERRO: chave duplicada","OK")))</f>
        <v/>
      </c>
    </row>
    <row r="481" ht="15" customHeight="1" s="131">
      <c r="A481" s="320" t="n"/>
      <c r="B481" s="323" t="n"/>
      <c r="C481" s="320" t="n"/>
      <c r="D481" s="326" t="n"/>
      <c r="E481" s="324" t="n"/>
      <c r="F481" s="320" t="n"/>
      <c r="G481" s="327" t="n"/>
      <c r="H481" s="271" t="n"/>
      <c r="I481" s="275">
        <f>IF(COUNTA(A481:F481)=0,"",IF(OR(E481&lt;0,F481&lt;0,F481&gt;10),"ERRO: valores inválidos",IF(COUNTIFS($A$5:$A$1200,A481,$B$5:$B$1200,B481,$C$5:$C$1200,C481,$D$5:$D$1200,D481)&gt;1,"ERRO: chave duplicada","OK")))</f>
        <v/>
      </c>
    </row>
    <row r="482" ht="15" customHeight="1" s="131">
      <c r="A482" s="320" t="n"/>
      <c r="B482" s="323" t="n"/>
      <c r="C482" s="320" t="n"/>
      <c r="D482" s="326" t="n"/>
      <c r="E482" s="324" t="n"/>
      <c r="F482" s="320" t="n"/>
      <c r="G482" s="327" t="n"/>
      <c r="H482" s="271" t="n"/>
      <c r="I482" s="275">
        <f>IF(COUNTA(A482:F482)=0,"",IF(OR(E482&lt;0,F482&lt;0,F482&gt;10),"ERRO: valores inválidos",IF(COUNTIFS($A$5:$A$1200,A482,$B$5:$B$1200,B482,$C$5:$C$1200,C482,$D$5:$D$1200,D482)&gt;1,"ERRO: chave duplicada","OK")))</f>
        <v/>
      </c>
    </row>
    <row r="483" ht="15" customHeight="1" s="131">
      <c r="A483" s="320" t="n"/>
      <c r="B483" s="323" t="n"/>
      <c r="C483" s="320" t="n"/>
      <c r="D483" s="326" t="n"/>
      <c r="E483" s="324" t="n"/>
      <c r="F483" s="320" t="n"/>
      <c r="G483" s="327" t="n"/>
      <c r="H483" s="271" t="n"/>
      <c r="I483" s="275">
        <f>IF(COUNTA(A483:F483)=0,"",IF(OR(E483&lt;0,F483&lt;0,F483&gt;10),"ERRO: valores inválidos",IF(COUNTIFS($A$5:$A$1200,A483,$B$5:$B$1200,B483,$C$5:$C$1200,C483,$D$5:$D$1200,D483)&gt;1,"ERRO: chave duplicada","OK")))</f>
        <v/>
      </c>
    </row>
    <row r="484" ht="15" customHeight="1" s="131">
      <c r="A484" s="320" t="n"/>
      <c r="B484" s="323" t="n"/>
      <c r="C484" s="320" t="n"/>
      <c r="D484" s="326" t="n"/>
      <c r="E484" s="324" t="n"/>
      <c r="F484" s="320" t="n"/>
      <c r="G484" s="327" t="n"/>
      <c r="H484" s="271" t="n"/>
      <c r="I484" s="275">
        <f>IF(COUNTA(A484:F484)=0,"",IF(OR(E484&lt;0,F484&lt;0,F484&gt;10),"ERRO: valores inválidos",IF(COUNTIFS($A$5:$A$1200,A484,$B$5:$B$1200,B484,$C$5:$C$1200,C484,$D$5:$D$1200,D484)&gt;1,"ERRO: chave duplicada","OK")))</f>
        <v/>
      </c>
    </row>
    <row r="485" ht="15" customHeight="1" s="131">
      <c r="A485" s="320" t="n"/>
      <c r="B485" s="323" t="n"/>
      <c r="C485" s="320" t="n"/>
      <c r="D485" s="326" t="n"/>
      <c r="E485" s="324" t="n"/>
      <c r="F485" s="320" t="n"/>
      <c r="G485" s="327" t="n"/>
      <c r="H485" s="271" t="n"/>
      <c r="I485" s="275">
        <f>IF(COUNTA(A485:F485)=0,"",IF(OR(E485&lt;0,F485&lt;0,F485&gt;10),"ERRO: valores inválidos",IF(COUNTIFS($A$5:$A$1200,A485,$B$5:$B$1200,B485,$C$5:$C$1200,C485,$D$5:$D$1200,D485)&gt;1,"ERRO: chave duplicada","OK")))</f>
        <v/>
      </c>
    </row>
    <row r="486" ht="15" customHeight="1" s="131">
      <c r="A486" s="320" t="n"/>
      <c r="B486" s="323" t="n"/>
      <c r="C486" s="320" t="n"/>
      <c r="D486" s="326" t="n"/>
      <c r="E486" s="324" t="n"/>
      <c r="F486" s="320" t="n"/>
      <c r="G486" s="327" t="n"/>
      <c r="H486" s="271" t="n"/>
      <c r="I486" s="275">
        <f>IF(COUNTA(A486:F486)=0,"",IF(OR(E486&lt;0,F486&lt;0,F486&gt;10),"ERRO: valores inválidos",IF(COUNTIFS($A$5:$A$1200,A486,$B$5:$B$1200,B486,$C$5:$C$1200,C486,$D$5:$D$1200,D486)&gt;1,"ERRO: chave duplicada","OK")))</f>
        <v/>
      </c>
    </row>
    <row r="487" ht="15" customHeight="1" s="131">
      <c r="A487" s="320" t="n"/>
      <c r="B487" s="323" t="n"/>
      <c r="C487" s="320" t="n"/>
      <c r="D487" s="326" t="n"/>
      <c r="E487" s="324" t="n"/>
      <c r="F487" s="320" t="n"/>
      <c r="G487" s="327" t="n"/>
      <c r="H487" s="271" t="n"/>
      <c r="I487" s="275">
        <f>IF(COUNTA(A487:F487)=0,"",IF(OR(E487&lt;0,F487&lt;0,F487&gt;10),"ERRO: valores inválidos",IF(COUNTIFS($A$5:$A$1200,A487,$B$5:$B$1200,B487,$C$5:$C$1200,C487,$D$5:$D$1200,D487)&gt;1,"ERRO: chave duplicada","OK")))</f>
        <v/>
      </c>
    </row>
    <row r="488" ht="15" customHeight="1" s="131">
      <c r="A488" s="320" t="n"/>
      <c r="B488" s="323" t="n"/>
      <c r="C488" s="320" t="n"/>
      <c r="D488" s="326" t="n"/>
      <c r="E488" s="324" t="n"/>
      <c r="F488" s="320" t="n"/>
      <c r="G488" s="327" t="n"/>
      <c r="H488" s="271" t="n"/>
      <c r="I488" s="275">
        <f>IF(COUNTA(A488:F488)=0,"",IF(OR(E488&lt;0,F488&lt;0,F488&gt;10),"ERRO: valores inválidos",IF(COUNTIFS($A$5:$A$1200,A488,$B$5:$B$1200,B488,$C$5:$C$1200,C488,$D$5:$D$1200,D488)&gt;1,"ERRO: chave duplicada","OK")))</f>
        <v/>
      </c>
    </row>
    <row r="489" ht="15" customHeight="1" s="131">
      <c r="A489" s="320" t="n"/>
      <c r="B489" s="323" t="n"/>
      <c r="C489" s="320" t="n"/>
      <c r="D489" s="326" t="n"/>
      <c r="E489" s="324" t="n"/>
      <c r="F489" s="320" t="n"/>
      <c r="G489" s="327" t="n"/>
      <c r="H489" s="271" t="n"/>
      <c r="I489" s="275">
        <f>IF(COUNTA(A489:F489)=0,"",IF(OR(E489&lt;0,F489&lt;0,F489&gt;10),"ERRO: valores inválidos",IF(COUNTIFS($A$5:$A$1200,A489,$B$5:$B$1200,B489,$C$5:$C$1200,C489,$D$5:$D$1200,D489)&gt;1,"ERRO: chave duplicada","OK")))</f>
        <v/>
      </c>
    </row>
    <row r="490" ht="15" customHeight="1" s="131">
      <c r="A490" s="320" t="n"/>
      <c r="B490" s="323" t="n"/>
      <c r="C490" s="320" t="n"/>
      <c r="D490" s="326" t="n"/>
      <c r="E490" s="324" t="n"/>
      <c r="F490" s="320" t="n"/>
      <c r="G490" s="327" t="n"/>
      <c r="H490" s="271" t="n"/>
      <c r="I490" s="275">
        <f>IF(COUNTA(A490:F490)=0,"",IF(OR(E490&lt;0,F490&lt;0,F490&gt;10),"ERRO: valores inválidos",IF(COUNTIFS($A$5:$A$1200,A490,$B$5:$B$1200,B490,$C$5:$C$1200,C490,$D$5:$D$1200,D490)&gt;1,"ERRO: chave duplicada","OK")))</f>
        <v/>
      </c>
    </row>
    <row r="491" ht="15" customHeight="1" s="131">
      <c r="A491" s="320" t="n"/>
      <c r="B491" s="323" t="n"/>
      <c r="C491" s="320" t="n"/>
      <c r="D491" s="326" t="n"/>
      <c r="E491" s="324" t="n"/>
      <c r="F491" s="320" t="n"/>
      <c r="G491" s="327" t="n"/>
      <c r="H491" s="271" t="n"/>
      <c r="I491" s="275">
        <f>IF(COUNTA(A491:F491)=0,"",IF(OR(E491&lt;0,F491&lt;0,F491&gt;10),"ERRO: valores inválidos",IF(COUNTIFS($A$5:$A$1200,A491,$B$5:$B$1200,B491,$C$5:$C$1200,C491,$D$5:$D$1200,D491)&gt;1,"ERRO: chave duplicada","OK")))</f>
        <v/>
      </c>
    </row>
    <row r="492" ht="15" customHeight="1" s="131">
      <c r="A492" s="320" t="n"/>
      <c r="B492" s="323" t="n"/>
      <c r="C492" s="320" t="n"/>
      <c r="D492" s="326" t="n"/>
      <c r="E492" s="324" t="n"/>
      <c r="F492" s="320" t="n"/>
      <c r="G492" s="327" t="n"/>
      <c r="H492" s="271" t="n"/>
      <c r="I492" s="275">
        <f>IF(COUNTA(A492:F492)=0,"",IF(OR(E492&lt;0,F492&lt;0,F492&gt;10),"ERRO: valores inválidos",IF(COUNTIFS($A$5:$A$1200,A492,$B$5:$B$1200,B492,$C$5:$C$1200,C492,$D$5:$D$1200,D492)&gt;1,"ERRO: chave duplicada","OK")))</f>
        <v/>
      </c>
    </row>
    <row r="493" ht="15" customHeight="1" s="131">
      <c r="A493" s="320" t="n"/>
      <c r="B493" s="323" t="n"/>
      <c r="C493" s="320" t="n"/>
      <c r="D493" s="326" t="n"/>
      <c r="E493" s="324" t="n"/>
      <c r="F493" s="320" t="n"/>
      <c r="G493" s="327" t="n"/>
      <c r="H493" s="271" t="n"/>
      <c r="I493" s="275">
        <f>IF(COUNTA(A493:F493)=0,"",IF(OR(E493&lt;0,F493&lt;0,F493&gt;10),"ERRO: valores inválidos",IF(COUNTIFS($A$5:$A$1200,A493,$B$5:$B$1200,B493,$C$5:$C$1200,C493,$D$5:$D$1200,D493)&gt;1,"ERRO: chave duplicada","OK")))</f>
        <v/>
      </c>
    </row>
    <row r="494" ht="15" customHeight="1" s="131">
      <c r="A494" s="320" t="n"/>
      <c r="B494" s="323" t="n"/>
      <c r="C494" s="320" t="n"/>
      <c r="D494" s="326" t="n"/>
      <c r="E494" s="324" t="n"/>
      <c r="F494" s="320" t="n"/>
      <c r="G494" s="327" t="n"/>
      <c r="H494" s="271" t="n"/>
      <c r="I494" s="275">
        <f>IF(COUNTA(A494:F494)=0,"",IF(OR(E494&lt;0,F494&lt;0,F494&gt;10),"ERRO: valores inválidos",IF(COUNTIFS($A$5:$A$1200,A494,$B$5:$B$1200,B494,$C$5:$C$1200,C494,$D$5:$D$1200,D494)&gt;1,"ERRO: chave duplicada","OK")))</f>
        <v/>
      </c>
    </row>
    <row r="495" ht="15" customHeight="1" s="131">
      <c r="A495" s="320" t="n"/>
      <c r="B495" s="323" t="n"/>
      <c r="C495" s="320" t="n"/>
      <c r="D495" s="326" t="n"/>
      <c r="E495" s="324" t="n"/>
      <c r="F495" s="320" t="n"/>
      <c r="G495" s="327" t="n"/>
      <c r="H495" s="271" t="n"/>
      <c r="I495" s="275">
        <f>IF(COUNTA(A495:F495)=0,"",IF(OR(E495&lt;0,F495&lt;0,F495&gt;10),"ERRO: valores inválidos",IF(COUNTIFS($A$5:$A$1200,A495,$B$5:$B$1200,B495,$C$5:$C$1200,C495,$D$5:$D$1200,D495)&gt;1,"ERRO: chave duplicada","OK")))</f>
        <v/>
      </c>
    </row>
    <row r="496" ht="15" customHeight="1" s="131">
      <c r="A496" s="320" t="n"/>
      <c r="B496" s="323" t="n"/>
      <c r="C496" s="320" t="n"/>
      <c r="D496" s="326" t="n"/>
      <c r="E496" s="324" t="n"/>
      <c r="F496" s="320" t="n"/>
      <c r="G496" s="327" t="n"/>
      <c r="H496" s="271" t="n"/>
      <c r="I496" s="275">
        <f>IF(COUNTA(A496:F496)=0,"",IF(OR(E496&lt;0,F496&lt;0,F496&gt;10),"ERRO: valores inválidos",IF(COUNTIFS($A$5:$A$1200,A496,$B$5:$B$1200,B496,$C$5:$C$1200,C496,$D$5:$D$1200,D496)&gt;1,"ERRO: chave duplicada","OK")))</f>
        <v/>
      </c>
    </row>
    <row r="497" ht="15" customHeight="1" s="131">
      <c r="A497" s="320" t="n"/>
      <c r="B497" s="323" t="n"/>
      <c r="C497" s="320" t="n"/>
      <c r="D497" s="326" t="n"/>
      <c r="E497" s="324" t="n"/>
      <c r="F497" s="320" t="n"/>
      <c r="G497" s="327" t="n"/>
      <c r="H497" s="271" t="n"/>
      <c r="I497" s="275">
        <f>IF(COUNTA(A497:F497)=0,"",IF(OR(E497&lt;0,F497&lt;0,F497&gt;10),"ERRO: valores inválidos",IF(COUNTIFS($A$5:$A$1200,A497,$B$5:$B$1200,B497,$C$5:$C$1200,C497,$D$5:$D$1200,D497)&gt;1,"ERRO: chave duplicada","OK")))</f>
        <v/>
      </c>
    </row>
    <row r="498" ht="15" customHeight="1" s="131">
      <c r="A498" s="320" t="n"/>
      <c r="B498" s="323" t="n"/>
      <c r="C498" s="320" t="n"/>
      <c r="D498" s="326" t="n"/>
      <c r="E498" s="324" t="n"/>
      <c r="F498" s="320" t="n"/>
      <c r="G498" s="327" t="n"/>
      <c r="H498" s="271" t="n"/>
      <c r="I498" s="275">
        <f>IF(COUNTA(A498:F498)=0,"",IF(OR(E498&lt;0,F498&lt;0,F498&gt;10),"ERRO: valores inválidos",IF(COUNTIFS($A$5:$A$1200,A498,$B$5:$B$1200,B498,$C$5:$C$1200,C498,$D$5:$D$1200,D498)&gt;1,"ERRO: chave duplicada","OK")))</f>
        <v/>
      </c>
    </row>
    <row r="499" ht="15" customHeight="1" s="131">
      <c r="A499" s="320" t="n"/>
      <c r="B499" s="323" t="n"/>
      <c r="C499" s="320" t="n"/>
      <c r="D499" s="326" t="n"/>
      <c r="E499" s="324" t="n"/>
      <c r="F499" s="320" t="n"/>
      <c r="G499" s="327" t="n"/>
      <c r="H499" s="271" t="n"/>
      <c r="I499" s="275">
        <f>IF(COUNTA(A499:F499)=0,"",IF(OR(E499&lt;0,F499&lt;0,F499&gt;10),"ERRO: valores inválidos",IF(COUNTIFS($A$5:$A$1200,A499,$B$5:$B$1200,B499,$C$5:$C$1200,C499,$D$5:$D$1200,D499)&gt;1,"ERRO: chave duplicada","OK")))</f>
        <v/>
      </c>
    </row>
    <row r="500" ht="15" customHeight="1" s="131">
      <c r="A500" s="320" t="n"/>
      <c r="B500" s="323" t="n"/>
      <c r="C500" s="320" t="n"/>
      <c r="D500" s="326" t="n"/>
      <c r="E500" s="324" t="n"/>
      <c r="F500" s="320" t="n"/>
      <c r="G500" s="327" t="n"/>
      <c r="H500" s="271" t="n"/>
      <c r="I500" s="275">
        <f>IF(COUNTA(A500:F500)=0,"",IF(OR(E500&lt;0,F500&lt;0,F500&gt;10),"ERRO: valores inválidos",IF(COUNTIFS($A$5:$A$1200,A500,$B$5:$B$1200,B500,$C$5:$C$1200,C500,$D$5:$D$1200,D500)&gt;1,"ERRO: chave duplicada","OK")))</f>
        <v/>
      </c>
    </row>
    <row r="501" ht="15" customHeight="1" s="131">
      <c r="A501" s="320" t="n"/>
      <c r="B501" s="323" t="n"/>
      <c r="C501" s="320" t="n"/>
      <c r="D501" s="326" t="n"/>
      <c r="E501" s="324" t="n"/>
      <c r="F501" s="320" t="n"/>
      <c r="G501" s="327" t="n"/>
      <c r="H501" s="271" t="n"/>
      <c r="I501" s="275">
        <f>IF(COUNTA(A501:F501)=0,"",IF(OR(E501&lt;0,F501&lt;0,F501&gt;10),"ERRO: valores inválidos",IF(COUNTIFS($A$5:$A$1200,A501,$B$5:$B$1200,B501,$C$5:$C$1200,C501,$D$5:$D$1200,D501)&gt;1,"ERRO: chave duplicada","OK")))</f>
        <v/>
      </c>
    </row>
    <row r="502" ht="15" customHeight="1" s="131">
      <c r="A502" s="320" t="n"/>
      <c r="B502" s="323" t="n"/>
      <c r="C502" s="320" t="n"/>
      <c r="D502" s="326" t="n"/>
      <c r="E502" s="324" t="n"/>
      <c r="F502" s="320" t="n"/>
      <c r="G502" s="327" t="n"/>
      <c r="H502" s="271" t="n"/>
      <c r="I502" s="275">
        <f>IF(COUNTA(A502:F502)=0,"",IF(OR(E502&lt;0,F502&lt;0,F502&gt;10),"ERRO: valores inválidos",IF(COUNTIFS($A$5:$A$1200,A502,$B$5:$B$1200,B502,$C$5:$C$1200,C502,$D$5:$D$1200,D502)&gt;1,"ERRO: chave duplicada","OK")))</f>
        <v/>
      </c>
    </row>
    <row r="503" ht="15" customHeight="1" s="131">
      <c r="A503" s="320" t="n"/>
      <c r="B503" s="323" t="n"/>
      <c r="C503" s="320" t="n"/>
      <c r="D503" s="326" t="n"/>
      <c r="E503" s="324" t="n"/>
      <c r="F503" s="320" t="n"/>
      <c r="G503" s="327" t="n"/>
      <c r="H503" s="271" t="n"/>
      <c r="I503" s="275">
        <f>IF(COUNTA(A503:F503)=0,"",IF(OR(E503&lt;0,F503&lt;0,F503&gt;10),"ERRO: valores inválidos",IF(COUNTIFS($A$5:$A$1200,A503,$B$5:$B$1200,B503,$C$5:$C$1200,C503,$D$5:$D$1200,D503)&gt;1,"ERRO: chave duplicada","OK")))</f>
        <v/>
      </c>
    </row>
    <row r="504" ht="15" customHeight="1" s="131">
      <c r="A504" s="320" t="n"/>
      <c r="B504" s="323" t="n"/>
      <c r="C504" s="320" t="n"/>
      <c r="D504" s="326" t="n"/>
      <c r="E504" s="324" t="n"/>
      <c r="F504" s="320" t="n"/>
      <c r="G504" s="327" t="n"/>
      <c r="H504" s="271" t="n"/>
      <c r="I504" s="275">
        <f>IF(COUNTA(A504:F504)=0,"",IF(OR(E504&lt;0,F504&lt;0,F504&gt;10),"ERRO: valores inválidos",IF(COUNTIFS($A$5:$A$1200,A504,$B$5:$B$1200,B504,$C$5:$C$1200,C504,$D$5:$D$1200,D504)&gt;1,"ERRO: chave duplicada","OK")))</f>
        <v/>
      </c>
    </row>
    <row r="505" ht="15" customHeight="1" s="131">
      <c r="A505" s="320" t="n"/>
      <c r="B505" s="323" t="n"/>
      <c r="C505" s="320" t="n"/>
      <c r="D505" s="326" t="n"/>
      <c r="E505" s="324" t="n"/>
      <c r="F505" s="320" t="n"/>
      <c r="G505" s="327" t="n"/>
      <c r="H505" s="271" t="n"/>
      <c r="I505" s="275">
        <f>IF(COUNTA(A505:F505)=0,"",IF(OR(E505&lt;0,F505&lt;0,F505&gt;10),"ERRO: valores inválidos",IF(COUNTIFS($A$5:$A$1200,A505,$B$5:$B$1200,B505,$C$5:$C$1200,C505,$D$5:$D$1200,D505)&gt;1,"ERRO: chave duplicada","OK")))</f>
        <v/>
      </c>
    </row>
    <row r="506" ht="15" customHeight="1" s="131">
      <c r="A506" s="320" t="n"/>
      <c r="B506" s="323" t="n"/>
      <c r="C506" s="320" t="n"/>
      <c r="D506" s="326" t="n"/>
      <c r="E506" s="324" t="n"/>
      <c r="F506" s="320" t="n"/>
      <c r="G506" s="327" t="n"/>
      <c r="H506" s="271" t="n"/>
      <c r="I506" s="275">
        <f>IF(COUNTA(A506:F506)=0,"",IF(OR(E506&lt;0,F506&lt;0,F506&gt;10),"ERRO: valores inválidos",IF(COUNTIFS($A$5:$A$1200,A506,$B$5:$B$1200,B506,$C$5:$C$1200,C506,$D$5:$D$1200,D506)&gt;1,"ERRO: chave duplicada","OK")))</f>
        <v/>
      </c>
    </row>
    <row r="507" ht="15" customHeight="1" s="131">
      <c r="A507" s="320" t="n"/>
      <c r="B507" s="323" t="n"/>
      <c r="C507" s="320" t="n"/>
      <c r="D507" s="326" t="n"/>
      <c r="E507" s="324" t="n"/>
      <c r="F507" s="320" t="n"/>
      <c r="G507" s="327" t="n"/>
      <c r="H507" s="271" t="n"/>
      <c r="I507" s="275">
        <f>IF(COUNTA(A507:F507)=0,"",IF(OR(E507&lt;0,F507&lt;0,F507&gt;10),"ERRO: valores inválidos",IF(COUNTIFS($A$5:$A$1200,A507,$B$5:$B$1200,B507,$C$5:$C$1200,C507,$D$5:$D$1200,D507)&gt;1,"ERRO: chave duplicada","OK")))</f>
        <v/>
      </c>
    </row>
    <row r="508" ht="15" customHeight="1" s="131">
      <c r="A508" s="320" t="n"/>
      <c r="B508" s="323" t="n"/>
      <c r="C508" s="320" t="n"/>
      <c r="D508" s="326" t="n"/>
      <c r="E508" s="324" t="n"/>
      <c r="F508" s="320" t="n"/>
      <c r="G508" s="327" t="n"/>
      <c r="H508" s="271" t="n"/>
      <c r="I508" s="275">
        <f>IF(COUNTA(A508:F508)=0,"",IF(OR(E508&lt;0,F508&lt;0,F508&gt;10),"ERRO: valores inválidos",IF(COUNTIFS($A$5:$A$1200,A508,$B$5:$B$1200,B508,$C$5:$C$1200,C508,$D$5:$D$1200,D508)&gt;1,"ERRO: chave duplicada","OK")))</f>
        <v/>
      </c>
    </row>
    <row r="509" ht="15" customHeight="1" s="131">
      <c r="A509" s="320" t="n"/>
      <c r="B509" s="323" t="n"/>
      <c r="C509" s="320" t="n"/>
      <c r="D509" s="326" t="n"/>
      <c r="E509" s="324" t="n"/>
      <c r="F509" s="320" t="n"/>
      <c r="G509" s="327" t="n"/>
      <c r="H509" s="271" t="n"/>
      <c r="I509" s="275">
        <f>IF(COUNTA(A509:F509)=0,"",IF(OR(E509&lt;0,F509&lt;0,F509&gt;10),"ERRO: valores inválidos",IF(COUNTIFS($A$5:$A$1200,A509,$B$5:$B$1200,B509,$C$5:$C$1200,C509,$D$5:$D$1200,D509)&gt;1,"ERRO: chave duplicada","OK")))</f>
        <v/>
      </c>
    </row>
    <row r="510" ht="15" customHeight="1" s="131">
      <c r="A510" s="320" t="n"/>
      <c r="B510" s="323" t="n"/>
      <c r="C510" s="320" t="n"/>
      <c r="D510" s="326" t="n"/>
      <c r="E510" s="324" t="n"/>
      <c r="F510" s="320" t="n"/>
      <c r="G510" s="327" t="n"/>
      <c r="H510" s="271" t="n"/>
      <c r="I510" s="275">
        <f>IF(COUNTA(A510:F510)=0,"",IF(OR(E510&lt;0,F510&lt;0,F510&gt;10),"ERRO: valores inválidos",IF(COUNTIFS($A$5:$A$1200,A510,$B$5:$B$1200,B510,$C$5:$C$1200,C510,$D$5:$D$1200,D510)&gt;1,"ERRO: chave duplicada","OK")))</f>
        <v/>
      </c>
    </row>
    <row r="511" ht="15" customHeight="1" s="131">
      <c r="A511" s="320" t="n"/>
      <c r="B511" s="323" t="n"/>
      <c r="C511" s="320" t="n"/>
      <c r="D511" s="326" t="n"/>
      <c r="E511" s="324" t="n"/>
      <c r="F511" s="320" t="n"/>
      <c r="G511" s="327" t="n"/>
      <c r="H511" s="271" t="n"/>
      <c r="I511" s="275">
        <f>IF(COUNTA(A511:F511)=0,"",IF(OR(E511&lt;0,F511&lt;0,F511&gt;10),"ERRO: valores inválidos",IF(COUNTIFS($A$5:$A$1200,A511,$B$5:$B$1200,B511,$C$5:$C$1200,C511,$D$5:$D$1200,D511)&gt;1,"ERRO: chave duplicada","OK")))</f>
        <v/>
      </c>
    </row>
    <row r="512" ht="15" customHeight="1" s="131">
      <c r="A512" s="320" t="n"/>
      <c r="B512" s="323" t="n"/>
      <c r="C512" s="320" t="n"/>
      <c r="D512" s="326" t="n"/>
      <c r="E512" s="324" t="n"/>
      <c r="F512" s="320" t="n"/>
      <c r="G512" s="327" t="n"/>
      <c r="H512" s="271" t="n"/>
      <c r="I512" s="275">
        <f>IF(COUNTA(A512:F512)=0,"",IF(OR(E512&lt;0,F512&lt;0,F512&gt;10),"ERRO: valores inválidos",IF(COUNTIFS($A$5:$A$1200,A512,$B$5:$B$1200,B512,$C$5:$C$1200,C512,$D$5:$D$1200,D512)&gt;1,"ERRO: chave duplicada","OK")))</f>
        <v/>
      </c>
    </row>
    <row r="513" ht="15" customHeight="1" s="131">
      <c r="A513" s="320" t="n"/>
      <c r="B513" s="323" t="n"/>
      <c r="C513" s="320" t="n"/>
      <c r="D513" s="326" t="n"/>
      <c r="E513" s="324" t="n"/>
      <c r="F513" s="320" t="n"/>
      <c r="G513" s="327" t="n"/>
      <c r="H513" s="271" t="n"/>
      <c r="I513" s="275">
        <f>IF(COUNTA(A513:F513)=0,"",IF(OR(E513&lt;0,F513&lt;0,F513&gt;10),"ERRO: valores inválidos",IF(COUNTIFS($A$5:$A$1200,A513,$B$5:$B$1200,B513,$C$5:$C$1200,C513,$D$5:$D$1200,D513)&gt;1,"ERRO: chave duplicada","OK")))</f>
        <v/>
      </c>
    </row>
    <row r="514" ht="15" customHeight="1" s="131">
      <c r="A514" s="320" t="n"/>
      <c r="B514" s="323" t="n"/>
      <c r="C514" s="320" t="n"/>
      <c r="D514" s="326" t="n"/>
      <c r="E514" s="324" t="n"/>
      <c r="F514" s="320" t="n"/>
      <c r="G514" s="327" t="n"/>
      <c r="H514" s="271" t="n"/>
      <c r="I514" s="275">
        <f>IF(COUNTA(A514:F514)=0,"",IF(OR(E514&lt;0,F514&lt;0,F514&gt;10),"ERRO: valores inválidos",IF(COUNTIFS($A$5:$A$1200,A514,$B$5:$B$1200,B514,$C$5:$C$1200,C514,$D$5:$D$1200,D514)&gt;1,"ERRO: chave duplicada","OK")))</f>
        <v/>
      </c>
    </row>
    <row r="515" ht="15" customHeight="1" s="131">
      <c r="A515" s="320" t="n"/>
      <c r="B515" s="323" t="n"/>
      <c r="C515" s="320" t="n"/>
      <c r="D515" s="326" t="n"/>
      <c r="E515" s="324" t="n"/>
      <c r="F515" s="320" t="n"/>
      <c r="G515" s="327" t="n"/>
      <c r="H515" s="271" t="n"/>
      <c r="I515" s="275">
        <f>IF(COUNTA(A515:F515)=0,"",IF(OR(E515&lt;0,F515&lt;0,F515&gt;10),"ERRO: valores inválidos",IF(COUNTIFS($A$5:$A$1200,A515,$B$5:$B$1200,B515,$C$5:$C$1200,C515,$D$5:$D$1200,D515)&gt;1,"ERRO: chave duplicada","OK")))</f>
        <v/>
      </c>
    </row>
    <row r="516" ht="15" customHeight="1" s="131">
      <c r="A516" s="320" t="n"/>
      <c r="B516" s="323" t="n"/>
      <c r="C516" s="320" t="n"/>
      <c r="D516" s="326" t="n"/>
      <c r="E516" s="324" t="n"/>
      <c r="F516" s="320" t="n"/>
      <c r="G516" s="327" t="n"/>
      <c r="H516" s="271" t="n"/>
      <c r="I516" s="275">
        <f>IF(COUNTA(A516:F516)=0,"",IF(OR(E516&lt;0,F516&lt;0,F516&gt;10),"ERRO: valores inválidos",IF(COUNTIFS($A$5:$A$1200,A516,$B$5:$B$1200,B516,$C$5:$C$1200,C516,$D$5:$D$1200,D516)&gt;1,"ERRO: chave duplicada","OK")))</f>
        <v/>
      </c>
    </row>
    <row r="517" ht="15" customHeight="1" s="131">
      <c r="A517" s="320" t="n"/>
      <c r="B517" s="323" t="n"/>
      <c r="C517" s="320" t="n"/>
      <c r="D517" s="326" t="n"/>
      <c r="E517" s="324" t="n"/>
      <c r="F517" s="320" t="n"/>
      <c r="G517" s="327" t="n"/>
      <c r="H517" s="271" t="n"/>
      <c r="I517" s="275">
        <f>IF(COUNTA(A517:F517)=0,"",IF(OR(E517&lt;0,F517&lt;0,F517&gt;10),"ERRO: valores inválidos",IF(COUNTIFS($A$5:$A$1200,A517,$B$5:$B$1200,B517,$C$5:$C$1200,C517,$D$5:$D$1200,D517)&gt;1,"ERRO: chave duplicada","OK")))</f>
        <v/>
      </c>
    </row>
    <row r="518" ht="15" customHeight="1" s="131">
      <c r="A518" s="320" t="n"/>
      <c r="B518" s="323" t="n"/>
      <c r="C518" s="320" t="n"/>
      <c r="D518" s="326" t="n"/>
      <c r="E518" s="324" t="n"/>
      <c r="F518" s="320" t="n"/>
      <c r="G518" s="327" t="n"/>
      <c r="H518" s="271" t="n"/>
      <c r="I518" s="275">
        <f>IF(COUNTA(A518:F518)=0,"",IF(OR(E518&lt;0,F518&lt;0,F518&gt;10),"ERRO: valores inválidos",IF(COUNTIFS($A$5:$A$1200,A518,$B$5:$B$1200,B518,$C$5:$C$1200,C518,$D$5:$D$1200,D518)&gt;1,"ERRO: chave duplicada","OK")))</f>
        <v/>
      </c>
    </row>
    <row r="519" ht="15" customHeight="1" s="131">
      <c r="A519" s="320" t="n"/>
      <c r="B519" s="323" t="n"/>
      <c r="C519" s="320" t="n"/>
      <c r="D519" s="326" t="n"/>
      <c r="E519" s="324" t="n"/>
      <c r="F519" s="320" t="n"/>
      <c r="G519" s="327" t="n"/>
      <c r="H519" s="271" t="n"/>
      <c r="I519" s="275">
        <f>IF(COUNTA(A519:F519)=0,"",IF(OR(E519&lt;0,F519&lt;0,F519&gt;10),"ERRO: valores inválidos",IF(COUNTIFS($A$5:$A$1200,A519,$B$5:$B$1200,B519,$C$5:$C$1200,C519,$D$5:$D$1200,D519)&gt;1,"ERRO: chave duplicada","OK")))</f>
        <v/>
      </c>
    </row>
    <row r="520" ht="15" customHeight="1" s="131">
      <c r="A520" s="320" t="n"/>
      <c r="B520" s="323" t="n"/>
      <c r="C520" s="320" t="n"/>
      <c r="D520" s="326" t="n"/>
      <c r="E520" s="324" t="n"/>
      <c r="F520" s="320" t="n"/>
      <c r="G520" s="327" t="n"/>
      <c r="H520" s="271" t="n"/>
      <c r="I520" s="275">
        <f>IF(COUNTA(A520:F520)=0,"",IF(OR(E520&lt;0,F520&lt;0,F520&gt;10),"ERRO: valores inválidos",IF(COUNTIFS($A$5:$A$1200,A520,$B$5:$B$1200,B520,$C$5:$C$1200,C520,$D$5:$D$1200,D520)&gt;1,"ERRO: chave duplicada","OK")))</f>
        <v/>
      </c>
    </row>
    <row r="521" ht="15" customHeight="1" s="131">
      <c r="A521" s="320" t="n"/>
      <c r="B521" s="323" t="n"/>
      <c r="C521" s="320" t="n"/>
      <c r="D521" s="326" t="n"/>
      <c r="E521" s="324" t="n"/>
      <c r="F521" s="320" t="n"/>
      <c r="G521" s="327" t="n"/>
      <c r="H521" s="271" t="n"/>
      <c r="I521" s="275">
        <f>IF(COUNTA(A521:F521)=0,"",IF(OR(E521&lt;0,F521&lt;0,F521&gt;10),"ERRO: valores inválidos",IF(COUNTIFS($A$5:$A$1200,A521,$B$5:$B$1200,B521,$C$5:$C$1200,C521,$D$5:$D$1200,D521)&gt;1,"ERRO: chave duplicada","OK")))</f>
        <v/>
      </c>
    </row>
    <row r="522" ht="15" customHeight="1" s="131">
      <c r="A522" s="320" t="n"/>
      <c r="B522" s="323" t="n"/>
      <c r="C522" s="320" t="n"/>
      <c r="D522" s="326" t="n"/>
      <c r="E522" s="324" t="n"/>
      <c r="F522" s="320" t="n"/>
      <c r="G522" s="327" t="n"/>
      <c r="H522" s="271" t="n"/>
      <c r="I522" s="275">
        <f>IF(COUNTA(A522:F522)=0,"",IF(OR(E522&lt;0,F522&lt;0,F522&gt;10),"ERRO: valores inválidos",IF(COUNTIFS($A$5:$A$1200,A522,$B$5:$B$1200,B522,$C$5:$C$1200,C522,$D$5:$D$1200,D522)&gt;1,"ERRO: chave duplicada","OK")))</f>
        <v/>
      </c>
    </row>
    <row r="523" ht="15" customHeight="1" s="131">
      <c r="A523" s="320" t="n"/>
      <c r="B523" s="323" t="n"/>
      <c r="C523" s="320" t="n"/>
      <c r="D523" s="326" t="n"/>
      <c r="E523" s="324" t="n"/>
      <c r="F523" s="320" t="n"/>
      <c r="G523" s="327" t="n"/>
      <c r="H523" s="271" t="n"/>
      <c r="I523" s="275">
        <f>IF(COUNTA(A523:F523)=0,"",IF(OR(E523&lt;0,F523&lt;0,F523&gt;10),"ERRO: valores inválidos",IF(COUNTIFS($A$5:$A$1200,A523,$B$5:$B$1200,B523,$C$5:$C$1200,C523,$D$5:$D$1200,D523)&gt;1,"ERRO: chave duplicada","OK")))</f>
        <v/>
      </c>
    </row>
    <row r="524" ht="15" customHeight="1" s="131">
      <c r="A524" s="320" t="n"/>
      <c r="B524" s="323" t="n"/>
      <c r="C524" s="320" t="n"/>
      <c r="D524" s="326" t="n"/>
      <c r="E524" s="324" t="n"/>
      <c r="F524" s="320" t="n"/>
      <c r="G524" s="327" t="n"/>
      <c r="H524" s="271" t="n"/>
      <c r="I524" s="275">
        <f>IF(COUNTA(A524:F524)=0,"",IF(OR(E524&lt;0,F524&lt;0,F524&gt;10),"ERRO: valores inválidos",IF(COUNTIFS($A$5:$A$1200,A524,$B$5:$B$1200,B524,$C$5:$C$1200,C524,$D$5:$D$1200,D524)&gt;1,"ERRO: chave duplicada","OK")))</f>
        <v/>
      </c>
    </row>
    <row r="525" ht="15" customHeight="1" s="131">
      <c r="A525" s="320" t="n"/>
      <c r="B525" s="323" t="n"/>
      <c r="C525" s="320" t="n"/>
      <c r="D525" s="326" t="n"/>
      <c r="E525" s="324" t="n"/>
      <c r="F525" s="320" t="n"/>
      <c r="G525" s="327" t="n"/>
      <c r="H525" s="271" t="n"/>
      <c r="I525" s="275">
        <f>IF(COUNTA(A525:F525)=0,"",IF(OR(E525&lt;0,F525&lt;0,F525&gt;10),"ERRO: valores inválidos",IF(COUNTIFS($A$5:$A$1200,A525,$B$5:$B$1200,B525,$C$5:$C$1200,C525,$D$5:$D$1200,D525)&gt;1,"ERRO: chave duplicada","OK")))</f>
        <v/>
      </c>
    </row>
    <row r="526" ht="15" customHeight="1" s="131">
      <c r="A526" s="320" t="n"/>
      <c r="B526" s="323" t="n"/>
      <c r="C526" s="320" t="n"/>
      <c r="D526" s="326" t="n"/>
      <c r="E526" s="324" t="n"/>
      <c r="F526" s="320" t="n"/>
      <c r="G526" s="327" t="n"/>
      <c r="H526" s="271" t="n"/>
      <c r="I526" s="275">
        <f>IF(COUNTA(A526:F526)=0,"",IF(OR(E526&lt;0,F526&lt;0,F526&gt;10),"ERRO: valores inválidos",IF(COUNTIFS($A$5:$A$1200,A526,$B$5:$B$1200,B526,$C$5:$C$1200,C526,$D$5:$D$1200,D526)&gt;1,"ERRO: chave duplicada","OK")))</f>
        <v/>
      </c>
    </row>
    <row r="527" ht="15" customHeight="1" s="131">
      <c r="A527" s="320" t="n"/>
      <c r="B527" s="323" t="n"/>
      <c r="C527" s="320" t="n"/>
      <c r="D527" s="326" t="n"/>
      <c r="E527" s="324" t="n"/>
      <c r="F527" s="320" t="n"/>
      <c r="G527" s="327" t="n"/>
      <c r="H527" s="271" t="n"/>
      <c r="I527" s="275">
        <f>IF(COUNTA(A527:F527)=0,"",IF(OR(E527&lt;0,F527&lt;0,F527&gt;10),"ERRO: valores inválidos",IF(COUNTIFS($A$5:$A$1200,A527,$B$5:$B$1200,B527,$C$5:$C$1200,C527,$D$5:$D$1200,D527)&gt;1,"ERRO: chave duplicada","OK")))</f>
        <v/>
      </c>
    </row>
    <row r="528" ht="15" customHeight="1" s="131">
      <c r="A528" s="320" t="n"/>
      <c r="B528" s="323" t="n"/>
      <c r="C528" s="320" t="n"/>
      <c r="D528" s="326" t="n"/>
      <c r="E528" s="324" t="n"/>
      <c r="F528" s="320" t="n"/>
      <c r="G528" s="327" t="n"/>
      <c r="H528" s="271" t="n"/>
      <c r="I528" s="275">
        <f>IF(COUNTA(A528:F528)=0,"",IF(OR(E528&lt;0,F528&lt;0,F528&gt;10),"ERRO: valores inválidos",IF(COUNTIFS($A$5:$A$1200,A528,$B$5:$B$1200,B528,$C$5:$C$1200,C528,$D$5:$D$1200,D528)&gt;1,"ERRO: chave duplicada","OK")))</f>
        <v/>
      </c>
    </row>
    <row r="529" ht="15" customHeight="1" s="131">
      <c r="A529" s="320" t="n"/>
      <c r="B529" s="323" t="n"/>
      <c r="C529" s="320" t="n"/>
      <c r="D529" s="326" t="n"/>
      <c r="E529" s="324" t="n"/>
      <c r="F529" s="320" t="n"/>
      <c r="G529" s="327" t="n"/>
      <c r="H529" s="271" t="n"/>
      <c r="I529" s="275">
        <f>IF(COUNTA(A529:F529)=0,"",IF(OR(E529&lt;0,F529&lt;0,F529&gt;10),"ERRO: valores inválidos",IF(COUNTIFS($A$5:$A$1200,A529,$B$5:$B$1200,B529,$C$5:$C$1200,C529,$D$5:$D$1200,D529)&gt;1,"ERRO: chave duplicada","OK")))</f>
        <v/>
      </c>
    </row>
    <row r="530" ht="15" customHeight="1" s="131">
      <c r="A530" s="320" t="n"/>
      <c r="B530" s="323" t="n"/>
      <c r="C530" s="320" t="n"/>
      <c r="D530" s="326" t="n"/>
      <c r="E530" s="324" t="n"/>
      <c r="F530" s="320" t="n"/>
      <c r="G530" s="327" t="n"/>
      <c r="H530" s="271" t="n"/>
      <c r="I530" s="275">
        <f>IF(COUNTA(A530:F530)=0,"",IF(OR(E530&lt;0,F530&lt;0,F530&gt;10),"ERRO: valores inválidos",IF(COUNTIFS($A$5:$A$1200,A530,$B$5:$B$1200,B530,$C$5:$C$1200,C530,$D$5:$D$1200,D530)&gt;1,"ERRO: chave duplicada","OK")))</f>
        <v/>
      </c>
    </row>
    <row r="531" ht="15" customHeight="1" s="131">
      <c r="A531" s="320" t="n"/>
      <c r="B531" s="323" t="n"/>
      <c r="C531" s="320" t="n"/>
      <c r="D531" s="326" t="n"/>
      <c r="E531" s="324" t="n"/>
      <c r="F531" s="320" t="n"/>
      <c r="G531" s="327" t="n"/>
      <c r="H531" s="271" t="n"/>
      <c r="I531" s="275">
        <f>IF(COUNTA(A531:F531)=0,"",IF(OR(E531&lt;0,F531&lt;0,F531&gt;10),"ERRO: valores inválidos",IF(COUNTIFS($A$5:$A$1200,A531,$B$5:$B$1200,B531,$C$5:$C$1200,C531,$D$5:$D$1200,D531)&gt;1,"ERRO: chave duplicada","OK")))</f>
        <v/>
      </c>
    </row>
    <row r="532" ht="15" customHeight="1" s="131">
      <c r="A532" s="320" t="n"/>
      <c r="B532" s="323" t="n"/>
      <c r="C532" s="320" t="n"/>
      <c r="D532" s="326" t="n"/>
      <c r="E532" s="324" t="n"/>
      <c r="F532" s="320" t="n"/>
      <c r="G532" s="327" t="n"/>
      <c r="H532" s="271" t="n"/>
      <c r="I532" s="275">
        <f>IF(COUNTA(A532:F532)=0,"",IF(OR(E532&lt;0,F532&lt;0,F532&gt;10),"ERRO: valores inválidos",IF(COUNTIFS($A$5:$A$1200,A532,$B$5:$B$1200,B532,$C$5:$C$1200,C532,$D$5:$D$1200,D532)&gt;1,"ERRO: chave duplicada","OK")))</f>
        <v/>
      </c>
    </row>
    <row r="533" ht="15" customHeight="1" s="131">
      <c r="A533" s="320" t="n"/>
      <c r="B533" s="323" t="n"/>
      <c r="C533" s="320" t="n"/>
      <c r="D533" s="326" t="n"/>
      <c r="E533" s="324" t="n"/>
      <c r="F533" s="320" t="n"/>
      <c r="G533" s="327" t="n"/>
      <c r="H533" s="271" t="n"/>
      <c r="I533" s="275">
        <f>IF(COUNTA(A533:F533)=0,"",IF(OR(E533&lt;0,F533&lt;0,F533&gt;10),"ERRO: valores inválidos",IF(COUNTIFS($A$5:$A$1200,A533,$B$5:$B$1200,B533,$C$5:$C$1200,C533,$D$5:$D$1200,D533)&gt;1,"ERRO: chave duplicada","OK")))</f>
        <v/>
      </c>
    </row>
    <row r="534" ht="15" customHeight="1" s="131">
      <c r="A534" s="320" t="n"/>
      <c r="B534" s="323" t="n"/>
      <c r="C534" s="320" t="n"/>
      <c r="D534" s="326" t="n"/>
      <c r="E534" s="324" t="n"/>
      <c r="F534" s="320" t="n"/>
      <c r="G534" s="327" t="n"/>
      <c r="H534" s="271" t="n"/>
      <c r="I534" s="275">
        <f>IF(COUNTA(A534:F534)=0,"",IF(OR(E534&lt;0,F534&lt;0,F534&gt;10),"ERRO: valores inválidos",IF(COUNTIFS($A$5:$A$1200,A534,$B$5:$B$1200,B534,$C$5:$C$1200,C534,$D$5:$D$1200,D534)&gt;1,"ERRO: chave duplicada","OK")))</f>
        <v/>
      </c>
    </row>
    <row r="535" ht="15" customHeight="1" s="131">
      <c r="A535" s="320" t="n"/>
      <c r="B535" s="323" t="n"/>
      <c r="C535" s="320" t="n"/>
      <c r="D535" s="326" t="n"/>
      <c r="E535" s="324" t="n"/>
      <c r="F535" s="320" t="n"/>
      <c r="G535" s="327" t="n"/>
      <c r="H535" s="271" t="n"/>
      <c r="I535" s="275">
        <f>IF(COUNTA(A535:F535)=0,"",IF(OR(E535&lt;0,F535&lt;0,F535&gt;10),"ERRO: valores inválidos",IF(COUNTIFS($A$5:$A$1200,A535,$B$5:$B$1200,B535,$C$5:$C$1200,C535,$D$5:$D$1200,D535)&gt;1,"ERRO: chave duplicada","OK")))</f>
        <v/>
      </c>
    </row>
    <row r="536" ht="15" customHeight="1" s="131">
      <c r="A536" s="320" t="n"/>
      <c r="B536" s="323" t="n"/>
      <c r="C536" s="320" t="n"/>
      <c r="D536" s="326" t="n"/>
      <c r="E536" s="324" t="n"/>
      <c r="F536" s="320" t="n"/>
      <c r="G536" s="327" t="n"/>
      <c r="H536" s="271" t="n"/>
      <c r="I536" s="275">
        <f>IF(COUNTA(A536:F536)=0,"",IF(OR(E536&lt;0,F536&lt;0,F536&gt;10),"ERRO: valores inválidos",IF(COUNTIFS($A$5:$A$1200,A536,$B$5:$B$1200,B536,$C$5:$C$1200,C536,$D$5:$D$1200,D536)&gt;1,"ERRO: chave duplicada","OK")))</f>
        <v/>
      </c>
    </row>
    <row r="537" ht="15" customHeight="1" s="131">
      <c r="A537" s="320" t="n"/>
      <c r="B537" s="323" t="n"/>
      <c r="C537" s="320" t="n"/>
      <c r="D537" s="326" t="n"/>
      <c r="E537" s="324" t="n"/>
      <c r="F537" s="320" t="n"/>
      <c r="G537" s="327" t="n"/>
      <c r="H537" s="271" t="n"/>
      <c r="I537" s="275">
        <f>IF(COUNTA(A537:F537)=0,"",IF(OR(E537&lt;0,F537&lt;0,F537&gt;10),"ERRO: valores inválidos",IF(COUNTIFS($A$5:$A$1200,A537,$B$5:$B$1200,B537,$C$5:$C$1200,C537,$D$5:$D$1200,D537)&gt;1,"ERRO: chave duplicada","OK")))</f>
        <v/>
      </c>
    </row>
    <row r="538" ht="15" customHeight="1" s="131">
      <c r="A538" s="320" t="n"/>
      <c r="B538" s="323" t="n"/>
      <c r="C538" s="320" t="n"/>
      <c r="D538" s="326" t="n"/>
      <c r="E538" s="324" t="n"/>
      <c r="F538" s="320" t="n"/>
      <c r="G538" s="327" t="n"/>
      <c r="H538" s="271" t="n"/>
      <c r="I538" s="275">
        <f>IF(COUNTA(A538:F538)=0,"",IF(OR(E538&lt;0,F538&lt;0,F538&gt;10),"ERRO: valores inválidos",IF(COUNTIFS($A$5:$A$1200,A538,$B$5:$B$1200,B538,$C$5:$C$1200,C538,$D$5:$D$1200,D538)&gt;1,"ERRO: chave duplicada","OK")))</f>
        <v/>
      </c>
    </row>
    <row r="539" ht="15" customHeight="1" s="131">
      <c r="A539" s="320" t="n"/>
      <c r="B539" s="323" t="n"/>
      <c r="C539" s="320" t="n"/>
      <c r="D539" s="326" t="n"/>
      <c r="E539" s="324" t="n"/>
      <c r="F539" s="320" t="n"/>
      <c r="G539" s="327" t="n"/>
      <c r="H539" s="271" t="n"/>
      <c r="I539" s="275">
        <f>IF(COUNTA(A539:F539)=0,"",IF(OR(E539&lt;0,F539&lt;0,F539&gt;10),"ERRO: valores inválidos",IF(COUNTIFS($A$5:$A$1200,A539,$B$5:$B$1200,B539,$C$5:$C$1200,C539,$D$5:$D$1200,D539)&gt;1,"ERRO: chave duplicada","OK")))</f>
        <v/>
      </c>
    </row>
    <row r="540" ht="15" customHeight="1" s="131">
      <c r="A540" s="320" t="n"/>
      <c r="B540" s="323" t="n"/>
      <c r="C540" s="320" t="n"/>
      <c r="D540" s="326" t="n"/>
      <c r="E540" s="324" t="n"/>
      <c r="F540" s="320" t="n"/>
      <c r="G540" s="327" t="n"/>
      <c r="H540" s="271" t="n"/>
      <c r="I540" s="275">
        <f>IF(COUNTA(A540:F540)=0,"",IF(OR(E540&lt;0,F540&lt;0,F540&gt;10),"ERRO: valores inválidos",IF(COUNTIFS($A$5:$A$1200,A540,$B$5:$B$1200,B540,$C$5:$C$1200,C540,$D$5:$D$1200,D540)&gt;1,"ERRO: chave duplicada","OK")))</f>
        <v/>
      </c>
    </row>
    <row r="541" ht="15" customHeight="1" s="131">
      <c r="A541" s="320" t="n"/>
      <c r="B541" s="323" t="n"/>
      <c r="C541" s="320" t="n"/>
      <c r="D541" s="326" t="n"/>
      <c r="E541" s="324" t="n"/>
      <c r="F541" s="320" t="n"/>
      <c r="G541" s="327" t="n"/>
      <c r="H541" s="271" t="n"/>
      <c r="I541" s="275">
        <f>IF(COUNTA(A541:F541)=0,"",IF(OR(E541&lt;0,F541&lt;0,F541&gt;10),"ERRO: valores inválidos",IF(COUNTIFS($A$5:$A$1200,A541,$B$5:$B$1200,B541,$C$5:$C$1200,C541,$D$5:$D$1200,D541)&gt;1,"ERRO: chave duplicada","OK")))</f>
        <v/>
      </c>
    </row>
    <row r="542" ht="15" customHeight="1" s="131">
      <c r="A542" s="320" t="n"/>
      <c r="B542" s="323" t="n"/>
      <c r="C542" s="320" t="n"/>
      <c r="D542" s="326" t="n"/>
      <c r="E542" s="324" t="n"/>
      <c r="F542" s="320" t="n"/>
      <c r="G542" s="327" t="n"/>
      <c r="H542" s="271" t="n"/>
      <c r="I542" s="275">
        <f>IF(COUNTA(A542:F542)=0,"",IF(OR(E542&lt;0,F542&lt;0,F542&gt;10),"ERRO: valores inválidos",IF(COUNTIFS($A$5:$A$1200,A542,$B$5:$B$1200,B542,$C$5:$C$1200,C542,$D$5:$D$1200,D542)&gt;1,"ERRO: chave duplicada","OK")))</f>
        <v/>
      </c>
    </row>
    <row r="543" ht="15" customHeight="1" s="131">
      <c r="A543" s="320" t="n"/>
      <c r="B543" s="323" t="n"/>
      <c r="C543" s="320" t="n"/>
      <c r="D543" s="326" t="n"/>
      <c r="E543" s="324" t="n"/>
      <c r="F543" s="320" t="n"/>
      <c r="G543" s="327" t="n"/>
      <c r="H543" s="271" t="n"/>
      <c r="I543" s="275">
        <f>IF(COUNTA(A543:F543)=0,"",IF(OR(E543&lt;0,F543&lt;0,F543&gt;10),"ERRO: valores inválidos",IF(COUNTIFS($A$5:$A$1200,A543,$B$5:$B$1200,B543,$C$5:$C$1200,C543,$D$5:$D$1200,D543)&gt;1,"ERRO: chave duplicada","OK")))</f>
        <v/>
      </c>
    </row>
    <row r="544" ht="15" customHeight="1" s="131">
      <c r="A544" s="320" t="n"/>
      <c r="B544" s="323" t="n"/>
      <c r="C544" s="320" t="n"/>
      <c r="D544" s="326" t="n"/>
      <c r="E544" s="324" t="n"/>
      <c r="F544" s="320" t="n"/>
      <c r="G544" s="327" t="n"/>
      <c r="H544" s="271" t="n"/>
      <c r="I544" s="275">
        <f>IF(COUNTA(A544:F544)=0,"",IF(OR(E544&lt;0,F544&lt;0,F544&gt;10),"ERRO: valores inválidos",IF(COUNTIFS($A$5:$A$1200,A544,$B$5:$B$1200,B544,$C$5:$C$1200,C544,$D$5:$D$1200,D544)&gt;1,"ERRO: chave duplicada","OK")))</f>
        <v/>
      </c>
    </row>
    <row r="545" ht="15" customHeight="1" s="131">
      <c r="A545" s="320" t="n"/>
      <c r="B545" s="323" t="n"/>
      <c r="C545" s="320" t="n"/>
      <c r="D545" s="326" t="n"/>
      <c r="E545" s="324" t="n"/>
      <c r="F545" s="320" t="n"/>
      <c r="G545" s="327" t="n"/>
      <c r="H545" s="271" t="n"/>
      <c r="I545" s="275">
        <f>IF(COUNTA(A545:F545)=0,"",IF(OR(E545&lt;0,F545&lt;0,F545&gt;10),"ERRO: valores inválidos",IF(COUNTIFS($A$5:$A$1200,A545,$B$5:$B$1200,B545,$C$5:$C$1200,C545,$D$5:$D$1200,D545)&gt;1,"ERRO: chave duplicada","OK")))</f>
        <v/>
      </c>
    </row>
    <row r="546" ht="15" customHeight="1" s="131">
      <c r="A546" s="320" t="n"/>
      <c r="B546" s="323" t="n"/>
      <c r="C546" s="320" t="n"/>
      <c r="D546" s="326" t="n"/>
      <c r="E546" s="324" t="n"/>
      <c r="F546" s="320" t="n"/>
      <c r="G546" s="327" t="n"/>
      <c r="H546" s="271" t="n"/>
      <c r="I546" s="275">
        <f>IF(COUNTA(A546:F546)=0,"",IF(OR(E546&lt;0,F546&lt;0,F546&gt;10),"ERRO: valores inválidos",IF(COUNTIFS($A$5:$A$1200,A546,$B$5:$B$1200,B546,$C$5:$C$1200,C546,$D$5:$D$1200,D546)&gt;1,"ERRO: chave duplicada","OK")))</f>
        <v/>
      </c>
    </row>
    <row r="547" ht="15" customHeight="1" s="131">
      <c r="A547" s="320" t="n"/>
      <c r="B547" s="323" t="n"/>
      <c r="C547" s="320" t="n"/>
      <c r="D547" s="326" t="n"/>
      <c r="E547" s="324" t="n"/>
      <c r="F547" s="320" t="n"/>
      <c r="G547" s="327" t="n"/>
      <c r="H547" s="271" t="n"/>
      <c r="I547" s="275">
        <f>IF(COUNTA(A547:F547)=0,"",IF(OR(E547&lt;0,F547&lt;0,F547&gt;10),"ERRO: valores inválidos",IF(COUNTIFS($A$5:$A$1200,A547,$B$5:$B$1200,B547,$C$5:$C$1200,C547,$D$5:$D$1200,D547)&gt;1,"ERRO: chave duplicada","OK")))</f>
        <v/>
      </c>
    </row>
    <row r="548" ht="15" customHeight="1" s="131">
      <c r="A548" s="320" t="n"/>
      <c r="B548" s="323" t="n"/>
      <c r="C548" s="320" t="n"/>
      <c r="D548" s="326" t="n"/>
      <c r="E548" s="324" t="n"/>
      <c r="F548" s="320" t="n"/>
      <c r="G548" s="327" t="n"/>
      <c r="H548" s="271" t="n"/>
      <c r="I548" s="275">
        <f>IF(COUNTA(A548:F548)=0,"",IF(OR(E548&lt;0,F548&lt;0,F548&gt;10),"ERRO: valores inválidos",IF(COUNTIFS($A$5:$A$1200,A548,$B$5:$B$1200,B548,$C$5:$C$1200,C548,$D$5:$D$1200,D548)&gt;1,"ERRO: chave duplicada","OK")))</f>
        <v/>
      </c>
    </row>
    <row r="549" ht="15" customHeight="1" s="131">
      <c r="A549" s="320" t="n"/>
      <c r="B549" s="323" t="n"/>
      <c r="C549" s="320" t="n"/>
      <c r="D549" s="326" t="n"/>
      <c r="E549" s="324" t="n"/>
      <c r="F549" s="320" t="n"/>
      <c r="G549" s="327" t="n"/>
      <c r="H549" s="271" t="n"/>
      <c r="I549" s="275">
        <f>IF(COUNTA(A549:F549)=0,"",IF(OR(E549&lt;0,F549&lt;0,F549&gt;10),"ERRO: valores inválidos",IF(COUNTIFS($A$5:$A$1200,A549,$B$5:$B$1200,B549,$C$5:$C$1200,C549,$D$5:$D$1200,D549)&gt;1,"ERRO: chave duplicada","OK")))</f>
        <v/>
      </c>
    </row>
    <row r="550" ht="15" customHeight="1" s="131">
      <c r="A550" s="320" t="n"/>
      <c r="B550" s="323" t="n"/>
      <c r="C550" s="320" t="n"/>
      <c r="D550" s="326" t="n"/>
      <c r="E550" s="324" t="n"/>
      <c r="F550" s="320" t="n"/>
      <c r="G550" s="327" t="n"/>
      <c r="H550" s="271" t="n"/>
      <c r="I550" s="275">
        <f>IF(COUNTA(A550:F550)=0,"",IF(OR(E550&lt;0,F550&lt;0,F550&gt;10),"ERRO: valores inválidos",IF(COUNTIFS($A$5:$A$1200,A550,$B$5:$B$1200,B550,$C$5:$C$1200,C550,$D$5:$D$1200,D550)&gt;1,"ERRO: chave duplicada","OK")))</f>
        <v/>
      </c>
    </row>
    <row r="551" ht="15" customHeight="1" s="131">
      <c r="A551" s="320" t="n"/>
      <c r="B551" s="323" t="n"/>
      <c r="C551" s="320" t="n"/>
      <c r="D551" s="326" t="n"/>
      <c r="E551" s="324" t="n"/>
      <c r="F551" s="320" t="n"/>
      <c r="G551" s="327" t="n"/>
      <c r="H551" s="271" t="n"/>
      <c r="I551" s="275">
        <f>IF(COUNTA(A551:F551)=0,"",IF(OR(E551&lt;0,F551&lt;0,F551&gt;10),"ERRO: valores inválidos",IF(COUNTIFS($A$5:$A$1200,A551,$B$5:$B$1200,B551,$C$5:$C$1200,C551,$D$5:$D$1200,D551)&gt;1,"ERRO: chave duplicada","OK")))</f>
        <v/>
      </c>
    </row>
    <row r="552" ht="15" customHeight="1" s="131">
      <c r="A552" s="320" t="n"/>
      <c r="B552" s="323" t="n"/>
      <c r="C552" s="320" t="n"/>
      <c r="D552" s="326" t="n"/>
      <c r="E552" s="324" t="n"/>
      <c r="F552" s="320" t="n"/>
      <c r="G552" s="327" t="n"/>
      <c r="H552" s="271" t="n"/>
      <c r="I552" s="275">
        <f>IF(COUNTA(A552:F552)=0,"",IF(OR(E552&lt;0,F552&lt;0,F552&gt;10),"ERRO: valores inválidos",IF(COUNTIFS($A$5:$A$1200,A552,$B$5:$B$1200,B552,$C$5:$C$1200,C552,$D$5:$D$1200,D552)&gt;1,"ERRO: chave duplicada","OK")))</f>
        <v/>
      </c>
    </row>
    <row r="553" ht="15" customHeight="1" s="131">
      <c r="A553" s="320" t="n"/>
      <c r="B553" s="323" t="n"/>
      <c r="C553" s="320" t="n"/>
      <c r="D553" s="326" t="n"/>
      <c r="E553" s="324" t="n"/>
      <c r="F553" s="320" t="n"/>
      <c r="G553" s="327" t="n"/>
      <c r="H553" s="271" t="n"/>
      <c r="I553" s="275">
        <f>IF(COUNTA(A553:F553)=0,"",IF(OR(E553&lt;0,F553&lt;0,F553&gt;10),"ERRO: valores inválidos",IF(COUNTIFS($A$5:$A$1200,A553,$B$5:$B$1200,B553,$C$5:$C$1200,C553,$D$5:$D$1200,D553)&gt;1,"ERRO: chave duplicada","OK")))</f>
        <v/>
      </c>
    </row>
    <row r="554" ht="15" customHeight="1" s="131">
      <c r="A554" s="320" t="n"/>
      <c r="B554" s="323" t="n"/>
      <c r="C554" s="320" t="n"/>
      <c r="D554" s="326" t="n"/>
      <c r="E554" s="324" t="n"/>
      <c r="F554" s="320" t="n"/>
      <c r="G554" s="327" t="n"/>
      <c r="H554" s="271" t="n"/>
      <c r="I554" s="275">
        <f>IF(COUNTA(A554:F554)=0,"",IF(OR(E554&lt;0,F554&lt;0,F554&gt;10),"ERRO: valores inválidos",IF(COUNTIFS($A$5:$A$1200,A554,$B$5:$B$1200,B554,$C$5:$C$1200,C554,$D$5:$D$1200,D554)&gt;1,"ERRO: chave duplicada","OK")))</f>
        <v/>
      </c>
    </row>
    <row r="555" ht="15" customHeight="1" s="131">
      <c r="A555" s="320" t="n"/>
      <c r="B555" s="323" t="n"/>
      <c r="C555" s="320" t="n"/>
      <c r="D555" s="326" t="n"/>
      <c r="E555" s="324" t="n"/>
      <c r="F555" s="320" t="n"/>
      <c r="G555" s="327" t="n"/>
      <c r="H555" s="271" t="n"/>
      <c r="I555" s="275">
        <f>IF(COUNTA(A555:F555)=0,"",IF(OR(E555&lt;0,F555&lt;0,F555&gt;10),"ERRO: valores inválidos",IF(COUNTIFS($A$5:$A$1200,A555,$B$5:$B$1200,B555,$C$5:$C$1200,C555,$D$5:$D$1200,D555)&gt;1,"ERRO: chave duplicada","OK")))</f>
        <v/>
      </c>
    </row>
    <row r="556" ht="15" customHeight="1" s="131">
      <c r="A556" s="320" t="n"/>
      <c r="B556" s="323" t="n"/>
      <c r="C556" s="320" t="n"/>
      <c r="D556" s="326" t="n"/>
      <c r="E556" s="324" t="n"/>
      <c r="F556" s="320" t="n"/>
      <c r="G556" s="327" t="n"/>
      <c r="H556" s="271" t="n"/>
      <c r="I556" s="275">
        <f>IF(COUNTA(A556:F556)=0,"",IF(OR(E556&lt;0,F556&lt;0,F556&gt;10),"ERRO: valores inválidos",IF(COUNTIFS($A$5:$A$1200,A556,$B$5:$B$1200,B556,$C$5:$C$1200,C556,$D$5:$D$1200,D556)&gt;1,"ERRO: chave duplicada","OK")))</f>
        <v/>
      </c>
    </row>
    <row r="557" ht="15" customHeight="1" s="131">
      <c r="A557" s="320" t="n"/>
      <c r="B557" s="323" t="n"/>
      <c r="C557" s="320" t="n"/>
      <c r="D557" s="326" t="n"/>
      <c r="E557" s="324" t="n"/>
      <c r="F557" s="320" t="n"/>
      <c r="G557" s="327" t="n"/>
      <c r="H557" s="271" t="n"/>
      <c r="I557" s="275">
        <f>IF(COUNTA(A557:F557)=0,"",IF(OR(E557&lt;0,F557&lt;0,F557&gt;10),"ERRO: valores inválidos",IF(COUNTIFS($A$5:$A$1200,A557,$B$5:$B$1200,B557,$C$5:$C$1200,C557,$D$5:$D$1200,D557)&gt;1,"ERRO: chave duplicada","OK")))</f>
        <v/>
      </c>
    </row>
    <row r="558" ht="15" customHeight="1" s="131">
      <c r="A558" s="320" t="n"/>
      <c r="B558" s="323" t="n"/>
      <c r="C558" s="320" t="n"/>
      <c r="D558" s="326" t="n"/>
      <c r="E558" s="324" t="n"/>
      <c r="F558" s="320" t="n"/>
      <c r="G558" s="327" t="n"/>
      <c r="H558" s="271" t="n"/>
      <c r="I558" s="275">
        <f>IF(COUNTA(A558:F558)=0,"",IF(OR(E558&lt;0,F558&lt;0,F558&gt;10),"ERRO: valores inválidos",IF(COUNTIFS($A$5:$A$1200,A558,$B$5:$B$1200,B558,$C$5:$C$1200,C558,$D$5:$D$1200,D558)&gt;1,"ERRO: chave duplicada","OK")))</f>
        <v/>
      </c>
    </row>
    <row r="559" ht="15" customHeight="1" s="131">
      <c r="A559" s="320" t="n"/>
      <c r="B559" s="323" t="n"/>
      <c r="C559" s="320" t="n"/>
      <c r="D559" s="326" t="n"/>
      <c r="E559" s="324" t="n"/>
      <c r="F559" s="320" t="n"/>
      <c r="G559" s="327" t="n"/>
      <c r="H559" s="271" t="n"/>
      <c r="I559" s="275">
        <f>IF(COUNTA(A559:F559)=0,"",IF(OR(E559&lt;0,F559&lt;0,F559&gt;10),"ERRO: valores inválidos",IF(COUNTIFS($A$5:$A$1200,A559,$B$5:$B$1200,B559,$C$5:$C$1200,C559,$D$5:$D$1200,D559)&gt;1,"ERRO: chave duplicada","OK")))</f>
        <v/>
      </c>
    </row>
    <row r="560" ht="15" customHeight="1" s="131">
      <c r="A560" s="320" t="n"/>
      <c r="B560" s="323" t="n"/>
      <c r="C560" s="320" t="n"/>
      <c r="D560" s="326" t="n"/>
      <c r="E560" s="324" t="n"/>
      <c r="F560" s="320" t="n"/>
      <c r="G560" s="327" t="n"/>
      <c r="H560" s="271" t="n"/>
      <c r="I560" s="275">
        <f>IF(COUNTA(A560:F560)=0,"",IF(OR(E560&lt;0,F560&lt;0,F560&gt;10),"ERRO: valores inválidos",IF(COUNTIFS($A$5:$A$1200,A560,$B$5:$B$1200,B560,$C$5:$C$1200,C560,$D$5:$D$1200,D560)&gt;1,"ERRO: chave duplicada","OK")))</f>
        <v/>
      </c>
    </row>
    <row r="561" ht="15" customHeight="1" s="131">
      <c r="A561" s="320" t="n"/>
      <c r="B561" s="323" t="n"/>
      <c r="C561" s="320" t="n"/>
      <c r="D561" s="326" t="n"/>
      <c r="E561" s="324" t="n"/>
      <c r="F561" s="320" t="n"/>
      <c r="G561" s="327" t="n"/>
      <c r="H561" s="271" t="n"/>
      <c r="I561" s="275">
        <f>IF(COUNTA(A561:F561)=0,"",IF(OR(E561&lt;0,F561&lt;0,F561&gt;10),"ERRO: valores inválidos",IF(COUNTIFS($A$5:$A$1200,A561,$B$5:$B$1200,B561,$C$5:$C$1200,C561,$D$5:$D$1200,D561)&gt;1,"ERRO: chave duplicada","OK")))</f>
        <v/>
      </c>
    </row>
    <row r="562" ht="15" customHeight="1" s="131">
      <c r="A562" s="320" t="n"/>
      <c r="B562" s="323" t="n"/>
      <c r="C562" s="320" t="n"/>
      <c r="D562" s="326" t="n"/>
      <c r="E562" s="324" t="n"/>
      <c r="F562" s="320" t="n"/>
      <c r="G562" s="327" t="n"/>
      <c r="H562" s="271" t="n"/>
      <c r="I562" s="275">
        <f>IF(COUNTA(A562:F562)=0,"",IF(OR(E562&lt;0,F562&lt;0,F562&gt;10),"ERRO: valores inválidos",IF(COUNTIFS($A$5:$A$1200,A562,$B$5:$B$1200,B562,$C$5:$C$1200,C562,$D$5:$D$1200,D562)&gt;1,"ERRO: chave duplicada","OK")))</f>
        <v/>
      </c>
    </row>
    <row r="563" ht="15" customHeight="1" s="131">
      <c r="A563" s="320" t="n"/>
      <c r="B563" s="323" t="n"/>
      <c r="C563" s="320" t="n"/>
      <c r="D563" s="326" t="n"/>
      <c r="E563" s="324" t="n"/>
      <c r="F563" s="320" t="n"/>
      <c r="G563" s="327" t="n"/>
      <c r="H563" s="271" t="n"/>
      <c r="I563" s="275">
        <f>IF(COUNTA(A563:F563)=0,"",IF(OR(E563&lt;0,F563&lt;0,F563&gt;10),"ERRO: valores inválidos",IF(COUNTIFS($A$5:$A$1200,A563,$B$5:$B$1200,B563,$C$5:$C$1200,C563,$D$5:$D$1200,D563)&gt;1,"ERRO: chave duplicada","OK")))</f>
        <v/>
      </c>
    </row>
    <row r="564" ht="15" customHeight="1" s="131">
      <c r="A564" s="320" t="n"/>
      <c r="B564" s="323" t="n"/>
      <c r="C564" s="320" t="n"/>
      <c r="D564" s="326" t="n"/>
      <c r="E564" s="324" t="n"/>
      <c r="F564" s="320" t="n"/>
      <c r="G564" s="327" t="n"/>
      <c r="H564" s="271" t="n"/>
      <c r="I564" s="275">
        <f>IF(COUNTA(A564:F564)=0,"",IF(OR(E564&lt;0,F564&lt;0,F564&gt;10),"ERRO: valores inválidos",IF(COUNTIFS($A$5:$A$1200,A564,$B$5:$B$1200,B564,$C$5:$C$1200,C564,$D$5:$D$1200,D564)&gt;1,"ERRO: chave duplicada","OK")))</f>
        <v/>
      </c>
    </row>
    <row r="565" ht="15" customHeight="1" s="131">
      <c r="A565" s="320" t="n"/>
      <c r="B565" s="323" t="n"/>
      <c r="C565" s="320" t="n"/>
      <c r="D565" s="326" t="n"/>
      <c r="E565" s="324" t="n"/>
      <c r="F565" s="320" t="n"/>
      <c r="G565" s="327" t="n"/>
      <c r="H565" s="271" t="n"/>
      <c r="I565" s="275">
        <f>IF(COUNTA(A565:F565)=0,"",IF(OR(E565&lt;0,F565&lt;0,F565&gt;10),"ERRO: valores inválidos",IF(COUNTIFS($A$5:$A$1200,A565,$B$5:$B$1200,B565,$C$5:$C$1200,C565,$D$5:$D$1200,D565)&gt;1,"ERRO: chave duplicada","OK")))</f>
        <v/>
      </c>
    </row>
    <row r="566" ht="15" customHeight="1" s="131">
      <c r="A566" s="320" t="n"/>
      <c r="B566" s="323" t="n"/>
      <c r="C566" s="320" t="n"/>
      <c r="D566" s="326" t="n"/>
      <c r="E566" s="324" t="n"/>
      <c r="F566" s="320" t="n"/>
      <c r="G566" s="327" t="n"/>
      <c r="H566" s="271" t="n"/>
      <c r="I566" s="275">
        <f>IF(COUNTA(A566:F566)=0,"",IF(OR(E566&lt;0,F566&lt;0,F566&gt;10),"ERRO: valores inválidos",IF(COUNTIFS($A$5:$A$1200,A566,$B$5:$B$1200,B566,$C$5:$C$1200,C566,$D$5:$D$1200,D566)&gt;1,"ERRO: chave duplicada","OK")))</f>
        <v/>
      </c>
    </row>
    <row r="567" ht="15" customHeight="1" s="131">
      <c r="A567" s="320" t="n"/>
      <c r="B567" s="323" t="n"/>
      <c r="C567" s="320" t="n"/>
      <c r="D567" s="326" t="n"/>
      <c r="E567" s="324" t="n"/>
      <c r="F567" s="320" t="n"/>
      <c r="G567" s="327" t="n"/>
      <c r="H567" s="271" t="n"/>
      <c r="I567" s="275">
        <f>IF(COUNTA(A567:F567)=0,"",IF(OR(E567&lt;0,F567&lt;0,F567&gt;10),"ERRO: valores inválidos",IF(COUNTIFS($A$5:$A$1200,A567,$B$5:$B$1200,B567,$C$5:$C$1200,C567,$D$5:$D$1200,D567)&gt;1,"ERRO: chave duplicada","OK")))</f>
        <v/>
      </c>
    </row>
    <row r="568" ht="15" customHeight="1" s="131">
      <c r="A568" s="320" t="n"/>
      <c r="B568" s="323" t="n"/>
      <c r="C568" s="320" t="n"/>
      <c r="D568" s="326" t="n"/>
      <c r="E568" s="324" t="n"/>
      <c r="F568" s="320" t="n"/>
      <c r="G568" s="327" t="n"/>
      <c r="H568" s="271" t="n"/>
      <c r="I568" s="275">
        <f>IF(COUNTA(A568:F568)=0,"",IF(OR(E568&lt;0,F568&lt;0,F568&gt;10),"ERRO: valores inválidos",IF(COUNTIFS($A$5:$A$1200,A568,$B$5:$B$1200,B568,$C$5:$C$1200,C568,$D$5:$D$1200,D568)&gt;1,"ERRO: chave duplicada","OK")))</f>
        <v/>
      </c>
    </row>
    <row r="569" ht="15" customHeight="1" s="131">
      <c r="A569" s="320" t="n"/>
      <c r="B569" s="323" t="n"/>
      <c r="C569" s="320" t="n"/>
      <c r="D569" s="326" t="n"/>
      <c r="E569" s="324" t="n"/>
      <c r="F569" s="320" t="n"/>
      <c r="G569" s="327" t="n"/>
      <c r="H569" s="271" t="n"/>
      <c r="I569" s="275">
        <f>IF(COUNTA(A569:F569)=0,"",IF(OR(E569&lt;0,F569&lt;0,F569&gt;10),"ERRO: valores inválidos",IF(COUNTIFS($A$5:$A$1200,A569,$B$5:$B$1200,B569,$C$5:$C$1200,C569,$D$5:$D$1200,D569)&gt;1,"ERRO: chave duplicada","OK")))</f>
        <v/>
      </c>
    </row>
    <row r="570" ht="15" customHeight="1" s="131">
      <c r="A570" s="320" t="n"/>
      <c r="B570" s="323" t="n"/>
      <c r="C570" s="320" t="n"/>
      <c r="D570" s="326" t="n"/>
      <c r="E570" s="324" t="n"/>
      <c r="F570" s="320" t="n"/>
      <c r="G570" s="327" t="n"/>
      <c r="H570" s="271" t="n"/>
      <c r="I570" s="275">
        <f>IF(COUNTA(A570:F570)=0,"",IF(OR(E570&lt;0,F570&lt;0,F570&gt;10),"ERRO: valores inválidos",IF(COUNTIFS($A$5:$A$1200,A570,$B$5:$B$1200,B570,$C$5:$C$1200,C570,$D$5:$D$1200,D570)&gt;1,"ERRO: chave duplicada","OK")))</f>
        <v/>
      </c>
    </row>
    <row r="571" ht="15" customHeight="1" s="131">
      <c r="A571" s="320" t="n"/>
      <c r="B571" s="323" t="n"/>
      <c r="C571" s="320" t="n"/>
      <c r="D571" s="326" t="n"/>
      <c r="E571" s="324" t="n"/>
      <c r="F571" s="320" t="n"/>
      <c r="G571" s="327" t="n"/>
      <c r="H571" s="271" t="n"/>
      <c r="I571" s="275">
        <f>IF(COUNTA(A571:F571)=0,"",IF(OR(E571&lt;0,F571&lt;0,F571&gt;10),"ERRO: valores inválidos",IF(COUNTIFS($A$5:$A$1200,A571,$B$5:$B$1200,B571,$C$5:$C$1200,C571,$D$5:$D$1200,D571)&gt;1,"ERRO: chave duplicada","OK")))</f>
        <v/>
      </c>
    </row>
    <row r="572" ht="15" customHeight="1" s="131">
      <c r="A572" s="320" t="n"/>
      <c r="B572" s="323" t="n"/>
      <c r="C572" s="320" t="n"/>
      <c r="D572" s="326" t="n"/>
      <c r="E572" s="324" t="n"/>
      <c r="F572" s="320" t="n"/>
      <c r="G572" s="327" t="n"/>
      <c r="H572" s="271" t="n"/>
      <c r="I572" s="275">
        <f>IF(COUNTA(A572:F572)=0,"",IF(OR(E572&lt;0,F572&lt;0,F572&gt;10),"ERRO: valores inválidos",IF(COUNTIFS($A$5:$A$1200,A572,$B$5:$B$1200,B572,$C$5:$C$1200,C572,$D$5:$D$1200,D572)&gt;1,"ERRO: chave duplicada","OK")))</f>
        <v/>
      </c>
    </row>
    <row r="573" ht="15" customHeight="1" s="131">
      <c r="A573" s="320" t="n"/>
      <c r="B573" s="323" t="n"/>
      <c r="C573" s="320" t="n"/>
      <c r="D573" s="326" t="n"/>
      <c r="E573" s="324" t="n"/>
      <c r="F573" s="320" t="n"/>
      <c r="G573" s="327" t="n"/>
      <c r="H573" s="271" t="n"/>
      <c r="I573" s="275">
        <f>IF(COUNTA(A573:F573)=0,"",IF(OR(E573&lt;0,F573&lt;0,F573&gt;10),"ERRO: valores inválidos",IF(COUNTIFS($A$5:$A$1200,A573,$B$5:$B$1200,B573,$C$5:$C$1200,C573,$D$5:$D$1200,D573)&gt;1,"ERRO: chave duplicada","OK")))</f>
        <v/>
      </c>
    </row>
    <row r="574" ht="15" customHeight="1" s="131">
      <c r="A574" s="320" t="n"/>
      <c r="B574" s="323" t="n"/>
      <c r="C574" s="320" t="n"/>
      <c r="D574" s="326" t="n"/>
      <c r="E574" s="324" t="n"/>
      <c r="F574" s="320" t="n"/>
      <c r="G574" s="327" t="n"/>
      <c r="H574" s="271" t="n"/>
      <c r="I574" s="275">
        <f>IF(COUNTA(A574:F574)=0,"",IF(OR(E574&lt;0,F574&lt;0,F574&gt;10),"ERRO: valores inválidos",IF(COUNTIFS($A$5:$A$1200,A574,$B$5:$B$1200,B574,$C$5:$C$1200,C574,$D$5:$D$1200,D574)&gt;1,"ERRO: chave duplicada","OK")))</f>
        <v/>
      </c>
    </row>
    <row r="575" ht="15" customHeight="1" s="131">
      <c r="A575" s="320" t="n"/>
      <c r="B575" s="323" t="n"/>
      <c r="C575" s="320" t="n"/>
      <c r="D575" s="326" t="n"/>
      <c r="E575" s="324" t="n"/>
      <c r="F575" s="320" t="n"/>
      <c r="G575" s="327" t="n"/>
      <c r="H575" s="271" t="n"/>
      <c r="I575" s="275">
        <f>IF(COUNTA(A575:F575)=0,"",IF(OR(E575&lt;0,F575&lt;0,F575&gt;10),"ERRO: valores inválidos",IF(COUNTIFS($A$5:$A$1200,A575,$B$5:$B$1200,B575,$C$5:$C$1200,C575,$D$5:$D$1200,D575)&gt;1,"ERRO: chave duplicada","OK")))</f>
        <v/>
      </c>
    </row>
    <row r="576" ht="15" customHeight="1" s="131">
      <c r="A576" s="320" t="n"/>
      <c r="B576" s="323" t="n"/>
      <c r="C576" s="320" t="n"/>
      <c r="D576" s="326" t="n"/>
      <c r="E576" s="324" t="n"/>
      <c r="F576" s="320" t="n"/>
      <c r="G576" s="327" t="n"/>
      <c r="H576" s="271" t="n"/>
      <c r="I576" s="275">
        <f>IF(COUNTA(A576:F576)=0,"",IF(OR(E576&lt;0,F576&lt;0,F576&gt;10),"ERRO: valores inválidos",IF(COUNTIFS($A$5:$A$1200,A576,$B$5:$B$1200,B576,$C$5:$C$1200,C576,$D$5:$D$1200,D576)&gt;1,"ERRO: chave duplicada","OK")))</f>
        <v/>
      </c>
    </row>
    <row r="577" ht="15" customHeight="1" s="131">
      <c r="A577" s="320" t="n"/>
      <c r="B577" s="323" t="n"/>
      <c r="C577" s="320" t="n"/>
      <c r="D577" s="326" t="n"/>
      <c r="E577" s="324" t="n"/>
      <c r="F577" s="320" t="n"/>
      <c r="G577" s="327" t="n"/>
      <c r="H577" s="271" t="n"/>
      <c r="I577" s="275">
        <f>IF(COUNTA(A577:F577)=0,"",IF(OR(E577&lt;0,F577&lt;0,F577&gt;10),"ERRO: valores inválidos",IF(COUNTIFS($A$5:$A$1200,A577,$B$5:$B$1200,B577,$C$5:$C$1200,C577,$D$5:$D$1200,D577)&gt;1,"ERRO: chave duplicada","OK")))</f>
        <v/>
      </c>
    </row>
    <row r="578" ht="15" customHeight="1" s="131">
      <c r="A578" s="320" t="n"/>
      <c r="B578" s="323" t="n"/>
      <c r="C578" s="320" t="n"/>
      <c r="D578" s="326" t="n"/>
      <c r="E578" s="324" t="n"/>
      <c r="F578" s="320" t="n"/>
      <c r="G578" s="327" t="n"/>
      <c r="H578" s="271" t="n"/>
      <c r="I578" s="275">
        <f>IF(COUNTA(A578:F578)=0,"",IF(OR(E578&lt;0,F578&lt;0,F578&gt;10),"ERRO: valores inválidos",IF(COUNTIFS($A$5:$A$1200,A578,$B$5:$B$1200,B578,$C$5:$C$1200,C578,$D$5:$D$1200,D578)&gt;1,"ERRO: chave duplicada","OK")))</f>
        <v/>
      </c>
    </row>
    <row r="579" ht="15" customHeight="1" s="131">
      <c r="A579" s="320" t="n"/>
      <c r="B579" s="323" t="n"/>
      <c r="C579" s="320" t="n"/>
      <c r="D579" s="326" t="n"/>
      <c r="E579" s="324" t="n"/>
      <c r="F579" s="320" t="n"/>
      <c r="G579" s="327" t="n"/>
      <c r="H579" s="271" t="n"/>
      <c r="I579" s="275">
        <f>IF(COUNTA(A579:F579)=0,"",IF(OR(E579&lt;0,F579&lt;0,F579&gt;10),"ERRO: valores inválidos",IF(COUNTIFS($A$5:$A$1200,A579,$B$5:$B$1200,B579,$C$5:$C$1200,C579,$D$5:$D$1200,D579)&gt;1,"ERRO: chave duplicada","OK")))</f>
        <v/>
      </c>
    </row>
    <row r="580" ht="15" customHeight="1" s="131">
      <c r="A580" s="320" t="n"/>
      <c r="B580" s="323" t="n"/>
      <c r="C580" s="320" t="n"/>
      <c r="D580" s="326" t="n"/>
      <c r="E580" s="324" t="n"/>
      <c r="F580" s="320" t="n"/>
      <c r="G580" s="327" t="n"/>
      <c r="H580" s="271" t="n"/>
      <c r="I580" s="275">
        <f>IF(COUNTA(A580:F580)=0,"",IF(OR(E580&lt;0,F580&lt;0,F580&gt;10),"ERRO: valores inválidos",IF(COUNTIFS($A$5:$A$1200,A580,$B$5:$B$1200,B580,$C$5:$C$1200,C580,$D$5:$D$1200,D580)&gt;1,"ERRO: chave duplicada","OK")))</f>
        <v/>
      </c>
    </row>
    <row r="581" ht="15" customHeight="1" s="131">
      <c r="A581" s="320" t="n"/>
      <c r="B581" s="323" t="n"/>
      <c r="C581" s="320" t="n"/>
      <c r="D581" s="326" t="n"/>
      <c r="E581" s="324" t="n"/>
      <c r="F581" s="320" t="n"/>
      <c r="G581" s="327" t="n"/>
      <c r="H581" s="271" t="n"/>
      <c r="I581" s="275">
        <f>IF(COUNTA(A581:F581)=0,"",IF(OR(E581&lt;0,F581&lt;0,F581&gt;10),"ERRO: valores inválidos",IF(COUNTIFS($A$5:$A$1200,A581,$B$5:$B$1200,B581,$C$5:$C$1200,C581,$D$5:$D$1200,D581)&gt;1,"ERRO: chave duplicada","OK")))</f>
        <v/>
      </c>
    </row>
    <row r="582" ht="15" customHeight="1" s="131">
      <c r="A582" s="320" t="n"/>
      <c r="B582" s="323" t="n"/>
      <c r="C582" s="320" t="n"/>
      <c r="D582" s="326" t="n"/>
      <c r="E582" s="324" t="n"/>
      <c r="F582" s="320" t="n"/>
      <c r="G582" s="327" t="n"/>
      <c r="H582" s="271" t="n"/>
      <c r="I582" s="275">
        <f>IF(COUNTA(A582:F582)=0,"",IF(OR(E582&lt;0,F582&lt;0,F582&gt;10),"ERRO: valores inválidos",IF(COUNTIFS($A$5:$A$1200,A582,$B$5:$B$1200,B582,$C$5:$C$1200,C582,$D$5:$D$1200,D582)&gt;1,"ERRO: chave duplicada","OK")))</f>
        <v/>
      </c>
    </row>
    <row r="583" ht="15" customHeight="1" s="131">
      <c r="A583" s="320" t="n"/>
      <c r="B583" s="323" t="n"/>
      <c r="C583" s="320" t="n"/>
      <c r="D583" s="326" t="n"/>
      <c r="E583" s="324" t="n"/>
      <c r="F583" s="320" t="n"/>
      <c r="G583" s="327" t="n"/>
      <c r="H583" s="271" t="n"/>
      <c r="I583" s="275">
        <f>IF(COUNTA(A583:F583)=0,"",IF(OR(E583&lt;0,F583&lt;0,F583&gt;10),"ERRO: valores inválidos",IF(COUNTIFS($A$5:$A$1200,A583,$B$5:$B$1200,B583,$C$5:$C$1200,C583,$D$5:$D$1200,D583)&gt;1,"ERRO: chave duplicada","OK")))</f>
        <v/>
      </c>
    </row>
    <row r="584" ht="15" customHeight="1" s="131">
      <c r="A584" s="320" t="n"/>
      <c r="B584" s="323" t="n"/>
      <c r="C584" s="320" t="n"/>
      <c r="D584" s="326" t="n"/>
      <c r="E584" s="324" t="n"/>
      <c r="F584" s="320" t="n"/>
      <c r="G584" s="327" t="n"/>
      <c r="H584" s="271" t="n"/>
      <c r="I584" s="275">
        <f>IF(COUNTA(A584:F584)=0,"",IF(OR(E584&lt;0,F584&lt;0,F584&gt;10),"ERRO: valores inválidos",IF(COUNTIFS($A$5:$A$1200,A584,$B$5:$B$1200,B584,$C$5:$C$1200,C584,$D$5:$D$1200,D584)&gt;1,"ERRO: chave duplicada","OK")))</f>
        <v/>
      </c>
    </row>
    <row r="585" ht="15" customHeight="1" s="131">
      <c r="A585" s="320" t="n"/>
      <c r="B585" s="323" t="n"/>
      <c r="C585" s="320" t="n"/>
      <c r="D585" s="326" t="n"/>
      <c r="E585" s="324" t="n"/>
      <c r="F585" s="320" t="n"/>
      <c r="G585" s="327" t="n"/>
      <c r="H585" s="271" t="n"/>
      <c r="I585" s="275">
        <f>IF(COUNTA(A585:F585)=0,"",IF(OR(E585&lt;0,F585&lt;0,F585&gt;10),"ERRO: valores inválidos",IF(COUNTIFS($A$5:$A$1200,A585,$B$5:$B$1200,B585,$C$5:$C$1200,C585,$D$5:$D$1200,D585)&gt;1,"ERRO: chave duplicada","OK")))</f>
        <v/>
      </c>
    </row>
    <row r="586" ht="15" customHeight="1" s="131">
      <c r="A586" s="320" t="n"/>
      <c r="B586" s="323" t="n"/>
      <c r="C586" s="320" t="n"/>
      <c r="D586" s="326" t="n"/>
      <c r="E586" s="324" t="n"/>
      <c r="F586" s="320" t="n"/>
      <c r="G586" s="327" t="n"/>
      <c r="H586" s="271" t="n"/>
      <c r="I586" s="275">
        <f>IF(COUNTA(A586:F586)=0,"",IF(OR(E586&lt;0,F586&lt;0,F586&gt;10),"ERRO: valores inválidos",IF(COUNTIFS($A$5:$A$1200,A586,$B$5:$B$1200,B586,$C$5:$C$1200,C586,$D$5:$D$1200,D586)&gt;1,"ERRO: chave duplicada","OK")))</f>
        <v/>
      </c>
    </row>
    <row r="587" ht="15" customHeight="1" s="131">
      <c r="A587" s="320" t="n"/>
      <c r="B587" s="323" t="n"/>
      <c r="C587" s="320" t="n"/>
      <c r="D587" s="326" t="n"/>
      <c r="E587" s="324" t="n"/>
      <c r="F587" s="320" t="n"/>
      <c r="G587" s="327" t="n"/>
      <c r="H587" s="271" t="n"/>
      <c r="I587" s="275">
        <f>IF(COUNTA(A587:F587)=0,"",IF(OR(E587&lt;0,F587&lt;0,F587&gt;10),"ERRO: valores inválidos",IF(COUNTIFS($A$5:$A$1200,A587,$B$5:$B$1200,B587,$C$5:$C$1200,C587,$D$5:$D$1200,D587)&gt;1,"ERRO: chave duplicada","OK")))</f>
        <v/>
      </c>
    </row>
    <row r="588" ht="15" customHeight="1" s="131">
      <c r="A588" s="320" t="n"/>
      <c r="B588" s="323" t="n"/>
      <c r="C588" s="320" t="n"/>
      <c r="D588" s="326" t="n"/>
      <c r="E588" s="324" t="n"/>
      <c r="F588" s="320" t="n"/>
      <c r="G588" s="327" t="n"/>
      <c r="H588" s="271" t="n"/>
      <c r="I588" s="275">
        <f>IF(COUNTA(A588:F588)=0,"",IF(OR(E588&lt;0,F588&lt;0,F588&gt;10),"ERRO: valores inválidos",IF(COUNTIFS($A$5:$A$1200,A588,$B$5:$B$1200,B588,$C$5:$C$1200,C588,$D$5:$D$1200,D588)&gt;1,"ERRO: chave duplicada","OK")))</f>
        <v/>
      </c>
    </row>
    <row r="589" ht="15" customHeight="1" s="131">
      <c r="A589" s="320" t="n"/>
      <c r="B589" s="323" t="n"/>
      <c r="C589" s="320" t="n"/>
      <c r="D589" s="326" t="n"/>
      <c r="E589" s="324" t="n"/>
      <c r="F589" s="320" t="n"/>
      <c r="G589" s="327" t="n"/>
      <c r="H589" s="271" t="n"/>
      <c r="I589" s="275">
        <f>IF(COUNTA(A589:F589)=0,"",IF(OR(E589&lt;0,F589&lt;0,F589&gt;10),"ERRO: valores inválidos",IF(COUNTIFS($A$5:$A$1200,A589,$B$5:$B$1200,B589,$C$5:$C$1200,C589,$D$5:$D$1200,D589)&gt;1,"ERRO: chave duplicada","OK")))</f>
        <v/>
      </c>
    </row>
    <row r="590" ht="15" customHeight="1" s="131">
      <c r="A590" s="320" t="n"/>
      <c r="B590" s="323" t="n"/>
      <c r="C590" s="320" t="n"/>
      <c r="D590" s="326" t="n"/>
      <c r="E590" s="324" t="n"/>
      <c r="F590" s="320" t="n"/>
      <c r="G590" s="327" t="n"/>
      <c r="H590" s="271" t="n"/>
      <c r="I590" s="275">
        <f>IF(COUNTA(A590:F590)=0,"",IF(OR(E590&lt;0,F590&lt;0,F590&gt;10),"ERRO: valores inválidos",IF(COUNTIFS($A$5:$A$1200,A590,$B$5:$B$1200,B590,$C$5:$C$1200,C590,$D$5:$D$1200,D590)&gt;1,"ERRO: chave duplicada","OK")))</f>
        <v/>
      </c>
    </row>
    <row r="591" ht="15" customHeight="1" s="131">
      <c r="A591" s="320" t="n"/>
      <c r="B591" s="323" t="n"/>
      <c r="C591" s="320" t="n"/>
      <c r="D591" s="326" t="n"/>
      <c r="E591" s="324" t="n"/>
      <c r="F591" s="320" t="n"/>
      <c r="G591" s="327" t="n"/>
      <c r="H591" s="271" t="n"/>
      <c r="I591" s="275">
        <f>IF(COUNTA(A591:F591)=0,"",IF(OR(E591&lt;0,F591&lt;0,F591&gt;10),"ERRO: valores inválidos",IF(COUNTIFS($A$5:$A$1200,A591,$B$5:$B$1200,B591,$C$5:$C$1200,C591,$D$5:$D$1200,D591)&gt;1,"ERRO: chave duplicada","OK")))</f>
        <v/>
      </c>
    </row>
    <row r="592" ht="15" customHeight="1" s="131">
      <c r="A592" s="320" t="n"/>
      <c r="B592" s="323" t="n"/>
      <c r="C592" s="320" t="n"/>
      <c r="D592" s="326" t="n"/>
      <c r="E592" s="324" t="n"/>
      <c r="F592" s="320" t="n"/>
      <c r="G592" s="327" t="n"/>
      <c r="H592" s="271" t="n"/>
      <c r="I592" s="275">
        <f>IF(COUNTA(A592:F592)=0,"",IF(OR(E592&lt;0,F592&lt;0,F592&gt;10),"ERRO: valores inválidos",IF(COUNTIFS($A$5:$A$1200,A592,$B$5:$B$1200,B592,$C$5:$C$1200,C592,$D$5:$D$1200,D592)&gt;1,"ERRO: chave duplicada","OK")))</f>
        <v/>
      </c>
    </row>
    <row r="593" ht="15" customHeight="1" s="131">
      <c r="A593" s="320" t="n"/>
      <c r="B593" s="323" t="n"/>
      <c r="C593" s="320" t="n"/>
      <c r="D593" s="326" t="n"/>
      <c r="E593" s="324" t="n"/>
      <c r="F593" s="320" t="n"/>
      <c r="G593" s="327" t="n"/>
      <c r="H593" s="271" t="n"/>
      <c r="I593" s="275">
        <f>IF(COUNTA(A593:F593)=0,"",IF(OR(E593&lt;0,F593&lt;0,F593&gt;10),"ERRO: valores inválidos",IF(COUNTIFS($A$5:$A$1200,A593,$B$5:$B$1200,B593,$C$5:$C$1200,C593,$D$5:$D$1200,D593)&gt;1,"ERRO: chave duplicada","OK")))</f>
        <v/>
      </c>
    </row>
    <row r="594" ht="15" customHeight="1" s="131">
      <c r="A594" s="320" t="n"/>
      <c r="B594" s="323" t="n"/>
      <c r="C594" s="320" t="n"/>
      <c r="D594" s="326" t="n"/>
      <c r="E594" s="324" t="n"/>
      <c r="F594" s="320" t="n"/>
      <c r="G594" s="327" t="n"/>
      <c r="H594" s="271" t="n"/>
      <c r="I594" s="275">
        <f>IF(COUNTA(A594:F594)=0,"",IF(OR(E594&lt;0,F594&lt;0,F594&gt;10),"ERRO: valores inválidos",IF(COUNTIFS($A$5:$A$1200,A594,$B$5:$B$1200,B594,$C$5:$C$1200,C594,$D$5:$D$1200,D594)&gt;1,"ERRO: chave duplicada","OK")))</f>
        <v/>
      </c>
    </row>
    <row r="595" ht="15" customHeight="1" s="131">
      <c r="A595" s="320" t="n"/>
      <c r="B595" s="323" t="n"/>
      <c r="C595" s="320" t="n"/>
      <c r="D595" s="326" t="n"/>
      <c r="E595" s="324" t="n"/>
      <c r="F595" s="320" t="n"/>
      <c r="G595" s="327" t="n"/>
      <c r="H595" s="271" t="n"/>
      <c r="I595" s="275">
        <f>IF(COUNTA(A595:F595)=0,"",IF(OR(E595&lt;0,F595&lt;0,F595&gt;10),"ERRO: valores inválidos",IF(COUNTIFS($A$5:$A$1200,A595,$B$5:$B$1200,B595,$C$5:$C$1200,C595,$D$5:$D$1200,D595)&gt;1,"ERRO: chave duplicada","OK")))</f>
        <v/>
      </c>
    </row>
    <row r="596" ht="15" customHeight="1" s="131">
      <c r="A596" s="320" t="n"/>
      <c r="B596" s="323" t="n"/>
      <c r="C596" s="320" t="n"/>
      <c r="D596" s="326" t="n"/>
      <c r="E596" s="324" t="n"/>
      <c r="F596" s="320" t="n"/>
      <c r="G596" s="327" t="n"/>
      <c r="H596" s="271" t="n"/>
      <c r="I596" s="275">
        <f>IF(COUNTA(A596:F596)=0,"",IF(OR(E596&lt;0,F596&lt;0,F596&gt;10),"ERRO: valores inválidos",IF(COUNTIFS($A$5:$A$1200,A596,$B$5:$B$1200,B596,$C$5:$C$1200,C596,$D$5:$D$1200,D596)&gt;1,"ERRO: chave duplicada","OK")))</f>
        <v/>
      </c>
    </row>
    <row r="597" ht="15" customHeight="1" s="131">
      <c r="A597" s="320" t="n"/>
      <c r="B597" s="323" t="n"/>
      <c r="C597" s="320" t="n"/>
      <c r="D597" s="326" t="n"/>
      <c r="E597" s="324" t="n"/>
      <c r="F597" s="320" t="n"/>
      <c r="G597" s="327" t="n"/>
      <c r="H597" s="271" t="n"/>
      <c r="I597" s="275">
        <f>IF(COUNTA(A597:F597)=0,"",IF(OR(E597&lt;0,F597&lt;0,F597&gt;10),"ERRO: valores inválidos",IF(COUNTIFS($A$5:$A$1200,A597,$B$5:$B$1200,B597,$C$5:$C$1200,C597,$D$5:$D$1200,D597)&gt;1,"ERRO: chave duplicada","OK")))</f>
        <v/>
      </c>
    </row>
    <row r="598" ht="15" customHeight="1" s="131">
      <c r="A598" s="320" t="n"/>
      <c r="B598" s="323" t="n"/>
      <c r="C598" s="320" t="n"/>
      <c r="D598" s="326" t="n"/>
      <c r="E598" s="324" t="n"/>
      <c r="F598" s="320" t="n"/>
      <c r="G598" s="327" t="n"/>
      <c r="H598" s="271" t="n"/>
      <c r="I598" s="275">
        <f>IF(COUNTA(A598:F598)=0,"",IF(OR(E598&lt;0,F598&lt;0,F598&gt;10),"ERRO: valores inválidos",IF(COUNTIFS($A$5:$A$1200,A598,$B$5:$B$1200,B598,$C$5:$C$1200,C598,$D$5:$D$1200,D598)&gt;1,"ERRO: chave duplicada","OK")))</f>
        <v/>
      </c>
    </row>
    <row r="599" ht="15" customHeight="1" s="131">
      <c r="A599" s="320" t="n"/>
      <c r="B599" s="323" t="n"/>
      <c r="C599" s="320" t="n"/>
      <c r="D599" s="326" t="n"/>
      <c r="E599" s="324" t="n"/>
      <c r="F599" s="320" t="n"/>
      <c r="G599" s="327" t="n"/>
      <c r="H599" s="271" t="n"/>
      <c r="I599" s="275">
        <f>IF(COUNTA(A599:F599)=0,"",IF(OR(E599&lt;0,F599&lt;0,F599&gt;10),"ERRO: valores inválidos",IF(COUNTIFS($A$5:$A$1200,A599,$B$5:$B$1200,B599,$C$5:$C$1200,C599,$D$5:$D$1200,D599)&gt;1,"ERRO: chave duplicada","OK")))</f>
        <v/>
      </c>
    </row>
    <row r="600" ht="15" customHeight="1" s="131">
      <c r="A600" s="320" t="n"/>
      <c r="B600" s="323" t="n"/>
      <c r="C600" s="320" t="n"/>
      <c r="D600" s="326" t="n"/>
      <c r="E600" s="324" t="n"/>
      <c r="F600" s="320" t="n"/>
      <c r="G600" s="327" t="n"/>
      <c r="H600" s="271" t="n"/>
      <c r="I600" s="275">
        <f>IF(COUNTA(A600:F600)=0,"",IF(OR(E600&lt;0,F600&lt;0,F600&gt;10),"ERRO: valores inválidos",IF(COUNTIFS($A$5:$A$1200,A600,$B$5:$B$1200,B600,$C$5:$C$1200,C600,$D$5:$D$1200,D600)&gt;1,"ERRO: chave duplicada","OK")))</f>
        <v/>
      </c>
    </row>
    <row r="601" ht="15" customHeight="1" s="131">
      <c r="A601" s="320" t="n"/>
      <c r="B601" s="323" t="n"/>
      <c r="C601" s="320" t="n"/>
      <c r="D601" s="326" t="n"/>
      <c r="E601" s="324" t="n"/>
      <c r="F601" s="320" t="n"/>
      <c r="G601" s="327" t="n"/>
      <c r="H601" s="271" t="n"/>
      <c r="I601" s="275">
        <f>IF(COUNTA(A601:F601)=0,"",IF(OR(E601&lt;0,F601&lt;0,F601&gt;10),"ERRO: valores inválidos",IF(COUNTIFS($A$5:$A$1200,A601,$B$5:$B$1200,B601,$C$5:$C$1200,C601,$D$5:$D$1200,D601)&gt;1,"ERRO: chave duplicada","OK")))</f>
        <v/>
      </c>
    </row>
    <row r="602" ht="15" customHeight="1" s="131">
      <c r="A602" s="320" t="n"/>
      <c r="B602" s="323" t="n"/>
      <c r="C602" s="320" t="n"/>
      <c r="D602" s="326" t="n"/>
      <c r="E602" s="324" t="n"/>
      <c r="F602" s="320" t="n"/>
      <c r="G602" s="327" t="n"/>
      <c r="H602" s="271" t="n"/>
      <c r="I602" s="275">
        <f>IF(COUNTA(A602:F602)=0,"",IF(OR(E602&lt;0,F602&lt;0,F602&gt;10),"ERRO: valores inválidos",IF(COUNTIFS($A$5:$A$1200,A602,$B$5:$B$1200,B602,$C$5:$C$1200,C602,$D$5:$D$1200,D602)&gt;1,"ERRO: chave duplicada","OK")))</f>
        <v/>
      </c>
    </row>
    <row r="603" ht="15" customHeight="1" s="131">
      <c r="A603" s="320" t="n"/>
      <c r="B603" s="323" t="n"/>
      <c r="C603" s="320" t="n"/>
      <c r="D603" s="326" t="n"/>
      <c r="E603" s="324" t="n"/>
      <c r="F603" s="320" t="n"/>
      <c r="G603" s="327" t="n"/>
      <c r="H603" s="271" t="n"/>
      <c r="I603" s="275">
        <f>IF(COUNTA(A603:F603)=0,"",IF(OR(E603&lt;0,F603&lt;0,F603&gt;10),"ERRO: valores inválidos",IF(COUNTIFS($A$5:$A$1200,A603,$B$5:$B$1200,B603,$C$5:$C$1200,C603,$D$5:$D$1200,D603)&gt;1,"ERRO: chave duplicada","OK")))</f>
        <v/>
      </c>
    </row>
    <row r="604" ht="15" customHeight="1" s="131">
      <c r="A604" s="320" t="n"/>
      <c r="B604" s="323" t="n"/>
      <c r="C604" s="320" t="n"/>
      <c r="D604" s="326" t="n"/>
      <c r="E604" s="324" t="n"/>
      <c r="F604" s="320" t="n"/>
      <c r="G604" s="327" t="n"/>
      <c r="H604" s="271" t="n"/>
      <c r="I604" s="275">
        <f>IF(COUNTA(A604:F604)=0,"",IF(OR(E604&lt;0,F604&lt;0,F604&gt;10),"ERRO: valores inválidos",IF(COUNTIFS($A$5:$A$1200,A604,$B$5:$B$1200,B604,$C$5:$C$1200,C604,$D$5:$D$1200,D604)&gt;1,"ERRO: chave duplicada","OK")))</f>
        <v/>
      </c>
    </row>
    <row r="605" ht="15" customHeight="1" s="131">
      <c r="A605" s="320" t="n"/>
      <c r="B605" s="323" t="n"/>
      <c r="C605" s="320" t="n"/>
      <c r="D605" s="326" t="n"/>
      <c r="E605" s="324" t="n"/>
      <c r="F605" s="320" t="n"/>
      <c r="G605" s="327" t="n"/>
      <c r="H605" s="271" t="n"/>
      <c r="I605" s="275">
        <f>IF(COUNTA(A605:F605)=0,"",IF(OR(E605&lt;0,F605&lt;0,F605&gt;10),"ERRO: valores inválidos",IF(COUNTIFS($A$5:$A$1200,A605,$B$5:$B$1200,B605,$C$5:$C$1200,C605,$D$5:$D$1200,D605)&gt;1,"ERRO: chave duplicada","OK")))</f>
        <v/>
      </c>
    </row>
    <row r="606" ht="15" customHeight="1" s="131">
      <c r="A606" s="320" t="n"/>
      <c r="B606" s="323" t="n"/>
      <c r="C606" s="320" t="n"/>
      <c r="D606" s="326" t="n"/>
      <c r="E606" s="324" t="n"/>
      <c r="F606" s="320" t="n"/>
      <c r="G606" s="327" t="n"/>
      <c r="H606" s="271" t="n"/>
      <c r="I606" s="275">
        <f>IF(COUNTA(A606:F606)=0,"",IF(OR(E606&lt;0,F606&lt;0,F606&gt;10),"ERRO: valores inválidos",IF(COUNTIFS($A$5:$A$1200,A606,$B$5:$B$1200,B606,$C$5:$C$1200,C606,$D$5:$D$1200,D606)&gt;1,"ERRO: chave duplicada","OK")))</f>
        <v/>
      </c>
    </row>
    <row r="607" ht="15" customHeight="1" s="131">
      <c r="A607" s="320" t="n"/>
      <c r="B607" s="323" t="n"/>
      <c r="C607" s="320" t="n"/>
      <c r="D607" s="326" t="n"/>
      <c r="E607" s="324" t="n"/>
      <c r="F607" s="320" t="n"/>
      <c r="G607" s="327" t="n"/>
      <c r="H607" s="271" t="n"/>
      <c r="I607" s="275">
        <f>IF(COUNTA(A607:F607)=0,"",IF(OR(E607&lt;0,F607&lt;0,F607&gt;10),"ERRO: valores inválidos",IF(COUNTIFS($A$5:$A$1200,A607,$B$5:$B$1200,B607,$C$5:$C$1200,C607,$D$5:$D$1200,D607)&gt;1,"ERRO: chave duplicada","OK")))</f>
        <v/>
      </c>
    </row>
    <row r="608" ht="15" customHeight="1" s="131">
      <c r="A608" s="320" t="n"/>
      <c r="B608" s="323" t="n"/>
      <c r="C608" s="320" t="n"/>
      <c r="D608" s="326" t="n"/>
      <c r="E608" s="324" t="n"/>
      <c r="F608" s="320" t="n"/>
      <c r="G608" s="327" t="n"/>
      <c r="H608" s="271" t="n"/>
      <c r="I608" s="275">
        <f>IF(COUNTA(A608:F608)=0,"",IF(OR(E608&lt;0,F608&lt;0,F608&gt;10),"ERRO: valores inválidos",IF(COUNTIFS($A$5:$A$1200,A608,$B$5:$B$1200,B608,$C$5:$C$1200,C608,$D$5:$D$1200,D608)&gt;1,"ERRO: chave duplicada","OK")))</f>
        <v/>
      </c>
    </row>
    <row r="609" ht="15" customHeight="1" s="131">
      <c r="A609" s="320" t="n"/>
      <c r="B609" s="323" t="n"/>
      <c r="C609" s="320" t="n"/>
      <c r="D609" s="326" t="n"/>
      <c r="E609" s="324" t="n"/>
      <c r="F609" s="320" t="n"/>
      <c r="G609" s="327" t="n"/>
      <c r="H609" s="271" t="n"/>
      <c r="I609" s="275">
        <f>IF(COUNTA(A609:F609)=0,"",IF(OR(E609&lt;0,F609&lt;0,F609&gt;10),"ERRO: valores inválidos",IF(COUNTIFS($A$5:$A$1200,A609,$B$5:$B$1200,B609,$C$5:$C$1200,C609,$D$5:$D$1200,D609)&gt;1,"ERRO: chave duplicada","OK")))</f>
        <v/>
      </c>
    </row>
    <row r="610" ht="15" customHeight="1" s="131">
      <c r="A610" s="320" t="n"/>
      <c r="B610" s="323" t="n"/>
      <c r="C610" s="320" t="n"/>
      <c r="D610" s="326" t="n"/>
      <c r="E610" s="324" t="n"/>
      <c r="F610" s="320" t="n"/>
      <c r="G610" s="327" t="n"/>
      <c r="H610" s="271" t="n"/>
      <c r="I610" s="275">
        <f>IF(COUNTA(A610:F610)=0,"",IF(OR(E610&lt;0,F610&lt;0,F610&gt;10),"ERRO: valores inválidos",IF(COUNTIFS($A$5:$A$1200,A610,$B$5:$B$1200,B610,$C$5:$C$1200,C610,$D$5:$D$1200,D610)&gt;1,"ERRO: chave duplicada","OK")))</f>
        <v/>
      </c>
    </row>
    <row r="611" ht="15" customHeight="1" s="131">
      <c r="A611" s="320" t="n"/>
      <c r="B611" s="323" t="n"/>
      <c r="C611" s="320" t="n"/>
      <c r="D611" s="326" t="n"/>
      <c r="E611" s="324" t="n"/>
      <c r="F611" s="320" t="n"/>
      <c r="G611" s="327" t="n"/>
      <c r="H611" s="271" t="n"/>
      <c r="I611" s="275">
        <f>IF(COUNTA(A611:F611)=0,"",IF(OR(E611&lt;0,F611&lt;0,F611&gt;10),"ERRO: valores inválidos",IF(COUNTIFS($A$5:$A$1200,A611,$B$5:$B$1200,B611,$C$5:$C$1200,C611,$D$5:$D$1200,D611)&gt;1,"ERRO: chave duplicada","OK")))</f>
        <v/>
      </c>
    </row>
    <row r="612" ht="15" customHeight="1" s="131">
      <c r="A612" s="320" t="n"/>
      <c r="B612" s="323" t="n"/>
      <c r="C612" s="320" t="n"/>
      <c r="D612" s="326" t="n"/>
      <c r="E612" s="324" t="n"/>
      <c r="F612" s="320" t="n"/>
      <c r="G612" s="327" t="n"/>
      <c r="H612" s="271" t="n"/>
      <c r="I612" s="275">
        <f>IF(COUNTA(A612:F612)=0,"",IF(OR(E612&lt;0,F612&lt;0,F612&gt;10),"ERRO: valores inválidos",IF(COUNTIFS($A$5:$A$1200,A612,$B$5:$B$1200,B612,$C$5:$C$1200,C612,$D$5:$D$1200,D612)&gt;1,"ERRO: chave duplicada","OK")))</f>
        <v/>
      </c>
    </row>
    <row r="613" ht="15" customHeight="1" s="131">
      <c r="A613" s="320" t="n"/>
      <c r="B613" s="323" t="n"/>
      <c r="C613" s="320" t="n"/>
      <c r="D613" s="326" t="n"/>
      <c r="E613" s="324" t="n"/>
      <c r="F613" s="320" t="n"/>
      <c r="G613" s="327" t="n"/>
      <c r="H613" s="271" t="n"/>
      <c r="I613" s="275">
        <f>IF(COUNTA(A613:F613)=0,"",IF(OR(E613&lt;0,F613&lt;0,F613&gt;10),"ERRO: valores inválidos",IF(COUNTIFS($A$5:$A$1200,A613,$B$5:$B$1200,B613,$C$5:$C$1200,C613,$D$5:$D$1200,D613)&gt;1,"ERRO: chave duplicada","OK")))</f>
        <v/>
      </c>
    </row>
    <row r="614" ht="15" customHeight="1" s="131">
      <c r="A614" s="320" t="n"/>
      <c r="B614" s="323" t="n"/>
      <c r="C614" s="320" t="n"/>
      <c r="D614" s="326" t="n"/>
      <c r="E614" s="324" t="n"/>
      <c r="F614" s="320" t="n"/>
      <c r="G614" s="327" t="n"/>
      <c r="H614" s="271" t="n"/>
      <c r="I614" s="275">
        <f>IF(COUNTA(A614:F614)=0,"",IF(OR(E614&lt;0,F614&lt;0,F614&gt;10),"ERRO: valores inválidos",IF(COUNTIFS($A$5:$A$1200,A614,$B$5:$B$1200,B614,$C$5:$C$1200,C614,$D$5:$D$1200,D614)&gt;1,"ERRO: chave duplicada","OK")))</f>
        <v/>
      </c>
    </row>
    <row r="615" ht="15" customHeight="1" s="131">
      <c r="A615" s="320" t="n"/>
      <c r="B615" s="323" t="n"/>
      <c r="C615" s="320" t="n"/>
      <c r="D615" s="326" t="n"/>
      <c r="E615" s="324" t="n"/>
      <c r="F615" s="320" t="n"/>
      <c r="G615" s="327" t="n"/>
      <c r="H615" s="271" t="n"/>
      <c r="I615" s="275">
        <f>IF(COUNTA(A615:F615)=0,"",IF(OR(E615&lt;0,F615&lt;0,F615&gt;10),"ERRO: valores inválidos",IF(COUNTIFS($A$5:$A$1200,A615,$B$5:$B$1200,B615,$C$5:$C$1200,C615,$D$5:$D$1200,D615)&gt;1,"ERRO: chave duplicada","OK")))</f>
        <v/>
      </c>
    </row>
    <row r="616" ht="15" customHeight="1" s="131">
      <c r="A616" s="320" t="n"/>
      <c r="B616" s="323" t="n"/>
      <c r="C616" s="320" t="n"/>
      <c r="D616" s="326" t="n"/>
      <c r="E616" s="324" t="n"/>
      <c r="F616" s="320" t="n"/>
      <c r="G616" s="327" t="n"/>
      <c r="H616" s="271" t="n"/>
      <c r="I616" s="275">
        <f>IF(COUNTA(A616:F616)=0,"",IF(OR(E616&lt;0,F616&lt;0,F616&gt;10),"ERRO: valores inválidos",IF(COUNTIFS($A$5:$A$1200,A616,$B$5:$B$1200,B616,$C$5:$C$1200,C616,$D$5:$D$1200,D616)&gt;1,"ERRO: chave duplicada","OK")))</f>
        <v/>
      </c>
    </row>
    <row r="617" ht="15" customHeight="1" s="131">
      <c r="A617" s="320" t="n"/>
      <c r="B617" s="323" t="n"/>
      <c r="C617" s="320" t="n"/>
      <c r="D617" s="326" t="n"/>
      <c r="E617" s="324" t="n"/>
      <c r="F617" s="320" t="n"/>
      <c r="G617" s="327" t="n"/>
      <c r="H617" s="271" t="n"/>
      <c r="I617" s="275">
        <f>IF(COUNTA(A617:F617)=0,"",IF(OR(E617&lt;0,F617&lt;0,F617&gt;10),"ERRO: valores inválidos",IF(COUNTIFS($A$5:$A$1200,A617,$B$5:$B$1200,B617,$C$5:$C$1200,C617,$D$5:$D$1200,D617)&gt;1,"ERRO: chave duplicada","OK")))</f>
        <v/>
      </c>
    </row>
    <row r="618" ht="15" customHeight="1" s="131">
      <c r="A618" s="320" t="n"/>
      <c r="B618" s="323" t="n"/>
      <c r="C618" s="320" t="n"/>
      <c r="D618" s="326" t="n"/>
      <c r="E618" s="324" t="n"/>
      <c r="F618" s="320" t="n"/>
      <c r="G618" s="327" t="n"/>
      <c r="H618" s="271" t="n"/>
      <c r="I618" s="275">
        <f>IF(COUNTA(A618:F618)=0,"",IF(OR(E618&lt;0,F618&lt;0,F618&gt;10),"ERRO: valores inválidos",IF(COUNTIFS($A$5:$A$1200,A618,$B$5:$B$1200,B618,$C$5:$C$1200,C618,$D$5:$D$1200,D618)&gt;1,"ERRO: chave duplicada","OK")))</f>
        <v/>
      </c>
    </row>
    <row r="619" ht="15" customHeight="1" s="131">
      <c r="A619" s="320" t="n"/>
      <c r="B619" s="323" t="n"/>
      <c r="C619" s="320" t="n"/>
      <c r="D619" s="326" t="n"/>
      <c r="E619" s="324" t="n"/>
      <c r="F619" s="320" t="n"/>
      <c r="G619" s="327" t="n"/>
      <c r="H619" s="271" t="n"/>
      <c r="I619" s="275">
        <f>IF(COUNTA(A619:F619)=0,"",IF(OR(E619&lt;0,F619&lt;0,F619&gt;10),"ERRO: valores inválidos",IF(COUNTIFS($A$5:$A$1200,A619,$B$5:$B$1200,B619,$C$5:$C$1200,C619,$D$5:$D$1200,D619)&gt;1,"ERRO: chave duplicada","OK")))</f>
        <v/>
      </c>
    </row>
    <row r="620" ht="15" customHeight="1" s="131">
      <c r="A620" s="320" t="n"/>
      <c r="B620" s="323" t="n"/>
      <c r="C620" s="320" t="n"/>
      <c r="D620" s="326" t="n"/>
      <c r="E620" s="324" t="n"/>
      <c r="F620" s="320" t="n"/>
      <c r="G620" s="327" t="n"/>
      <c r="H620" s="271" t="n"/>
      <c r="I620" s="275">
        <f>IF(COUNTA(A620:F620)=0,"",IF(OR(E620&lt;0,F620&lt;0,F620&gt;10),"ERRO: valores inválidos",IF(COUNTIFS($A$5:$A$1200,A620,$B$5:$B$1200,B620,$C$5:$C$1200,C620,$D$5:$D$1200,D620)&gt;1,"ERRO: chave duplicada","OK")))</f>
        <v/>
      </c>
    </row>
    <row r="621" ht="15" customHeight="1" s="131">
      <c r="A621" s="320" t="n"/>
      <c r="B621" s="323" t="n"/>
      <c r="C621" s="320" t="n"/>
      <c r="D621" s="326" t="n"/>
      <c r="E621" s="324" t="n"/>
      <c r="F621" s="320" t="n"/>
      <c r="G621" s="327" t="n"/>
      <c r="H621" s="271" t="n"/>
      <c r="I621" s="275">
        <f>IF(COUNTA(A621:F621)=0,"",IF(OR(E621&lt;0,F621&lt;0,F621&gt;10),"ERRO: valores inválidos",IF(COUNTIFS($A$5:$A$1200,A621,$B$5:$B$1200,B621,$C$5:$C$1200,C621,$D$5:$D$1200,D621)&gt;1,"ERRO: chave duplicada","OK")))</f>
        <v/>
      </c>
    </row>
    <row r="622" ht="15" customHeight="1" s="131">
      <c r="A622" s="320" t="n"/>
      <c r="B622" s="323" t="n"/>
      <c r="C622" s="320" t="n"/>
      <c r="D622" s="326" t="n"/>
      <c r="E622" s="324" t="n"/>
      <c r="F622" s="320" t="n"/>
      <c r="G622" s="327" t="n"/>
      <c r="H622" s="271" t="n"/>
      <c r="I622" s="275">
        <f>IF(COUNTA(A622:F622)=0,"",IF(OR(E622&lt;0,F622&lt;0,F622&gt;10),"ERRO: valores inválidos",IF(COUNTIFS($A$5:$A$1200,A622,$B$5:$B$1200,B622,$C$5:$C$1200,C622,$D$5:$D$1200,D622)&gt;1,"ERRO: chave duplicada","OK")))</f>
        <v/>
      </c>
    </row>
    <row r="623" ht="15" customHeight="1" s="131">
      <c r="A623" s="320" t="n"/>
      <c r="B623" s="323" t="n"/>
      <c r="C623" s="320" t="n"/>
      <c r="D623" s="326" t="n"/>
      <c r="E623" s="324" t="n"/>
      <c r="F623" s="320" t="n"/>
      <c r="G623" s="327" t="n"/>
      <c r="H623" s="271" t="n"/>
      <c r="I623" s="275">
        <f>IF(COUNTA(A623:F623)=0,"",IF(OR(E623&lt;0,F623&lt;0,F623&gt;10),"ERRO: valores inválidos",IF(COUNTIFS($A$5:$A$1200,A623,$B$5:$B$1200,B623,$C$5:$C$1200,C623,$D$5:$D$1200,D623)&gt;1,"ERRO: chave duplicada","OK")))</f>
        <v/>
      </c>
    </row>
    <row r="624" ht="15" customHeight="1" s="131">
      <c r="A624" s="320" t="n"/>
      <c r="B624" s="323" t="n"/>
      <c r="C624" s="320" t="n"/>
      <c r="D624" s="326" t="n"/>
      <c r="E624" s="324" t="n"/>
      <c r="F624" s="320" t="n"/>
      <c r="G624" s="327" t="n"/>
      <c r="H624" s="271" t="n"/>
      <c r="I624" s="275">
        <f>IF(COUNTA(A624:F624)=0,"",IF(OR(E624&lt;0,F624&lt;0,F624&gt;10),"ERRO: valores inválidos",IF(COUNTIFS($A$5:$A$1200,A624,$B$5:$B$1200,B624,$C$5:$C$1200,C624,$D$5:$D$1200,D624)&gt;1,"ERRO: chave duplicada","OK")))</f>
        <v/>
      </c>
    </row>
    <row r="625" ht="15" customHeight="1" s="131">
      <c r="A625" s="320" t="n"/>
      <c r="B625" s="323" t="n"/>
      <c r="C625" s="320" t="n"/>
      <c r="D625" s="326" t="n"/>
      <c r="E625" s="324" t="n"/>
      <c r="F625" s="320" t="n"/>
      <c r="G625" s="327" t="n"/>
      <c r="H625" s="271" t="n"/>
      <c r="I625" s="275">
        <f>IF(COUNTA(A625:F625)=0,"",IF(OR(E625&lt;0,F625&lt;0,F625&gt;10),"ERRO: valores inválidos",IF(COUNTIFS($A$5:$A$1200,A625,$B$5:$B$1200,B625,$C$5:$C$1200,C625,$D$5:$D$1200,D625)&gt;1,"ERRO: chave duplicada","OK")))</f>
        <v/>
      </c>
    </row>
    <row r="626" ht="15" customHeight="1" s="131">
      <c r="A626" s="320" t="n"/>
      <c r="B626" s="323" t="n"/>
      <c r="C626" s="320" t="n"/>
      <c r="D626" s="326" t="n"/>
      <c r="E626" s="324" t="n"/>
      <c r="F626" s="320" t="n"/>
      <c r="G626" s="327" t="n"/>
      <c r="H626" s="271" t="n"/>
      <c r="I626" s="275">
        <f>IF(COUNTA(A626:F626)=0,"",IF(OR(E626&lt;0,F626&lt;0,F626&gt;10),"ERRO: valores inválidos",IF(COUNTIFS($A$5:$A$1200,A626,$B$5:$B$1200,B626,$C$5:$C$1200,C626,$D$5:$D$1200,D626)&gt;1,"ERRO: chave duplicada","OK")))</f>
        <v/>
      </c>
    </row>
    <row r="627" ht="15" customHeight="1" s="131">
      <c r="A627" s="320" t="n"/>
      <c r="B627" s="323" t="n"/>
      <c r="C627" s="320" t="n"/>
      <c r="D627" s="326" t="n"/>
      <c r="E627" s="324" t="n"/>
      <c r="F627" s="320" t="n"/>
      <c r="G627" s="327" t="n"/>
      <c r="H627" s="271" t="n"/>
      <c r="I627" s="275">
        <f>IF(COUNTA(A627:F627)=0,"",IF(OR(E627&lt;0,F627&lt;0,F627&gt;10),"ERRO: valores inválidos",IF(COUNTIFS($A$5:$A$1200,A627,$B$5:$B$1200,B627,$C$5:$C$1200,C627,$D$5:$D$1200,D627)&gt;1,"ERRO: chave duplicada","OK")))</f>
        <v/>
      </c>
    </row>
    <row r="628" ht="15" customHeight="1" s="131">
      <c r="A628" s="320" t="n"/>
      <c r="B628" s="323" t="n"/>
      <c r="C628" s="320" t="n"/>
      <c r="D628" s="326" t="n"/>
      <c r="E628" s="324" t="n"/>
      <c r="F628" s="320" t="n"/>
      <c r="G628" s="327" t="n"/>
      <c r="H628" s="271" t="n"/>
      <c r="I628" s="275">
        <f>IF(COUNTA(A628:F628)=0,"",IF(OR(E628&lt;0,F628&lt;0,F628&gt;10),"ERRO: valores inválidos",IF(COUNTIFS($A$5:$A$1200,A628,$B$5:$B$1200,B628,$C$5:$C$1200,C628,$D$5:$D$1200,D628)&gt;1,"ERRO: chave duplicada","OK")))</f>
        <v/>
      </c>
    </row>
    <row r="629" ht="15" customHeight="1" s="131">
      <c r="A629" s="320" t="n"/>
      <c r="B629" s="323" t="n"/>
      <c r="C629" s="320" t="n"/>
      <c r="D629" s="326" t="n"/>
      <c r="E629" s="324" t="n"/>
      <c r="F629" s="320" t="n"/>
      <c r="G629" s="327" t="n"/>
      <c r="H629" s="271" t="n"/>
      <c r="I629" s="275">
        <f>IF(COUNTA(A629:F629)=0,"",IF(OR(E629&lt;0,F629&lt;0,F629&gt;10),"ERRO: valores inválidos",IF(COUNTIFS($A$5:$A$1200,A629,$B$5:$B$1200,B629,$C$5:$C$1200,C629,$D$5:$D$1200,D629)&gt;1,"ERRO: chave duplicada","OK")))</f>
        <v/>
      </c>
    </row>
    <row r="630" ht="15" customHeight="1" s="131">
      <c r="A630" s="320" t="n"/>
      <c r="B630" s="323" t="n"/>
      <c r="C630" s="320" t="n"/>
      <c r="D630" s="326" t="n"/>
      <c r="E630" s="324" t="n"/>
      <c r="F630" s="320" t="n"/>
      <c r="G630" s="327" t="n"/>
      <c r="H630" s="271" t="n"/>
      <c r="I630" s="275">
        <f>IF(COUNTA(A630:F630)=0,"",IF(OR(E630&lt;0,F630&lt;0,F630&gt;10),"ERRO: valores inválidos",IF(COUNTIFS($A$5:$A$1200,A630,$B$5:$B$1200,B630,$C$5:$C$1200,C630,$D$5:$D$1200,D630)&gt;1,"ERRO: chave duplicada","OK")))</f>
        <v/>
      </c>
    </row>
    <row r="631" ht="15" customHeight="1" s="131">
      <c r="A631" s="320" t="n"/>
      <c r="B631" s="323" t="n"/>
      <c r="C631" s="320" t="n"/>
      <c r="D631" s="326" t="n"/>
      <c r="E631" s="324" t="n"/>
      <c r="F631" s="320" t="n"/>
      <c r="G631" s="327" t="n"/>
      <c r="H631" s="271" t="n"/>
      <c r="I631" s="275">
        <f>IF(COUNTA(A631:F631)=0,"",IF(OR(E631&lt;0,F631&lt;0,F631&gt;10),"ERRO: valores inválidos",IF(COUNTIFS($A$5:$A$1200,A631,$B$5:$B$1200,B631,$C$5:$C$1200,C631,$D$5:$D$1200,D631)&gt;1,"ERRO: chave duplicada","OK")))</f>
        <v/>
      </c>
    </row>
    <row r="632" ht="15" customHeight="1" s="131">
      <c r="A632" s="320" t="n"/>
      <c r="B632" s="323" t="n"/>
      <c r="C632" s="320" t="n"/>
      <c r="D632" s="326" t="n"/>
      <c r="E632" s="324" t="n"/>
      <c r="F632" s="320" t="n"/>
      <c r="G632" s="327" t="n"/>
      <c r="H632" s="271" t="n"/>
      <c r="I632" s="275">
        <f>IF(COUNTA(A632:F632)=0,"",IF(OR(E632&lt;0,F632&lt;0,F632&gt;10),"ERRO: valores inválidos",IF(COUNTIFS($A$5:$A$1200,A632,$B$5:$B$1200,B632,$C$5:$C$1200,C632,$D$5:$D$1200,D632)&gt;1,"ERRO: chave duplicada","OK")))</f>
        <v/>
      </c>
    </row>
    <row r="633" ht="15" customHeight="1" s="131">
      <c r="A633" s="320" t="n"/>
      <c r="B633" s="323" t="n"/>
      <c r="C633" s="320" t="n"/>
      <c r="D633" s="326" t="n"/>
      <c r="E633" s="324" t="n"/>
      <c r="F633" s="320" t="n"/>
      <c r="G633" s="327" t="n"/>
      <c r="H633" s="271" t="n"/>
      <c r="I633" s="275">
        <f>IF(COUNTA(A633:F633)=0,"",IF(OR(E633&lt;0,F633&lt;0,F633&gt;10),"ERRO: valores inválidos",IF(COUNTIFS($A$5:$A$1200,A633,$B$5:$B$1200,B633,$C$5:$C$1200,C633,$D$5:$D$1200,D633)&gt;1,"ERRO: chave duplicada","OK")))</f>
        <v/>
      </c>
    </row>
    <row r="634" ht="15" customHeight="1" s="131">
      <c r="A634" s="320" t="n"/>
      <c r="B634" s="323" t="n"/>
      <c r="C634" s="320" t="n"/>
      <c r="D634" s="326" t="n"/>
      <c r="E634" s="324" t="n"/>
      <c r="F634" s="320" t="n"/>
      <c r="G634" s="327" t="n"/>
      <c r="H634" s="271" t="n"/>
      <c r="I634" s="275">
        <f>IF(COUNTA(A634:F634)=0,"",IF(OR(E634&lt;0,F634&lt;0,F634&gt;10),"ERRO: valores inválidos",IF(COUNTIFS($A$5:$A$1200,A634,$B$5:$B$1200,B634,$C$5:$C$1200,C634,$D$5:$D$1200,D634)&gt;1,"ERRO: chave duplicada","OK")))</f>
        <v/>
      </c>
    </row>
    <row r="635" ht="15" customHeight="1" s="131">
      <c r="A635" s="320" t="n"/>
      <c r="B635" s="323" t="n"/>
      <c r="C635" s="320" t="n"/>
      <c r="D635" s="326" t="n"/>
      <c r="E635" s="324" t="n"/>
      <c r="F635" s="320" t="n"/>
      <c r="G635" s="327" t="n"/>
      <c r="H635" s="271" t="n"/>
      <c r="I635" s="275">
        <f>IF(COUNTA(A635:F635)=0,"",IF(OR(E635&lt;0,F635&lt;0,F635&gt;10),"ERRO: valores inválidos",IF(COUNTIFS($A$5:$A$1200,A635,$B$5:$B$1200,B635,$C$5:$C$1200,C635,$D$5:$D$1200,D635)&gt;1,"ERRO: chave duplicada","OK")))</f>
        <v/>
      </c>
    </row>
    <row r="636" ht="15" customHeight="1" s="131">
      <c r="A636" s="320" t="n"/>
      <c r="B636" s="323" t="n"/>
      <c r="C636" s="320" t="n"/>
      <c r="D636" s="326" t="n"/>
      <c r="E636" s="324" t="n"/>
      <c r="F636" s="320" t="n"/>
      <c r="G636" s="327" t="n"/>
      <c r="H636" s="271" t="n"/>
      <c r="I636" s="275">
        <f>IF(COUNTA(A636:F636)=0,"",IF(OR(E636&lt;0,F636&lt;0,F636&gt;10),"ERRO: valores inválidos",IF(COUNTIFS($A$5:$A$1200,A636,$B$5:$B$1200,B636,$C$5:$C$1200,C636,$D$5:$D$1200,D636)&gt;1,"ERRO: chave duplicada","OK")))</f>
        <v/>
      </c>
    </row>
    <row r="637" ht="15" customHeight="1" s="131">
      <c r="A637" s="320" t="n"/>
      <c r="B637" s="323" t="n"/>
      <c r="C637" s="320" t="n"/>
      <c r="D637" s="326" t="n"/>
      <c r="E637" s="324" t="n"/>
      <c r="F637" s="320" t="n"/>
      <c r="G637" s="327" t="n"/>
      <c r="H637" s="271" t="n"/>
      <c r="I637" s="275">
        <f>IF(COUNTA(A637:F637)=0,"",IF(OR(E637&lt;0,F637&lt;0,F637&gt;10),"ERRO: valores inválidos",IF(COUNTIFS($A$5:$A$1200,A637,$B$5:$B$1200,B637,$C$5:$C$1200,C637,$D$5:$D$1200,D637)&gt;1,"ERRO: chave duplicada","OK")))</f>
        <v/>
      </c>
    </row>
    <row r="638" ht="15" customHeight="1" s="131">
      <c r="A638" s="320" t="n"/>
      <c r="B638" s="323" t="n"/>
      <c r="C638" s="320" t="n"/>
      <c r="D638" s="326" t="n"/>
      <c r="E638" s="324" t="n"/>
      <c r="F638" s="320" t="n"/>
      <c r="G638" s="327" t="n"/>
      <c r="H638" s="271" t="n"/>
      <c r="I638" s="275">
        <f>IF(COUNTA(A638:F638)=0,"",IF(OR(E638&lt;0,F638&lt;0,F638&gt;10),"ERRO: valores inválidos",IF(COUNTIFS($A$5:$A$1200,A638,$B$5:$B$1200,B638,$C$5:$C$1200,C638,$D$5:$D$1200,D638)&gt;1,"ERRO: chave duplicada","OK")))</f>
        <v/>
      </c>
    </row>
    <row r="639" ht="15" customHeight="1" s="131">
      <c r="A639" s="320" t="n"/>
      <c r="B639" s="323" t="n"/>
      <c r="C639" s="320" t="n"/>
      <c r="D639" s="326" t="n"/>
      <c r="E639" s="324" t="n"/>
      <c r="F639" s="320" t="n"/>
      <c r="G639" s="327" t="n"/>
      <c r="H639" s="271" t="n"/>
      <c r="I639" s="275">
        <f>IF(COUNTA(A639:F639)=0,"",IF(OR(E639&lt;0,F639&lt;0,F639&gt;10),"ERRO: valores inválidos",IF(COUNTIFS($A$5:$A$1200,A639,$B$5:$B$1200,B639,$C$5:$C$1200,C639,$D$5:$D$1200,D639)&gt;1,"ERRO: chave duplicada","OK")))</f>
        <v/>
      </c>
    </row>
    <row r="640" ht="15" customHeight="1" s="131">
      <c r="A640" s="320" t="n"/>
      <c r="B640" s="323" t="n"/>
      <c r="C640" s="320" t="n"/>
      <c r="D640" s="326" t="n"/>
      <c r="E640" s="324" t="n"/>
      <c r="F640" s="320" t="n"/>
      <c r="G640" s="327" t="n"/>
      <c r="H640" s="271" t="n"/>
      <c r="I640" s="275">
        <f>IF(COUNTA(A640:F640)=0,"",IF(OR(E640&lt;0,F640&lt;0,F640&gt;10),"ERRO: valores inválidos",IF(COUNTIFS($A$5:$A$1200,A640,$B$5:$B$1200,B640,$C$5:$C$1200,C640,$D$5:$D$1200,D640)&gt;1,"ERRO: chave duplicada","OK")))</f>
        <v/>
      </c>
    </row>
    <row r="641" ht="15" customHeight="1" s="131">
      <c r="A641" s="320" t="n"/>
      <c r="B641" s="323" t="n"/>
      <c r="C641" s="320" t="n"/>
      <c r="D641" s="326" t="n"/>
      <c r="E641" s="324" t="n"/>
      <c r="F641" s="320" t="n"/>
      <c r="G641" s="327" t="n"/>
      <c r="H641" s="271" t="n"/>
      <c r="I641" s="275">
        <f>IF(COUNTA(A641:F641)=0,"",IF(OR(E641&lt;0,F641&lt;0,F641&gt;10),"ERRO: valores inválidos",IF(COUNTIFS($A$5:$A$1200,A641,$B$5:$B$1200,B641,$C$5:$C$1200,C641,$D$5:$D$1200,D641)&gt;1,"ERRO: chave duplicada","OK")))</f>
        <v/>
      </c>
    </row>
    <row r="642" ht="15" customHeight="1" s="131">
      <c r="A642" s="320" t="n"/>
      <c r="B642" s="323" t="n"/>
      <c r="C642" s="320" t="n"/>
      <c r="D642" s="326" t="n"/>
      <c r="E642" s="324" t="n"/>
      <c r="F642" s="320" t="n"/>
      <c r="G642" s="327" t="n"/>
      <c r="H642" s="271" t="n"/>
      <c r="I642" s="275">
        <f>IF(COUNTA(A642:F642)=0,"",IF(OR(E642&lt;0,F642&lt;0,F642&gt;10),"ERRO: valores inválidos",IF(COUNTIFS($A$5:$A$1200,A642,$B$5:$B$1200,B642,$C$5:$C$1200,C642,$D$5:$D$1200,D642)&gt;1,"ERRO: chave duplicada","OK")))</f>
        <v/>
      </c>
    </row>
    <row r="643" ht="15" customHeight="1" s="131">
      <c r="A643" s="320" t="n"/>
      <c r="B643" s="323" t="n"/>
      <c r="C643" s="320" t="n"/>
      <c r="D643" s="326" t="n"/>
      <c r="E643" s="324" t="n"/>
      <c r="F643" s="320" t="n"/>
      <c r="G643" s="327" t="n"/>
      <c r="H643" s="271" t="n"/>
      <c r="I643" s="275">
        <f>IF(COUNTA(A643:F643)=0,"",IF(OR(E643&lt;0,F643&lt;0,F643&gt;10),"ERRO: valores inválidos",IF(COUNTIFS($A$5:$A$1200,A643,$B$5:$B$1200,B643,$C$5:$C$1200,C643,$D$5:$D$1200,D643)&gt;1,"ERRO: chave duplicada","OK")))</f>
        <v/>
      </c>
    </row>
    <row r="644" ht="15" customHeight="1" s="131">
      <c r="A644" s="320" t="n"/>
      <c r="B644" s="323" t="n"/>
      <c r="C644" s="320" t="n"/>
      <c r="D644" s="326" t="n"/>
      <c r="E644" s="324" t="n"/>
      <c r="F644" s="320" t="n"/>
      <c r="G644" s="327" t="n"/>
      <c r="H644" s="271" t="n"/>
      <c r="I644" s="275">
        <f>IF(COUNTA(A644:F644)=0,"",IF(OR(E644&lt;0,F644&lt;0,F644&gt;10),"ERRO: valores inválidos",IF(COUNTIFS($A$5:$A$1200,A644,$B$5:$B$1200,B644,$C$5:$C$1200,C644,$D$5:$D$1200,D644)&gt;1,"ERRO: chave duplicada","OK")))</f>
        <v/>
      </c>
    </row>
    <row r="645" ht="15" customHeight="1" s="131">
      <c r="A645" s="320" t="n"/>
      <c r="B645" s="323" t="n"/>
      <c r="C645" s="320" t="n"/>
      <c r="D645" s="326" t="n"/>
      <c r="E645" s="324" t="n"/>
      <c r="F645" s="320" t="n"/>
      <c r="G645" s="327" t="n"/>
      <c r="H645" s="271" t="n"/>
      <c r="I645" s="275">
        <f>IF(COUNTA(A645:F645)=0,"",IF(OR(E645&lt;0,F645&lt;0,F645&gt;10),"ERRO: valores inválidos",IF(COUNTIFS($A$5:$A$1200,A645,$B$5:$B$1200,B645,$C$5:$C$1200,C645,$D$5:$D$1200,D645)&gt;1,"ERRO: chave duplicada","OK")))</f>
        <v/>
      </c>
    </row>
    <row r="646" ht="15" customHeight="1" s="131">
      <c r="A646" s="320" t="n"/>
      <c r="B646" s="323" t="n"/>
      <c r="C646" s="320" t="n"/>
      <c r="D646" s="326" t="n"/>
      <c r="E646" s="324" t="n"/>
      <c r="F646" s="320" t="n"/>
      <c r="G646" s="327" t="n"/>
      <c r="H646" s="271" t="n"/>
      <c r="I646" s="275">
        <f>IF(COUNTA(A646:F646)=0,"",IF(OR(E646&lt;0,F646&lt;0,F646&gt;10),"ERRO: valores inválidos",IF(COUNTIFS($A$5:$A$1200,A646,$B$5:$B$1200,B646,$C$5:$C$1200,C646,$D$5:$D$1200,D646)&gt;1,"ERRO: chave duplicada","OK")))</f>
        <v/>
      </c>
    </row>
    <row r="647" ht="15" customHeight="1" s="131">
      <c r="A647" s="320" t="n"/>
      <c r="B647" s="323" t="n"/>
      <c r="C647" s="320" t="n"/>
      <c r="D647" s="326" t="n"/>
      <c r="E647" s="324" t="n"/>
      <c r="F647" s="320" t="n"/>
      <c r="G647" s="327" t="n"/>
      <c r="H647" s="271" t="n"/>
      <c r="I647" s="275">
        <f>IF(COUNTA(A647:F647)=0,"",IF(OR(E647&lt;0,F647&lt;0,F647&gt;10),"ERRO: valores inválidos",IF(COUNTIFS($A$5:$A$1200,A647,$B$5:$B$1200,B647,$C$5:$C$1200,C647,$D$5:$D$1200,D647)&gt;1,"ERRO: chave duplicada","OK")))</f>
        <v/>
      </c>
    </row>
    <row r="648" ht="15" customHeight="1" s="131">
      <c r="A648" s="320" t="n"/>
      <c r="B648" s="323" t="n"/>
      <c r="C648" s="320" t="n"/>
      <c r="D648" s="326" t="n"/>
      <c r="E648" s="324" t="n"/>
      <c r="F648" s="320" t="n"/>
      <c r="G648" s="327" t="n"/>
      <c r="H648" s="271" t="n"/>
      <c r="I648" s="275">
        <f>IF(COUNTA(A648:F648)=0,"",IF(OR(E648&lt;0,F648&lt;0,F648&gt;10),"ERRO: valores inválidos",IF(COUNTIFS($A$5:$A$1200,A648,$B$5:$B$1200,B648,$C$5:$C$1200,C648,$D$5:$D$1200,D648)&gt;1,"ERRO: chave duplicada","OK")))</f>
        <v/>
      </c>
    </row>
    <row r="649" ht="15" customHeight="1" s="131">
      <c r="A649" s="320" t="n"/>
      <c r="B649" s="323" t="n"/>
      <c r="C649" s="320" t="n"/>
      <c r="D649" s="326" t="n"/>
      <c r="E649" s="324" t="n"/>
      <c r="F649" s="320" t="n"/>
      <c r="G649" s="327" t="n"/>
      <c r="H649" s="271" t="n"/>
      <c r="I649" s="275">
        <f>IF(COUNTA(A649:F649)=0,"",IF(OR(E649&lt;0,F649&lt;0,F649&gt;10),"ERRO: valores inválidos",IF(COUNTIFS($A$5:$A$1200,A649,$B$5:$B$1200,B649,$C$5:$C$1200,C649,$D$5:$D$1200,D649)&gt;1,"ERRO: chave duplicada","OK")))</f>
        <v/>
      </c>
    </row>
    <row r="650" ht="15" customHeight="1" s="131">
      <c r="A650" s="320" t="n"/>
      <c r="B650" s="323" t="n"/>
      <c r="C650" s="320" t="n"/>
      <c r="D650" s="326" t="n"/>
      <c r="E650" s="324" t="n"/>
      <c r="F650" s="320" t="n"/>
      <c r="G650" s="327" t="n"/>
      <c r="H650" s="271" t="n"/>
      <c r="I650" s="275">
        <f>IF(COUNTA(A650:F650)=0,"",IF(OR(E650&lt;0,F650&lt;0,F650&gt;10),"ERRO: valores inválidos",IF(COUNTIFS($A$5:$A$1200,A650,$B$5:$B$1200,B650,$C$5:$C$1200,C650,$D$5:$D$1200,D650)&gt;1,"ERRO: chave duplicada","OK")))</f>
        <v/>
      </c>
    </row>
    <row r="651" ht="15" customHeight="1" s="131">
      <c r="A651" s="320" t="n"/>
      <c r="B651" s="323" t="n"/>
      <c r="C651" s="320" t="n"/>
      <c r="D651" s="326" t="n"/>
      <c r="E651" s="324" t="n"/>
      <c r="F651" s="320" t="n"/>
      <c r="G651" s="327" t="n"/>
      <c r="H651" s="271" t="n"/>
      <c r="I651" s="275">
        <f>IF(COUNTA(A651:F651)=0,"",IF(OR(E651&lt;0,F651&lt;0,F651&gt;10),"ERRO: valores inválidos",IF(COUNTIFS($A$5:$A$1200,A651,$B$5:$B$1200,B651,$C$5:$C$1200,C651,$D$5:$D$1200,D651)&gt;1,"ERRO: chave duplicada","OK")))</f>
        <v/>
      </c>
    </row>
    <row r="652" ht="15" customHeight="1" s="131">
      <c r="A652" s="320" t="n"/>
      <c r="B652" s="323" t="n"/>
      <c r="C652" s="320" t="n"/>
      <c r="D652" s="326" t="n"/>
      <c r="E652" s="324" t="n"/>
      <c r="F652" s="320" t="n"/>
      <c r="G652" s="327" t="n"/>
      <c r="H652" s="271" t="n"/>
      <c r="I652" s="275">
        <f>IF(COUNTA(A652:F652)=0,"",IF(OR(E652&lt;0,F652&lt;0,F652&gt;10),"ERRO: valores inválidos",IF(COUNTIFS($A$5:$A$1200,A652,$B$5:$B$1200,B652,$C$5:$C$1200,C652,$D$5:$D$1200,D652)&gt;1,"ERRO: chave duplicada","OK")))</f>
        <v/>
      </c>
    </row>
    <row r="653" ht="15" customHeight="1" s="131">
      <c r="A653" s="320" t="n"/>
      <c r="B653" s="323" t="n"/>
      <c r="C653" s="320" t="n"/>
      <c r="D653" s="326" t="n"/>
      <c r="E653" s="324" t="n"/>
      <c r="F653" s="320" t="n"/>
      <c r="G653" s="327" t="n"/>
      <c r="H653" s="271" t="n"/>
      <c r="I653" s="275">
        <f>IF(COUNTA(A653:F653)=0,"",IF(OR(E653&lt;0,F653&lt;0,F653&gt;10),"ERRO: valores inválidos",IF(COUNTIFS($A$5:$A$1200,A653,$B$5:$B$1200,B653,$C$5:$C$1200,C653,$D$5:$D$1200,D653)&gt;1,"ERRO: chave duplicada","OK")))</f>
        <v/>
      </c>
    </row>
    <row r="654" ht="15" customHeight="1" s="131">
      <c r="A654" s="320" t="n"/>
      <c r="B654" s="323" t="n"/>
      <c r="C654" s="320" t="n"/>
      <c r="D654" s="326" t="n"/>
      <c r="E654" s="324" t="n"/>
      <c r="F654" s="320" t="n"/>
      <c r="G654" s="327" t="n"/>
      <c r="H654" s="271" t="n"/>
      <c r="I654" s="275">
        <f>IF(COUNTA(A654:F654)=0,"",IF(OR(E654&lt;0,F654&lt;0,F654&gt;10),"ERRO: valores inválidos",IF(COUNTIFS($A$5:$A$1200,A654,$B$5:$B$1200,B654,$C$5:$C$1200,C654,$D$5:$D$1200,D654)&gt;1,"ERRO: chave duplicada","OK")))</f>
        <v/>
      </c>
    </row>
    <row r="655" ht="15" customHeight="1" s="131">
      <c r="A655" s="320" t="n"/>
      <c r="B655" s="323" t="n"/>
      <c r="C655" s="320" t="n"/>
      <c r="D655" s="326" t="n"/>
      <c r="E655" s="324" t="n"/>
      <c r="F655" s="320" t="n"/>
      <c r="G655" s="327" t="n"/>
      <c r="H655" s="271" t="n"/>
      <c r="I655" s="275">
        <f>IF(COUNTA(A655:F655)=0,"",IF(OR(E655&lt;0,F655&lt;0,F655&gt;10),"ERRO: valores inválidos",IF(COUNTIFS($A$5:$A$1200,A655,$B$5:$B$1200,B655,$C$5:$C$1200,C655,$D$5:$D$1200,D655)&gt;1,"ERRO: chave duplicada","OK")))</f>
        <v/>
      </c>
    </row>
    <row r="656" ht="15" customHeight="1" s="131">
      <c r="A656" s="320" t="n"/>
      <c r="B656" s="323" t="n"/>
      <c r="C656" s="320" t="n"/>
      <c r="D656" s="326" t="n"/>
      <c r="E656" s="324" t="n"/>
      <c r="F656" s="320" t="n"/>
      <c r="G656" s="327" t="n"/>
      <c r="H656" s="271" t="n"/>
      <c r="I656" s="275">
        <f>IF(COUNTA(A656:F656)=0,"",IF(OR(E656&lt;0,F656&lt;0,F656&gt;10),"ERRO: valores inválidos",IF(COUNTIFS($A$5:$A$1200,A656,$B$5:$B$1200,B656,$C$5:$C$1200,C656,$D$5:$D$1200,D656)&gt;1,"ERRO: chave duplicada","OK")))</f>
        <v/>
      </c>
    </row>
    <row r="657" ht="15" customHeight="1" s="131">
      <c r="A657" s="320" t="n"/>
      <c r="B657" s="323" t="n"/>
      <c r="C657" s="320" t="n"/>
      <c r="D657" s="326" t="n"/>
      <c r="E657" s="324" t="n"/>
      <c r="F657" s="320" t="n"/>
      <c r="G657" s="327" t="n"/>
      <c r="H657" s="271" t="n"/>
      <c r="I657" s="275">
        <f>IF(COUNTA(A657:F657)=0,"",IF(OR(E657&lt;0,F657&lt;0,F657&gt;10),"ERRO: valores inválidos",IF(COUNTIFS($A$5:$A$1200,A657,$B$5:$B$1200,B657,$C$5:$C$1200,C657,$D$5:$D$1200,D657)&gt;1,"ERRO: chave duplicada","OK")))</f>
        <v/>
      </c>
    </row>
    <row r="658" ht="15" customHeight="1" s="131">
      <c r="A658" s="320" t="n"/>
      <c r="B658" s="323" t="n"/>
      <c r="C658" s="320" t="n"/>
      <c r="D658" s="326" t="n"/>
      <c r="E658" s="324" t="n"/>
      <c r="F658" s="320" t="n"/>
      <c r="G658" s="327" t="n"/>
      <c r="H658" s="271" t="n"/>
      <c r="I658" s="275">
        <f>IF(COUNTA(A658:F658)=0,"",IF(OR(E658&lt;0,F658&lt;0,F658&gt;10),"ERRO: valores inválidos",IF(COUNTIFS($A$5:$A$1200,A658,$B$5:$B$1200,B658,$C$5:$C$1200,C658,$D$5:$D$1200,D658)&gt;1,"ERRO: chave duplicada","OK")))</f>
        <v/>
      </c>
    </row>
    <row r="659" ht="15" customHeight="1" s="131">
      <c r="A659" s="320" t="n"/>
      <c r="B659" s="323" t="n"/>
      <c r="C659" s="320" t="n"/>
      <c r="D659" s="326" t="n"/>
      <c r="E659" s="324" t="n"/>
      <c r="F659" s="320" t="n"/>
      <c r="G659" s="327" t="n"/>
      <c r="H659" s="271" t="n"/>
      <c r="I659" s="275">
        <f>IF(COUNTA(A659:F659)=0,"",IF(OR(E659&lt;0,F659&lt;0,F659&gt;10),"ERRO: valores inválidos",IF(COUNTIFS($A$5:$A$1200,A659,$B$5:$B$1200,B659,$C$5:$C$1200,C659,$D$5:$D$1200,D659)&gt;1,"ERRO: chave duplicada","OK")))</f>
        <v/>
      </c>
    </row>
    <row r="660" ht="15" customHeight="1" s="131">
      <c r="A660" s="320" t="n"/>
      <c r="B660" s="323" t="n"/>
      <c r="C660" s="320" t="n"/>
      <c r="D660" s="326" t="n"/>
      <c r="E660" s="324" t="n"/>
      <c r="F660" s="320" t="n"/>
      <c r="G660" s="327" t="n"/>
      <c r="H660" s="271" t="n"/>
      <c r="I660" s="275">
        <f>IF(COUNTA(A660:F660)=0,"",IF(OR(E660&lt;0,F660&lt;0,F660&gt;10),"ERRO: valores inválidos",IF(COUNTIFS($A$5:$A$1200,A660,$B$5:$B$1200,B660,$C$5:$C$1200,C660,$D$5:$D$1200,D660)&gt;1,"ERRO: chave duplicada","OK")))</f>
        <v/>
      </c>
    </row>
    <row r="661" ht="15" customHeight="1" s="131">
      <c r="A661" s="320" t="n"/>
      <c r="B661" s="323" t="n"/>
      <c r="C661" s="320" t="n"/>
      <c r="D661" s="326" t="n"/>
      <c r="E661" s="324" t="n"/>
      <c r="F661" s="320" t="n"/>
      <c r="G661" s="327" t="n"/>
      <c r="H661" s="271" t="n"/>
      <c r="I661" s="275">
        <f>IF(COUNTA(A661:F661)=0,"",IF(OR(E661&lt;0,F661&lt;0,F661&gt;10),"ERRO: valores inválidos",IF(COUNTIFS($A$5:$A$1200,A661,$B$5:$B$1200,B661,$C$5:$C$1200,C661,$D$5:$D$1200,D661)&gt;1,"ERRO: chave duplicada","OK")))</f>
        <v/>
      </c>
    </row>
    <row r="662" ht="15" customHeight="1" s="131">
      <c r="A662" s="320" t="n"/>
      <c r="B662" s="323" t="n"/>
      <c r="C662" s="320" t="n"/>
      <c r="D662" s="326" t="n"/>
      <c r="E662" s="324" t="n"/>
      <c r="F662" s="320" t="n"/>
      <c r="G662" s="327" t="n"/>
      <c r="H662" s="271" t="n"/>
      <c r="I662" s="275">
        <f>IF(COUNTA(A662:F662)=0,"",IF(OR(E662&lt;0,F662&lt;0,F662&gt;10),"ERRO: valores inválidos",IF(COUNTIFS($A$5:$A$1200,A662,$B$5:$B$1200,B662,$C$5:$C$1200,C662,$D$5:$D$1200,D662)&gt;1,"ERRO: chave duplicada","OK")))</f>
        <v/>
      </c>
    </row>
    <row r="663" ht="15" customHeight="1" s="131">
      <c r="A663" s="320" t="n"/>
      <c r="B663" s="323" t="n"/>
      <c r="C663" s="320" t="n"/>
      <c r="D663" s="326" t="n"/>
      <c r="E663" s="324" t="n"/>
      <c r="F663" s="320" t="n"/>
      <c r="G663" s="327" t="n"/>
      <c r="H663" s="271" t="n"/>
      <c r="I663" s="275">
        <f>IF(COUNTA(A663:F663)=0,"",IF(OR(E663&lt;0,F663&lt;0,F663&gt;10),"ERRO: valores inválidos",IF(COUNTIFS($A$5:$A$1200,A663,$B$5:$B$1200,B663,$C$5:$C$1200,C663,$D$5:$D$1200,D663)&gt;1,"ERRO: chave duplicada","OK")))</f>
        <v/>
      </c>
    </row>
    <row r="664" ht="15" customHeight="1" s="131">
      <c r="A664" s="320" t="n"/>
      <c r="B664" s="323" t="n"/>
      <c r="C664" s="320" t="n"/>
      <c r="D664" s="326" t="n"/>
      <c r="E664" s="324" t="n"/>
      <c r="F664" s="320" t="n"/>
      <c r="G664" s="327" t="n"/>
      <c r="H664" s="271" t="n"/>
      <c r="I664" s="275">
        <f>IF(COUNTA(A664:F664)=0,"",IF(OR(E664&lt;0,F664&lt;0,F664&gt;10),"ERRO: valores inválidos",IF(COUNTIFS($A$5:$A$1200,A664,$B$5:$B$1200,B664,$C$5:$C$1200,C664,$D$5:$D$1200,D664)&gt;1,"ERRO: chave duplicada","OK")))</f>
        <v/>
      </c>
    </row>
    <row r="665" ht="15" customHeight="1" s="131">
      <c r="A665" s="320" t="n"/>
      <c r="B665" s="323" t="n"/>
      <c r="C665" s="320" t="n"/>
      <c r="D665" s="326" t="n"/>
      <c r="E665" s="324" t="n"/>
      <c r="F665" s="320" t="n"/>
      <c r="G665" s="327" t="n"/>
      <c r="H665" s="271" t="n"/>
      <c r="I665" s="275">
        <f>IF(COUNTA(A665:F665)=0,"",IF(OR(E665&lt;0,F665&lt;0,F665&gt;10),"ERRO: valores inválidos",IF(COUNTIFS($A$5:$A$1200,A665,$B$5:$B$1200,B665,$C$5:$C$1200,C665,$D$5:$D$1200,D665)&gt;1,"ERRO: chave duplicada","OK")))</f>
        <v/>
      </c>
    </row>
    <row r="666" ht="15" customHeight="1" s="131">
      <c r="A666" s="320" t="n"/>
      <c r="B666" s="323" t="n"/>
      <c r="C666" s="320" t="n"/>
      <c r="D666" s="326" t="n"/>
      <c r="E666" s="324" t="n"/>
      <c r="F666" s="320" t="n"/>
      <c r="G666" s="327" t="n"/>
      <c r="H666" s="271" t="n"/>
      <c r="I666" s="275">
        <f>IF(COUNTA(A666:F666)=0,"",IF(OR(E666&lt;0,F666&lt;0,F666&gt;10),"ERRO: valores inválidos",IF(COUNTIFS($A$5:$A$1200,A666,$B$5:$B$1200,B666,$C$5:$C$1200,C666,$D$5:$D$1200,D666)&gt;1,"ERRO: chave duplicada","OK")))</f>
        <v/>
      </c>
    </row>
    <row r="667" ht="15" customHeight="1" s="131">
      <c r="A667" s="320" t="n"/>
      <c r="B667" s="323" t="n"/>
      <c r="C667" s="320" t="n"/>
      <c r="D667" s="326" t="n"/>
      <c r="E667" s="324" t="n"/>
      <c r="F667" s="320" t="n"/>
      <c r="G667" s="327" t="n"/>
      <c r="H667" s="271" t="n"/>
      <c r="I667" s="275">
        <f>IF(COUNTA(A667:F667)=0,"",IF(OR(E667&lt;0,F667&lt;0,F667&gt;10),"ERRO: valores inválidos",IF(COUNTIFS($A$5:$A$1200,A667,$B$5:$B$1200,B667,$C$5:$C$1200,C667,$D$5:$D$1200,D667)&gt;1,"ERRO: chave duplicada","OK")))</f>
        <v/>
      </c>
    </row>
    <row r="668" ht="15" customHeight="1" s="131">
      <c r="A668" s="320" t="n"/>
      <c r="B668" s="323" t="n"/>
      <c r="C668" s="320" t="n"/>
      <c r="D668" s="326" t="n"/>
      <c r="E668" s="324" t="n"/>
      <c r="F668" s="320" t="n"/>
      <c r="G668" s="327" t="n"/>
      <c r="H668" s="271" t="n"/>
      <c r="I668" s="275">
        <f>IF(COUNTA(A668:F668)=0,"",IF(OR(E668&lt;0,F668&lt;0,F668&gt;10),"ERRO: valores inválidos",IF(COUNTIFS($A$5:$A$1200,A668,$B$5:$B$1200,B668,$C$5:$C$1200,C668,$D$5:$D$1200,D668)&gt;1,"ERRO: chave duplicada","OK")))</f>
        <v/>
      </c>
    </row>
    <row r="669" ht="15" customHeight="1" s="131">
      <c r="A669" s="320" t="n"/>
      <c r="B669" s="323" t="n"/>
      <c r="C669" s="320" t="n"/>
      <c r="D669" s="326" t="n"/>
      <c r="E669" s="324" t="n"/>
      <c r="F669" s="320" t="n"/>
      <c r="G669" s="327" t="n"/>
      <c r="H669" s="271" t="n"/>
      <c r="I669" s="275">
        <f>IF(COUNTA(A669:F669)=0,"",IF(OR(E669&lt;0,F669&lt;0,F669&gt;10),"ERRO: valores inválidos",IF(COUNTIFS($A$5:$A$1200,A669,$B$5:$B$1200,B669,$C$5:$C$1200,C669,$D$5:$D$1200,D669)&gt;1,"ERRO: chave duplicada","OK")))</f>
        <v/>
      </c>
    </row>
    <row r="670" ht="15" customHeight="1" s="131">
      <c r="A670" s="320" t="n"/>
      <c r="B670" s="323" t="n"/>
      <c r="C670" s="320" t="n"/>
      <c r="D670" s="326" t="n"/>
      <c r="E670" s="324" t="n"/>
      <c r="F670" s="320" t="n"/>
      <c r="G670" s="327" t="n"/>
      <c r="H670" s="271" t="n"/>
      <c r="I670" s="275">
        <f>IF(COUNTA(A670:F670)=0,"",IF(OR(E670&lt;0,F670&lt;0,F670&gt;10),"ERRO: valores inválidos",IF(COUNTIFS($A$5:$A$1200,A670,$B$5:$B$1200,B670,$C$5:$C$1200,C670,$D$5:$D$1200,D670)&gt;1,"ERRO: chave duplicada","OK")))</f>
        <v/>
      </c>
    </row>
    <row r="671" ht="15" customHeight="1" s="131">
      <c r="A671" s="320" t="n"/>
      <c r="B671" s="323" t="n"/>
      <c r="C671" s="320" t="n"/>
      <c r="D671" s="326" t="n"/>
      <c r="E671" s="324" t="n"/>
      <c r="F671" s="320" t="n"/>
      <c r="G671" s="327" t="n"/>
      <c r="H671" s="271" t="n"/>
      <c r="I671" s="275">
        <f>IF(COUNTA(A671:F671)=0,"",IF(OR(E671&lt;0,F671&lt;0,F671&gt;10),"ERRO: valores inválidos",IF(COUNTIFS($A$5:$A$1200,A671,$B$5:$B$1200,B671,$C$5:$C$1200,C671,$D$5:$D$1200,D671)&gt;1,"ERRO: chave duplicada","OK")))</f>
        <v/>
      </c>
    </row>
    <row r="672" ht="15" customHeight="1" s="131">
      <c r="A672" s="320" t="n"/>
      <c r="B672" s="323" t="n"/>
      <c r="C672" s="320" t="n"/>
      <c r="D672" s="326" t="n"/>
      <c r="E672" s="324" t="n"/>
      <c r="F672" s="320" t="n"/>
      <c r="G672" s="327" t="n"/>
      <c r="H672" s="271" t="n"/>
      <c r="I672" s="275">
        <f>IF(COUNTA(A672:F672)=0,"",IF(OR(E672&lt;0,F672&lt;0,F672&gt;10),"ERRO: valores inválidos",IF(COUNTIFS($A$5:$A$1200,A672,$B$5:$B$1200,B672,$C$5:$C$1200,C672,$D$5:$D$1200,D672)&gt;1,"ERRO: chave duplicada","OK")))</f>
        <v/>
      </c>
    </row>
    <row r="673" ht="15" customHeight="1" s="131">
      <c r="A673" s="320" t="n"/>
      <c r="B673" s="323" t="n"/>
      <c r="C673" s="320" t="n"/>
      <c r="D673" s="326" t="n"/>
      <c r="E673" s="324" t="n"/>
      <c r="F673" s="320" t="n"/>
      <c r="G673" s="327" t="n"/>
      <c r="H673" s="271" t="n"/>
      <c r="I673" s="275">
        <f>IF(COUNTA(A673:F673)=0,"",IF(OR(E673&lt;0,F673&lt;0,F673&gt;10),"ERRO: valores inválidos",IF(COUNTIFS($A$5:$A$1200,A673,$B$5:$B$1200,B673,$C$5:$C$1200,C673,$D$5:$D$1200,D673)&gt;1,"ERRO: chave duplicada","OK")))</f>
        <v/>
      </c>
    </row>
    <row r="674" ht="15" customHeight="1" s="131">
      <c r="A674" s="320" t="n"/>
      <c r="B674" s="323" t="n"/>
      <c r="C674" s="320" t="n"/>
      <c r="D674" s="326" t="n"/>
      <c r="E674" s="324" t="n"/>
      <c r="F674" s="320" t="n"/>
      <c r="G674" s="327" t="n"/>
      <c r="H674" s="271" t="n"/>
      <c r="I674" s="275">
        <f>IF(COUNTA(A674:F674)=0,"",IF(OR(E674&lt;0,F674&lt;0,F674&gt;10),"ERRO: valores inválidos",IF(COUNTIFS($A$5:$A$1200,A674,$B$5:$B$1200,B674,$C$5:$C$1200,C674,$D$5:$D$1200,D674)&gt;1,"ERRO: chave duplicada","OK")))</f>
        <v/>
      </c>
    </row>
    <row r="675" ht="15" customHeight="1" s="131">
      <c r="A675" s="320" t="n"/>
      <c r="B675" s="323" t="n"/>
      <c r="C675" s="320" t="n"/>
      <c r="D675" s="326" t="n"/>
      <c r="E675" s="324" t="n"/>
      <c r="F675" s="320" t="n"/>
      <c r="G675" s="327" t="n"/>
      <c r="H675" s="271" t="n"/>
      <c r="I675" s="275">
        <f>IF(COUNTA(A675:F675)=0,"",IF(OR(E675&lt;0,F675&lt;0,F675&gt;10),"ERRO: valores inválidos",IF(COUNTIFS($A$5:$A$1200,A675,$B$5:$B$1200,B675,$C$5:$C$1200,C675,$D$5:$D$1200,D675)&gt;1,"ERRO: chave duplicada","OK")))</f>
        <v/>
      </c>
    </row>
    <row r="676" ht="15" customHeight="1" s="131">
      <c r="A676" s="320" t="n"/>
      <c r="B676" s="323" t="n"/>
      <c r="C676" s="320" t="n"/>
      <c r="D676" s="326" t="n"/>
      <c r="E676" s="324" t="n"/>
      <c r="F676" s="320" t="n"/>
      <c r="G676" s="327" t="n"/>
      <c r="H676" s="271" t="n"/>
      <c r="I676" s="275">
        <f>IF(COUNTA(A676:F676)=0,"",IF(OR(E676&lt;0,F676&lt;0,F676&gt;10),"ERRO: valores inválidos",IF(COUNTIFS($A$5:$A$1200,A676,$B$5:$B$1200,B676,$C$5:$C$1200,C676,$D$5:$D$1200,D676)&gt;1,"ERRO: chave duplicada","OK")))</f>
        <v/>
      </c>
    </row>
    <row r="677" ht="15" customHeight="1" s="131">
      <c r="A677" s="320" t="n"/>
      <c r="B677" s="323" t="n"/>
      <c r="C677" s="320" t="n"/>
      <c r="D677" s="326" t="n"/>
      <c r="E677" s="324" t="n"/>
      <c r="F677" s="320" t="n"/>
      <c r="G677" s="327" t="n"/>
      <c r="H677" s="271" t="n"/>
      <c r="I677" s="275">
        <f>IF(COUNTA(A677:F677)=0,"",IF(OR(E677&lt;0,F677&lt;0,F677&gt;10),"ERRO: valores inválidos",IF(COUNTIFS($A$5:$A$1200,A677,$B$5:$B$1200,B677,$C$5:$C$1200,C677,$D$5:$D$1200,D677)&gt;1,"ERRO: chave duplicada","OK")))</f>
        <v/>
      </c>
    </row>
    <row r="678" ht="15" customHeight="1" s="131">
      <c r="A678" s="320" t="n"/>
      <c r="B678" s="323" t="n"/>
      <c r="C678" s="320" t="n"/>
      <c r="D678" s="326" t="n"/>
      <c r="E678" s="324" t="n"/>
      <c r="F678" s="320" t="n"/>
      <c r="G678" s="327" t="n"/>
      <c r="H678" s="271" t="n"/>
      <c r="I678" s="275">
        <f>IF(COUNTA(A678:F678)=0,"",IF(OR(E678&lt;0,F678&lt;0,F678&gt;10),"ERRO: valores inválidos",IF(COUNTIFS($A$5:$A$1200,A678,$B$5:$B$1200,B678,$C$5:$C$1200,C678,$D$5:$D$1200,D678)&gt;1,"ERRO: chave duplicada","OK")))</f>
        <v/>
      </c>
    </row>
    <row r="679" ht="15" customHeight="1" s="131">
      <c r="A679" s="320" t="n"/>
      <c r="B679" s="323" t="n"/>
      <c r="C679" s="320" t="n"/>
      <c r="D679" s="326" t="n"/>
      <c r="E679" s="324" t="n"/>
      <c r="F679" s="320" t="n"/>
      <c r="G679" s="327" t="n"/>
      <c r="H679" s="271" t="n"/>
      <c r="I679" s="275">
        <f>IF(COUNTA(A679:F679)=0,"",IF(OR(E679&lt;0,F679&lt;0,F679&gt;10),"ERRO: valores inválidos",IF(COUNTIFS($A$5:$A$1200,A679,$B$5:$B$1200,B679,$C$5:$C$1200,C679,$D$5:$D$1200,D679)&gt;1,"ERRO: chave duplicada","OK")))</f>
        <v/>
      </c>
    </row>
    <row r="680" ht="15" customHeight="1" s="131">
      <c r="A680" s="320" t="n"/>
      <c r="B680" s="323" t="n"/>
      <c r="C680" s="320" t="n"/>
      <c r="D680" s="326" t="n"/>
      <c r="E680" s="324" t="n"/>
      <c r="F680" s="320" t="n"/>
      <c r="G680" s="327" t="n"/>
      <c r="H680" s="271" t="n"/>
      <c r="I680" s="275">
        <f>IF(COUNTA(A680:F680)=0,"",IF(OR(E680&lt;0,F680&lt;0,F680&gt;10),"ERRO: valores inválidos",IF(COUNTIFS($A$5:$A$1200,A680,$B$5:$B$1200,B680,$C$5:$C$1200,C680,$D$5:$D$1200,D680)&gt;1,"ERRO: chave duplicada","OK")))</f>
        <v/>
      </c>
    </row>
    <row r="681" ht="15" customHeight="1" s="131">
      <c r="A681" s="320" t="n"/>
      <c r="B681" s="323" t="n"/>
      <c r="C681" s="320" t="n"/>
      <c r="D681" s="326" t="n"/>
      <c r="E681" s="324" t="n"/>
      <c r="F681" s="320" t="n"/>
      <c r="G681" s="327" t="n"/>
      <c r="H681" s="271" t="n"/>
      <c r="I681" s="275">
        <f>IF(COUNTA(A681:F681)=0,"",IF(OR(E681&lt;0,F681&lt;0,F681&gt;10),"ERRO: valores inválidos",IF(COUNTIFS($A$5:$A$1200,A681,$B$5:$B$1200,B681,$C$5:$C$1200,C681,$D$5:$D$1200,D681)&gt;1,"ERRO: chave duplicada","OK")))</f>
        <v/>
      </c>
    </row>
    <row r="682" ht="15" customHeight="1" s="131">
      <c r="A682" s="320" t="n"/>
      <c r="B682" s="323" t="n"/>
      <c r="C682" s="320" t="n"/>
      <c r="D682" s="326" t="n"/>
      <c r="E682" s="324" t="n"/>
      <c r="F682" s="320" t="n"/>
      <c r="G682" s="327" t="n"/>
      <c r="H682" s="271" t="n"/>
      <c r="I682" s="275">
        <f>IF(COUNTA(A682:F682)=0,"",IF(OR(E682&lt;0,F682&lt;0,F682&gt;10),"ERRO: valores inválidos",IF(COUNTIFS($A$5:$A$1200,A682,$B$5:$B$1200,B682,$C$5:$C$1200,C682,$D$5:$D$1200,D682)&gt;1,"ERRO: chave duplicada","OK")))</f>
        <v/>
      </c>
    </row>
    <row r="683" ht="15" customHeight="1" s="131">
      <c r="A683" s="320" t="n"/>
      <c r="B683" s="323" t="n"/>
      <c r="C683" s="320" t="n"/>
      <c r="D683" s="326" t="n"/>
      <c r="E683" s="324" t="n"/>
      <c r="F683" s="320" t="n"/>
      <c r="G683" s="327" t="n"/>
      <c r="H683" s="271" t="n"/>
      <c r="I683" s="275">
        <f>IF(COUNTA(A683:F683)=0,"",IF(OR(E683&lt;0,F683&lt;0,F683&gt;10),"ERRO: valores inválidos",IF(COUNTIFS($A$5:$A$1200,A683,$B$5:$B$1200,B683,$C$5:$C$1200,C683,$D$5:$D$1200,D683)&gt;1,"ERRO: chave duplicada","OK")))</f>
        <v/>
      </c>
    </row>
    <row r="684" ht="15" customHeight="1" s="131">
      <c r="A684" s="320" t="n"/>
      <c r="B684" s="323" t="n"/>
      <c r="C684" s="320" t="n"/>
      <c r="D684" s="326" t="n"/>
      <c r="E684" s="324" t="n"/>
      <c r="F684" s="320" t="n"/>
      <c r="G684" s="327" t="n"/>
      <c r="H684" s="271" t="n"/>
      <c r="I684" s="275">
        <f>IF(COUNTA(A684:F684)=0,"",IF(OR(E684&lt;0,F684&lt;0,F684&gt;10),"ERRO: valores inválidos",IF(COUNTIFS($A$5:$A$1200,A684,$B$5:$B$1200,B684,$C$5:$C$1200,C684,$D$5:$D$1200,D684)&gt;1,"ERRO: chave duplicada","OK")))</f>
        <v/>
      </c>
    </row>
    <row r="685" ht="15" customHeight="1" s="131">
      <c r="A685" s="320" t="n"/>
      <c r="B685" s="323" t="n"/>
      <c r="C685" s="320" t="n"/>
      <c r="D685" s="326" t="n"/>
      <c r="E685" s="324" t="n"/>
      <c r="F685" s="320" t="n"/>
      <c r="G685" s="327" t="n"/>
      <c r="H685" s="271" t="n"/>
      <c r="I685" s="275">
        <f>IF(COUNTA(A685:F685)=0,"",IF(OR(E685&lt;0,F685&lt;0,F685&gt;10),"ERRO: valores inválidos",IF(COUNTIFS($A$5:$A$1200,A685,$B$5:$B$1200,B685,$C$5:$C$1200,C685,$D$5:$D$1200,D685)&gt;1,"ERRO: chave duplicada","OK")))</f>
        <v/>
      </c>
    </row>
    <row r="686" ht="15" customHeight="1" s="131">
      <c r="A686" s="320" t="n"/>
      <c r="B686" s="323" t="n"/>
      <c r="C686" s="320" t="n"/>
      <c r="D686" s="326" t="n"/>
      <c r="E686" s="324" t="n"/>
      <c r="F686" s="320" t="n"/>
      <c r="G686" s="327" t="n"/>
      <c r="H686" s="271" t="n"/>
      <c r="I686" s="275">
        <f>IF(COUNTA(A686:F686)=0,"",IF(OR(E686&lt;0,F686&lt;0,F686&gt;10),"ERRO: valores inválidos",IF(COUNTIFS($A$5:$A$1200,A686,$B$5:$B$1200,B686,$C$5:$C$1200,C686,$D$5:$D$1200,D686)&gt;1,"ERRO: chave duplicada","OK")))</f>
        <v/>
      </c>
    </row>
    <row r="687" ht="15" customHeight="1" s="131">
      <c r="A687" s="320" t="n"/>
      <c r="B687" s="323" t="n"/>
      <c r="C687" s="320" t="n"/>
      <c r="D687" s="326" t="n"/>
      <c r="E687" s="324" t="n"/>
      <c r="F687" s="320" t="n"/>
      <c r="G687" s="327" t="n"/>
      <c r="H687" s="271" t="n"/>
      <c r="I687" s="275">
        <f>IF(COUNTA(A687:F687)=0,"",IF(OR(E687&lt;0,F687&lt;0,F687&gt;10),"ERRO: valores inválidos",IF(COUNTIFS($A$5:$A$1200,A687,$B$5:$B$1200,B687,$C$5:$C$1200,C687,$D$5:$D$1200,D687)&gt;1,"ERRO: chave duplicada","OK")))</f>
        <v/>
      </c>
    </row>
    <row r="688" ht="15" customHeight="1" s="131">
      <c r="A688" s="320" t="n"/>
      <c r="B688" s="323" t="n"/>
      <c r="C688" s="320" t="n"/>
      <c r="D688" s="326" t="n"/>
      <c r="E688" s="324" t="n"/>
      <c r="F688" s="320" t="n"/>
      <c r="G688" s="327" t="n"/>
      <c r="H688" s="271" t="n"/>
      <c r="I688" s="275">
        <f>IF(COUNTA(A688:F688)=0,"",IF(OR(E688&lt;0,F688&lt;0,F688&gt;10),"ERRO: valores inválidos",IF(COUNTIFS($A$5:$A$1200,A688,$B$5:$B$1200,B688,$C$5:$C$1200,C688,$D$5:$D$1200,D688)&gt;1,"ERRO: chave duplicada","OK")))</f>
        <v/>
      </c>
    </row>
    <row r="689" ht="15" customHeight="1" s="131">
      <c r="A689" s="320" t="n"/>
      <c r="B689" s="323" t="n"/>
      <c r="C689" s="320" t="n"/>
      <c r="D689" s="326" t="n"/>
      <c r="E689" s="324" t="n"/>
      <c r="F689" s="320" t="n"/>
      <c r="G689" s="327" t="n"/>
      <c r="H689" s="271" t="n"/>
      <c r="I689" s="275">
        <f>IF(COUNTA(A689:F689)=0,"",IF(OR(E689&lt;0,F689&lt;0,F689&gt;10),"ERRO: valores inválidos",IF(COUNTIFS($A$5:$A$1200,A689,$B$5:$B$1200,B689,$C$5:$C$1200,C689,$D$5:$D$1200,D689)&gt;1,"ERRO: chave duplicada","OK")))</f>
        <v/>
      </c>
    </row>
    <row r="690" ht="15" customHeight="1" s="131">
      <c r="A690" s="320" t="n"/>
      <c r="B690" s="323" t="n"/>
      <c r="C690" s="320" t="n"/>
      <c r="D690" s="326" t="n"/>
      <c r="E690" s="324" t="n"/>
      <c r="F690" s="320" t="n"/>
      <c r="G690" s="327" t="n"/>
      <c r="H690" s="271" t="n"/>
      <c r="I690" s="275">
        <f>IF(COUNTA(A690:F690)=0,"",IF(OR(E690&lt;0,F690&lt;0,F690&gt;10),"ERRO: valores inválidos",IF(COUNTIFS($A$5:$A$1200,A690,$B$5:$B$1200,B690,$C$5:$C$1200,C690,$D$5:$D$1200,D690)&gt;1,"ERRO: chave duplicada","OK")))</f>
        <v/>
      </c>
    </row>
    <row r="691" ht="15" customHeight="1" s="131">
      <c r="A691" s="320" t="n"/>
      <c r="B691" s="323" t="n"/>
      <c r="C691" s="320" t="n"/>
      <c r="D691" s="326" t="n"/>
      <c r="E691" s="324" t="n"/>
      <c r="F691" s="320" t="n"/>
      <c r="G691" s="327" t="n"/>
      <c r="H691" s="271" t="n"/>
      <c r="I691" s="275">
        <f>IF(COUNTA(A691:F691)=0,"",IF(OR(E691&lt;0,F691&lt;0,F691&gt;10),"ERRO: valores inválidos",IF(COUNTIFS($A$5:$A$1200,A691,$B$5:$B$1200,B691,$C$5:$C$1200,C691,$D$5:$D$1200,D691)&gt;1,"ERRO: chave duplicada","OK")))</f>
        <v/>
      </c>
    </row>
    <row r="692" ht="15" customHeight="1" s="131">
      <c r="A692" s="320" t="n"/>
      <c r="B692" s="323" t="n"/>
      <c r="C692" s="320" t="n"/>
      <c r="D692" s="326" t="n"/>
      <c r="E692" s="324" t="n"/>
      <c r="F692" s="320" t="n"/>
      <c r="G692" s="327" t="n"/>
      <c r="H692" s="271" t="n"/>
      <c r="I692" s="275">
        <f>IF(COUNTA(A692:F692)=0,"",IF(OR(E692&lt;0,F692&lt;0,F692&gt;10),"ERRO: valores inválidos",IF(COUNTIFS($A$5:$A$1200,A692,$B$5:$B$1200,B692,$C$5:$C$1200,C692,$D$5:$D$1200,D692)&gt;1,"ERRO: chave duplicada","OK")))</f>
        <v/>
      </c>
    </row>
    <row r="693" ht="15" customHeight="1" s="131">
      <c r="A693" s="320" t="n"/>
      <c r="B693" s="323" t="n"/>
      <c r="C693" s="320" t="n"/>
      <c r="D693" s="326" t="n"/>
      <c r="E693" s="324" t="n"/>
      <c r="F693" s="320" t="n"/>
      <c r="G693" s="327" t="n"/>
      <c r="H693" s="271" t="n"/>
      <c r="I693" s="275">
        <f>IF(COUNTA(A693:F693)=0,"",IF(OR(E693&lt;0,F693&lt;0,F693&gt;10),"ERRO: valores inválidos",IF(COUNTIFS($A$5:$A$1200,A693,$B$5:$B$1200,B693,$C$5:$C$1200,C693,$D$5:$D$1200,D693)&gt;1,"ERRO: chave duplicada","OK")))</f>
        <v/>
      </c>
    </row>
    <row r="694" ht="15" customHeight="1" s="131">
      <c r="A694" s="320" t="n"/>
      <c r="B694" s="323" t="n"/>
      <c r="C694" s="320" t="n"/>
      <c r="D694" s="326" t="n"/>
      <c r="E694" s="324" t="n"/>
      <c r="F694" s="320" t="n"/>
      <c r="G694" s="327" t="n"/>
      <c r="H694" s="271" t="n"/>
      <c r="I694" s="275">
        <f>IF(COUNTA(A694:F694)=0,"",IF(OR(E694&lt;0,F694&lt;0,F694&gt;10),"ERRO: valores inválidos",IF(COUNTIFS($A$5:$A$1200,A694,$B$5:$B$1200,B694,$C$5:$C$1200,C694,$D$5:$D$1200,D694)&gt;1,"ERRO: chave duplicada","OK")))</f>
        <v/>
      </c>
    </row>
    <row r="695" ht="15" customHeight="1" s="131">
      <c r="A695" s="320" t="n"/>
      <c r="B695" s="323" t="n"/>
      <c r="C695" s="320" t="n"/>
      <c r="D695" s="326" t="n"/>
      <c r="E695" s="324" t="n"/>
      <c r="F695" s="320" t="n"/>
      <c r="G695" s="327" t="n"/>
      <c r="H695" s="271" t="n"/>
      <c r="I695" s="275">
        <f>IF(COUNTA(A695:F695)=0,"",IF(OR(E695&lt;0,F695&lt;0,F695&gt;10),"ERRO: valores inválidos",IF(COUNTIFS($A$5:$A$1200,A695,$B$5:$B$1200,B695,$C$5:$C$1200,C695,$D$5:$D$1200,D695)&gt;1,"ERRO: chave duplicada","OK")))</f>
        <v/>
      </c>
    </row>
    <row r="696" ht="15" customHeight="1" s="131">
      <c r="A696" s="320" t="n"/>
      <c r="B696" s="323" t="n"/>
      <c r="C696" s="320" t="n"/>
      <c r="D696" s="326" t="n"/>
      <c r="E696" s="324" t="n"/>
      <c r="F696" s="320" t="n"/>
      <c r="G696" s="327" t="n"/>
      <c r="H696" s="271" t="n"/>
      <c r="I696" s="275">
        <f>IF(COUNTA(A696:F696)=0,"",IF(OR(E696&lt;0,F696&lt;0,F696&gt;10),"ERRO: valores inválidos",IF(COUNTIFS($A$5:$A$1200,A696,$B$5:$B$1200,B696,$C$5:$C$1200,C696,$D$5:$D$1200,D696)&gt;1,"ERRO: chave duplicada","OK")))</f>
        <v/>
      </c>
    </row>
    <row r="697" ht="15" customHeight="1" s="131">
      <c r="A697" s="320" t="n"/>
      <c r="B697" s="323" t="n"/>
      <c r="C697" s="320" t="n"/>
      <c r="D697" s="326" t="n"/>
      <c r="E697" s="324" t="n"/>
      <c r="F697" s="320" t="n"/>
      <c r="G697" s="327" t="n"/>
      <c r="H697" s="271" t="n"/>
      <c r="I697" s="275">
        <f>IF(COUNTA(A697:F697)=0,"",IF(OR(E697&lt;0,F697&lt;0,F697&gt;10),"ERRO: valores inválidos",IF(COUNTIFS($A$5:$A$1200,A697,$B$5:$B$1200,B697,$C$5:$C$1200,C697,$D$5:$D$1200,D697)&gt;1,"ERRO: chave duplicada","OK")))</f>
        <v/>
      </c>
    </row>
    <row r="698" ht="15" customHeight="1" s="131">
      <c r="A698" s="320" t="n"/>
      <c r="B698" s="323" t="n"/>
      <c r="C698" s="320" t="n"/>
      <c r="D698" s="326" t="n"/>
      <c r="E698" s="324" t="n"/>
      <c r="F698" s="320" t="n"/>
      <c r="G698" s="327" t="n"/>
      <c r="H698" s="271" t="n"/>
      <c r="I698" s="275">
        <f>IF(COUNTA(A698:F698)=0,"",IF(OR(E698&lt;0,F698&lt;0,F698&gt;10),"ERRO: valores inválidos",IF(COUNTIFS($A$5:$A$1200,A698,$B$5:$B$1200,B698,$C$5:$C$1200,C698,$D$5:$D$1200,D698)&gt;1,"ERRO: chave duplicada","OK")))</f>
        <v/>
      </c>
    </row>
    <row r="699" ht="15" customHeight="1" s="131">
      <c r="A699" s="320" t="n"/>
      <c r="B699" s="323" t="n"/>
      <c r="C699" s="320" t="n"/>
      <c r="D699" s="326" t="n"/>
      <c r="E699" s="324" t="n"/>
      <c r="F699" s="320" t="n"/>
      <c r="G699" s="327" t="n"/>
      <c r="H699" s="271" t="n"/>
      <c r="I699" s="275">
        <f>IF(COUNTA(A699:F699)=0,"",IF(OR(E699&lt;0,F699&lt;0,F699&gt;10),"ERRO: valores inválidos",IF(COUNTIFS($A$5:$A$1200,A699,$B$5:$B$1200,B699,$C$5:$C$1200,C699,$D$5:$D$1200,D699)&gt;1,"ERRO: chave duplicada","OK")))</f>
        <v/>
      </c>
    </row>
    <row r="700" ht="15" customHeight="1" s="131">
      <c r="A700" s="320" t="n"/>
      <c r="B700" s="323" t="n"/>
      <c r="C700" s="320" t="n"/>
      <c r="D700" s="326" t="n"/>
      <c r="E700" s="324" t="n"/>
      <c r="F700" s="320" t="n"/>
      <c r="G700" s="327" t="n"/>
      <c r="H700" s="271" t="n"/>
      <c r="I700" s="275">
        <f>IF(COUNTA(A700:F700)=0,"",IF(OR(E700&lt;0,F700&lt;0,F700&gt;10),"ERRO: valores inválidos",IF(COUNTIFS($A$5:$A$1200,A700,$B$5:$B$1200,B700,$C$5:$C$1200,C700,$D$5:$D$1200,D700)&gt;1,"ERRO: chave duplicada","OK")))</f>
        <v/>
      </c>
    </row>
    <row r="701" ht="15" customHeight="1" s="131">
      <c r="A701" s="320" t="n"/>
      <c r="B701" s="323" t="n"/>
      <c r="C701" s="320" t="n"/>
      <c r="D701" s="326" t="n"/>
      <c r="E701" s="324" t="n"/>
      <c r="F701" s="320" t="n"/>
      <c r="G701" s="327" t="n"/>
      <c r="H701" s="271" t="n"/>
      <c r="I701" s="275">
        <f>IF(COUNTA(A701:F701)=0,"",IF(OR(E701&lt;0,F701&lt;0,F701&gt;10),"ERRO: valores inválidos",IF(COUNTIFS($A$5:$A$1200,A701,$B$5:$B$1200,B701,$C$5:$C$1200,C701,$D$5:$D$1200,D701)&gt;1,"ERRO: chave duplicada","OK")))</f>
        <v/>
      </c>
    </row>
    <row r="702" ht="15" customHeight="1" s="131">
      <c r="A702" s="320" t="n"/>
      <c r="B702" s="323" t="n"/>
      <c r="C702" s="320" t="n"/>
      <c r="D702" s="326" t="n"/>
      <c r="E702" s="324" t="n"/>
      <c r="F702" s="320" t="n"/>
      <c r="G702" s="327" t="n"/>
      <c r="H702" s="271" t="n"/>
      <c r="I702" s="275">
        <f>IF(COUNTA(A702:F702)=0,"",IF(OR(E702&lt;0,F702&lt;0,F702&gt;10),"ERRO: valores inválidos",IF(COUNTIFS($A$5:$A$1200,A702,$B$5:$B$1200,B702,$C$5:$C$1200,C702,$D$5:$D$1200,D702)&gt;1,"ERRO: chave duplicada","OK")))</f>
        <v/>
      </c>
    </row>
    <row r="703" ht="15" customHeight="1" s="131">
      <c r="A703" s="320" t="n"/>
      <c r="B703" s="323" t="n"/>
      <c r="C703" s="320" t="n"/>
      <c r="D703" s="326" t="n"/>
      <c r="E703" s="324" t="n"/>
      <c r="F703" s="320" t="n"/>
      <c r="G703" s="327" t="n"/>
      <c r="H703" s="271" t="n"/>
      <c r="I703" s="275">
        <f>IF(COUNTA(A703:F703)=0,"",IF(OR(E703&lt;0,F703&lt;0,F703&gt;10),"ERRO: valores inválidos",IF(COUNTIFS($A$5:$A$1200,A703,$B$5:$B$1200,B703,$C$5:$C$1200,C703,$D$5:$D$1200,D703)&gt;1,"ERRO: chave duplicada","OK")))</f>
        <v/>
      </c>
    </row>
    <row r="704" ht="15" customHeight="1" s="131">
      <c r="A704" s="320" t="n"/>
      <c r="B704" s="323" t="n"/>
      <c r="C704" s="320" t="n"/>
      <c r="D704" s="326" t="n"/>
      <c r="E704" s="324" t="n"/>
      <c r="F704" s="320" t="n"/>
      <c r="G704" s="327" t="n"/>
      <c r="H704" s="271" t="n"/>
      <c r="I704" s="275">
        <f>IF(COUNTA(A704:F704)=0,"",IF(OR(E704&lt;0,F704&lt;0,F704&gt;10),"ERRO: valores inválidos",IF(COUNTIFS($A$5:$A$1200,A704,$B$5:$B$1200,B704,$C$5:$C$1200,C704,$D$5:$D$1200,D704)&gt;1,"ERRO: chave duplicada","OK")))</f>
        <v/>
      </c>
    </row>
    <row r="705" ht="15" customHeight="1" s="131">
      <c r="A705" s="320" t="n"/>
      <c r="B705" s="323" t="n"/>
      <c r="C705" s="320" t="n"/>
      <c r="D705" s="326" t="n"/>
      <c r="E705" s="324" t="n"/>
      <c r="F705" s="320" t="n"/>
      <c r="G705" s="327" t="n"/>
      <c r="H705" s="271" t="n"/>
      <c r="I705" s="275">
        <f>IF(COUNTA(A705:F705)=0,"",IF(OR(E705&lt;0,F705&lt;0,F705&gt;10),"ERRO: valores inválidos",IF(COUNTIFS($A$5:$A$1200,A705,$B$5:$B$1200,B705,$C$5:$C$1200,C705,$D$5:$D$1200,D705)&gt;1,"ERRO: chave duplicada","OK")))</f>
        <v/>
      </c>
    </row>
    <row r="706" ht="15" customHeight="1" s="131">
      <c r="A706" s="320" t="n"/>
      <c r="B706" s="323" t="n"/>
      <c r="C706" s="320" t="n"/>
      <c r="D706" s="326" t="n"/>
      <c r="E706" s="324" t="n"/>
      <c r="F706" s="320" t="n"/>
      <c r="G706" s="327" t="n"/>
      <c r="H706" s="271" t="n"/>
      <c r="I706" s="275">
        <f>IF(COUNTA(A706:F706)=0,"",IF(OR(E706&lt;0,F706&lt;0,F706&gt;10),"ERRO: valores inválidos",IF(COUNTIFS($A$5:$A$1200,A706,$B$5:$B$1200,B706,$C$5:$C$1200,C706,$D$5:$D$1200,D706)&gt;1,"ERRO: chave duplicada","OK")))</f>
        <v/>
      </c>
    </row>
    <row r="707" ht="15" customHeight="1" s="131">
      <c r="A707" s="320" t="n"/>
      <c r="B707" s="323" t="n"/>
      <c r="C707" s="320" t="n"/>
      <c r="D707" s="326" t="n"/>
      <c r="E707" s="324" t="n"/>
      <c r="F707" s="320" t="n"/>
      <c r="G707" s="327" t="n"/>
      <c r="H707" s="271" t="n"/>
      <c r="I707" s="275">
        <f>IF(COUNTA(A707:F707)=0,"",IF(OR(E707&lt;0,F707&lt;0,F707&gt;10),"ERRO: valores inválidos",IF(COUNTIFS($A$5:$A$1200,A707,$B$5:$B$1200,B707,$C$5:$C$1200,C707,$D$5:$D$1200,D707)&gt;1,"ERRO: chave duplicada","OK")))</f>
        <v/>
      </c>
    </row>
    <row r="708" ht="15" customHeight="1" s="131">
      <c r="A708" s="320" t="n"/>
      <c r="B708" s="323" t="n"/>
      <c r="C708" s="320" t="n"/>
      <c r="D708" s="326" t="n"/>
      <c r="E708" s="324" t="n"/>
      <c r="F708" s="320" t="n"/>
      <c r="G708" s="327" t="n"/>
      <c r="H708" s="271" t="n"/>
      <c r="I708" s="275">
        <f>IF(COUNTA(A708:F708)=0,"",IF(OR(E708&lt;0,F708&lt;0,F708&gt;10),"ERRO: valores inválidos",IF(COUNTIFS($A$5:$A$1200,A708,$B$5:$B$1200,B708,$C$5:$C$1200,C708,$D$5:$D$1200,D708)&gt;1,"ERRO: chave duplicada","OK")))</f>
        <v/>
      </c>
    </row>
    <row r="709" ht="15" customHeight="1" s="131">
      <c r="A709" s="320" t="n"/>
      <c r="B709" s="323" t="n"/>
      <c r="C709" s="320" t="n"/>
      <c r="D709" s="326" t="n"/>
      <c r="E709" s="324" t="n"/>
      <c r="F709" s="320" t="n"/>
      <c r="G709" s="327" t="n"/>
      <c r="H709" s="271" t="n"/>
      <c r="I709" s="275">
        <f>IF(COUNTA(A709:F709)=0,"",IF(OR(E709&lt;0,F709&lt;0,F709&gt;10),"ERRO: valores inválidos",IF(COUNTIFS($A$5:$A$1200,A709,$B$5:$B$1200,B709,$C$5:$C$1200,C709,$D$5:$D$1200,D709)&gt;1,"ERRO: chave duplicada","OK")))</f>
        <v/>
      </c>
    </row>
    <row r="710" ht="15" customHeight="1" s="131">
      <c r="A710" s="320" t="n"/>
      <c r="B710" s="323" t="n"/>
      <c r="C710" s="320" t="n"/>
      <c r="D710" s="326" t="n"/>
      <c r="E710" s="324" t="n"/>
      <c r="F710" s="320" t="n"/>
      <c r="G710" s="327" t="n"/>
      <c r="H710" s="271" t="n"/>
      <c r="I710" s="275">
        <f>IF(COUNTA(A710:F710)=0,"",IF(OR(E710&lt;0,F710&lt;0,F710&gt;10),"ERRO: valores inválidos",IF(COUNTIFS($A$5:$A$1200,A710,$B$5:$B$1200,B710,$C$5:$C$1200,C710,$D$5:$D$1200,D710)&gt;1,"ERRO: chave duplicada","OK")))</f>
        <v/>
      </c>
    </row>
    <row r="711" ht="15" customHeight="1" s="131">
      <c r="A711" s="320" t="n"/>
      <c r="B711" s="323" t="n"/>
      <c r="C711" s="320" t="n"/>
      <c r="D711" s="326" t="n"/>
      <c r="E711" s="324" t="n"/>
      <c r="F711" s="320" t="n"/>
      <c r="G711" s="327" t="n"/>
      <c r="H711" s="271" t="n"/>
      <c r="I711" s="275">
        <f>IF(COUNTA(A711:F711)=0,"",IF(OR(E711&lt;0,F711&lt;0,F711&gt;10),"ERRO: valores inválidos",IF(COUNTIFS($A$5:$A$1200,A711,$B$5:$B$1200,B711,$C$5:$C$1200,C711,$D$5:$D$1200,D711)&gt;1,"ERRO: chave duplicada","OK")))</f>
        <v/>
      </c>
    </row>
    <row r="712" ht="15" customHeight="1" s="131">
      <c r="A712" s="320" t="n"/>
      <c r="B712" s="323" t="n"/>
      <c r="C712" s="320" t="n"/>
      <c r="D712" s="326" t="n"/>
      <c r="E712" s="324" t="n"/>
      <c r="F712" s="320" t="n"/>
      <c r="G712" s="327" t="n"/>
      <c r="H712" s="271" t="n"/>
      <c r="I712" s="275">
        <f>IF(COUNTA(A712:F712)=0,"",IF(OR(E712&lt;0,F712&lt;0,F712&gt;10),"ERRO: valores inválidos",IF(COUNTIFS($A$5:$A$1200,A712,$B$5:$B$1200,B712,$C$5:$C$1200,C712,$D$5:$D$1200,D712)&gt;1,"ERRO: chave duplicada","OK")))</f>
        <v/>
      </c>
    </row>
    <row r="713" ht="15" customHeight="1" s="131">
      <c r="A713" s="320" t="n"/>
      <c r="B713" s="323" t="n"/>
      <c r="C713" s="320" t="n"/>
      <c r="D713" s="326" t="n"/>
      <c r="E713" s="324" t="n"/>
      <c r="F713" s="320" t="n"/>
      <c r="G713" s="327" t="n"/>
      <c r="H713" s="271" t="n"/>
      <c r="I713" s="275">
        <f>IF(COUNTA(A713:F713)=0,"",IF(OR(E713&lt;0,F713&lt;0,F713&gt;10),"ERRO: valores inválidos",IF(COUNTIFS($A$5:$A$1200,A713,$B$5:$B$1200,B713,$C$5:$C$1200,C713,$D$5:$D$1200,D713)&gt;1,"ERRO: chave duplicada","OK")))</f>
        <v/>
      </c>
    </row>
    <row r="714" ht="15" customHeight="1" s="131">
      <c r="A714" s="320" t="n"/>
      <c r="B714" s="323" t="n"/>
      <c r="C714" s="320" t="n"/>
      <c r="D714" s="326" t="n"/>
      <c r="E714" s="324" t="n"/>
      <c r="F714" s="320" t="n"/>
      <c r="G714" s="327" t="n"/>
      <c r="H714" s="271" t="n"/>
      <c r="I714" s="275">
        <f>IF(COUNTA(A714:F714)=0,"",IF(OR(E714&lt;0,F714&lt;0,F714&gt;10),"ERRO: valores inválidos",IF(COUNTIFS($A$5:$A$1200,A714,$B$5:$B$1200,B714,$C$5:$C$1200,C714,$D$5:$D$1200,D714)&gt;1,"ERRO: chave duplicada","OK")))</f>
        <v/>
      </c>
    </row>
    <row r="715" ht="15" customHeight="1" s="131">
      <c r="A715" s="320" t="n"/>
      <c r="B715" s="323" t="n"/>
      <c r="C715" s="320" t="n"/>
      <c r="D715" s="326" t="n"/>
      <c r="E715" s="324" t="n"/>
      <c r="F715" s="320" t="n"/>
      <c r="G715" s="327" t="n"/>
      <c r="H715" s="271" t="n"/>
      <c r="I715" s="275">
        <f>IF(COUNTA(A715:F715)=0,"",IF(OR(E715&lt;0,F715&lt;0,F715&gt;10),"ERRO: valores inválidos",IF(COUNTIFS($A$5:$A$1200,A715,$B$5:$B$1200,B715,$C$5:$C$1200,C715,$D$5:$D$1200,D715)&gt;1,"ERRO: chave duplicada","OK")))</f>
        <v/>
      </c>
    </row>
    <row r="716" ht="15" customHeight="1" s="131">
      <c r="A716" s="320" t="n"/>
      <c r="B716" s="323" t="n"/>
      <c r="C716" s="320" t="n"/>
      <c r="D716" s="326" t="n"/>
      <c r="E716" s="324" t="n"/>
      <c r="F716" s="320" t="n"/>
      <c r="G716" s="327" t="n"/>
      <c r="H716" s="271" t="n"/>
      <c r="I716" s="275">
        <f>IF(COUNTA(A716:F716)=0,"",IF(OR(E716&lt;0,F716&lt;0,F716&gt;10),"ERRO: valores inválidos",IF(COUNTIFS($A$5:$A$1200,A716,$B$5:$B$1200,B716,$C$5:$C$1200,C716,$D$5:$D$1200,D716)&gt;1,"ERRO: chave duplicada","OK")))</f>
        <v/>
      </c>
    </row>
    <row r="717" ht="15" customHeight="1" s="131">
      <c r="A717" s="320" t="n"/>
      <c r="B717" s="323" t="n"/>
      <c r="C717" s="320" t="n"/>
      <c r="D717" s="326" t="n"/>
      <c r="E717" s="324" t="n"/>
      <c r="F717" s="320" t="n"/>
      <c r="G717" s="327" t="n"/>
      <c r="H717" s="271" t="n"/>
      <c r="I717" s="275">
        <f>IF(COUNTA(A717:F717)=0,"",IF(OR(E717&lt;0,F717&lt;0,F717&gt;10),"ERRO: valores inválidos",IF(COUNTIFS($A$5:$A$1200,A717,$B$5:$B$1200,B717,$C$5:$C$1200,C717,$D$5:$D$1200,D717)&gt;1,"ERRO: chave duplicada","OK")))</f>
        <v/>
      </c>
    </row>
    <row r="718" ht="15" customHeight="1" s="131">
      <c r="A718" s="320" t="n"/>
      <c r="B718" s="323" t="n"/>
      <c r="C718" s="320" t="n"/>
      <c r="D718" s="326" t="n"/>
      <c r="E718" s="324" t="n"/>
      <c r="F718" s="320" t="n"/>
      <c r="G718" s="327" t="n"/>
      <c r="H718" s="271" t="n"/>
      <c r="I718" s="275">
        <f>IF(COUNTA(A718:F718)=0,"",IF(OR(E718&lt;0,F718&lt;0,F718&gt;10),"ERRO: valores inválidos",IF(COUNTIFS($A$5:$A$1200,A718,$B$5:$B$1200,B718,$C$5:$C$1200,C718,$D$5:$D$1200,D718)&gt;1,"ERRO: chave duplicada","OK")))</f>
        <v/>
      </c>
    </row>
    <row r="719" ht="15" customHeight="1" s="131">
      <c r="A719" s="320" t="n"/>
      <c r="B719" s="323" t="n"/>
      <c r="C719" s="320" t="n"/>
      <c r="D719" s="326" t="n"/>
      <c r="E719" s="324" t="n"/>
      <c r="F719" s="320" t="n"/>
      <c r="G719" s="327" t="n"/>
      <c r="H719" s="271" t="n"/>
      <c r="I719" s="275">
        <f>IF(COUNTA(A719:F719)=0,"",IF(OR(E719&lt;0,F719&lt;0,F719&gt;10),"ERRO: valores inválidos",IF(COUNTIFS($A$5:$A$1200,A719,$B$5:$B$1200,B719,$C$5:$C$1200,C719,$D$5:$D$1200,D719)&gt;1,"ERRO: chave duplicada","OK")))</f>
        <v/>
      </c>
    </row>
    <row r="720" ht="15" customHeight="1" s="131">
      <c r="A720" s="320" t="n"/>
      <c r="B720" s="323" t="n"/>
      <c r="C720" s="320" t="n"/>
      <c r="D720" s="326" t="n"/>
      <c r="E720" s="324" t="n"/>
      <c r="F720" s="320" t="n"/>
      <c r="G720" s="327" t="n"/>
      <c r="H720" s="271" t="n"/>
      <c r="I720" s="275">
        <f>IF(COUNTA(A720:F720)=0,"",IF(OR(E720&lt;0,F720&lt;0,F720&gt;10),"ERRO: valores inválidos",IF(COUNTIFS($A$5:$A$1200,A720,$B$5:$B$1200,B720,$C$5:$C$1200,C720,$D$5:$D$1200,D720)&gt;1,"ERRO: chave duplicada","OK")))</f>
        <v/>
      </c>
    </row>
    <row r="721" ht="15" customHeight="1" s="131">
      <c r="A721" s="320" t="n"/>
      <c r="B721" s="323" t="n"/>
      <c r="C721" s="320" t="n"/>
      <c r="D721" s="326" t="n"/>
      <c r="E721" s="324" t="n"/>
      <c r="F721" s="320" t="n"/>
      <c r="G721" s="327" t="n"/>
      <c r="H721" s="271" t="n"/>
      <c r="I721" s="275">
        <f>IF(COUNTA(A721:F721)=0,"",IF(OR(E721&lt;0,F721&lt;0,F721&gt;10),"ERRO: valores inválidos",IF(COUNTIFS($A$5:$A$1200,A721,$B$5:$B$1200,B721,$C$5:$C$1200,C721,$D$5:$D$1200,D721)&gt;1,"ERRO: chave duplicada","OK")))</f>
        <v/>
      </c>
    </row>
    <row r="722" ht="15" customHeight="1" s="131">
      <c r="A722" s="320" t="n"/>
      <c r="B722" s="323" t="n"/>
      <c r="C722" s="320" t="n"/>
      <c r="D722" s="326" t="n"/>
      <c r="E722" s="324" t="n"/>
      <c r="F722" s="320" t="n"/>
      <c r="G722" s="327" t="n"/>
      <c r="H722" s="271" t="n"/>
      <c r="I722" s="275">
        <f>IF(COUNTA(A722:F722)=0,"",IF(OR(E722&lt;0,F722&lt;0,F722&gt;10),"ERRO: valores inválidos",IF(COUNTIFS($A$5:$A$1200,A722,$B$5:$B$1200,B722,$C$5:$C$1200,C722,$D$5:$D$1200,D722)&gt;1,"ERRO: chave duplicada","OK")))</f>
        <v/>
      </c>
    </row>
    <row r="723" ht="15" customHeight="1" s="131">
      <c r="A723" s="320" t="n"/>
      <c r="B723" s="323" t="n"/>
      <c r="C723" s="320" t="n"/>
      <c r="D723" s="326" t="n"/>
      <c r="E723" s="324" t="n"/>
      <c r="F723" s="320" t="n"/>
      <c r="G723" s="327" t="n"/>
      <c r="H723" s="271" t="n"/>
      <c r="I723" s="275">
        <f>IF(COUNTA(A723:F723)=0,"",IF(OR(E723&lt;0,F723&lt;0,F723&gt;10),"ERRO: valores inválidos",IF(COUNTIFS($A$5:$A$1200,A723,$B$5:$B$1200,B723,$C$5:$C$1200,C723,$D$5:$D$1200,D723)&gt;1,"ERRO: chave duplicada","OK")))</f>
        <v/>
      </c>
    </row>
    <row r="724" ht="15" customHeight="1" s="131">
      <c r="A724" s="320" t="n"/>
      <c r="B724" s="323" t="n"/>
      <c r="C724" s="320" t="n"/>
      <c r="D724" s="326" t="n"/>
      <c r="E724" s="324" t="n"/>
      <c r="F724" s="320" t="n"/>
      <c r="G724" s="327" t="n"/>
      <c r="H724" s="271" t="n"/>
      <c r="I724" s="275">
        <f>IF(COUNTA(A724:F724)=0,"",IF(OR(E724&lt;0,F724&lt;0,F724&gt;10),"ERRO: valores inválidos",IF(COUNTIFS($A$5:$A$1200,A724,$B$5:$B$1200,B724,$C$5:$C$1200,C724,$D$5:$D$1200,D724)&gt;1,"ERRO: chave duplicada","OK")))</f>
        <v/>
      </c>
    </row>
    <row r="725" ht="15" customHeight="1" s="131">
      <c r="A725" s="320" t="n"/>
      <c r="B725" s="323" t="n"/>
      <c r="C725" s="320" t="n"/>
      <c r="D725" s="326" t="n"/>
      <c r="E725" s="324" t="n"/>
      <c r="F725" s="320" t="n"/>
      <c r="G725" s="327" t="n"/>
      <c r="H725" s="271" t="n"/>
      <c r="I725" s="275">
        <f>IF(COUNTA(A725:F725)=0,"",IF(OR(E725&lt;0,F725&lt;0,F725&gt;10),"ERRO: valores inválidos",IF(COUNTIFS($A$5:$A$1200,A725,$B$5:$B$1200,B725,$C$5:$C$1200,C725,$D$5:$D$1200,D725)&gt;1,"ERRO: chave duplicada","OK")))</f>
        <v/>
      </c>
    </row>
    <row r="726" ht="15" customHeight="1" s="131">
      <c r="A726" s="320" t="n"/>
      <c r="B726" s="323" t="n"/>
      <c r="C726" s="320" t="n"/>
      <c r="D726" s="326" t="n"/>
      <c r="E726" s="324" t="n"/>
      <c r="F726" s="320" t="n"/>
      <c r="G726" s="327" t="n"/>
      <c r="H726" s="271" t="n"/>
      <c r="I726" s="275">
        <f>IF(COUNTA(A726:F726)=0,"",IF(OR(E726&lt;0,F726&lt;0,F726&gt;10),"ERRO: valores inválidos",IF(COUNTIFS($A$5:$A$1200,A726,$B$5:$B$1200,B726,$C$5:$C$1200,C726,$D$5:$D$1200,D726)&gt;1,"ERRO: chave duplicada","OK")))</f>
        <v/>
      </c>
    </row>
    <row r="727" ht="15" customHeight="1" s="131">
      <c r="A727" s="320" t="n"/>
      <c r="B727" s="323" t="n"/>
      <c r="C727" s="320" t="n"/>
      <c r="D727" s="326" t="n"/>
      <c r="E727" s="324" t="n"/>
      <c r="F727" s="320" t="n"/>
      <c r="G727" s="327" t="n"/>
      <c r="H727" s="271" t="n"/>
      <c r="I727" s="275">
        <f>IF(COUNTA(A727:F727)=0,"",IF(OR(E727&lt;0,F727&lt;0,F727&gt;10),"ERRO: valores inválidos",IF(COUNTIFS($A$5:$A$1200,A727,$B$5:$B$1200,B727,$C$5:$C$1200,C727,$D$5:$D$1200,D727)&gt;1,"ERRO: chave duplicada","OK")))</f>
        <v/>
      </c>
    </row>
    <row r="728" ht="15" customHeight="1" s="131">
      <c r="A728" s="320" t="n"/>
      <c r="B728" s="323" t="n"/>
      <c r="C728" s="320" t="n"/>
      <c r="D728" s="326" t="n"/>
      <c r="E728" s="324" t="n"/>
      <c r="F728" s="320" t="n"/>
      <c r="G728" s="327" t="n"/>
      <c r="H728" s="271" t="n"/>
      <c r="I728" s="275">
        <f>IF(COUNTA(A728:F728)=0,"",IF(OR(E728&lt;0,F728&lt;0,F728&gt;10),"ERRO: valores inválidos",IF(COUNTIFS($A$5:$A$1200,A728,$B$5:$B$1200,B728,$C$5:$C$1200,C728,$D$5:$D$1200,D728)&gt;1,"ERRO: chave duplicada","OK")))</f>
        <v/>
      </c>
    </row>
    <row r="729" ht="15" customHeight="1" s="131">
      <c r="A729" s="320" t="n"/>
      <c r="B729" s="323" t="n"/>
      <c r="C729" s="320" t="n"/>
      <c r="D729" s="326" t="n"/>
      <c r="E729" s="324" t="n"/>
      <c r="F729" s="320" t="n"/>
      <c r="G729" s="327" t="n"/>
      <c r="H729" s="271" t="n"/>
      <c r="I729" s="275">
        <f>IF(COUNTA(A729:F729)=0,"",IF(OR(E729&lt;0,F729&lt;0,F729&gt;10),"ERRO: valores inválidos",IF(COUNTIFS($A$5:$A$1200,A729,$B$5:$B$1200,B729,$C$5:$C$1200,C729,$D$5:$D$1200,D729)&gt;1,"ERRO: chave duplicada","OK")))</f>
        <v/>
      </c>
    </row>
    <row r="730" ht="15" customHeight="1" s="131">
      <c r="A730" s="320" t="n"/>
      <c r="B730" s="323" t="n"/>
      <c r="C730" s="320" t="n"/>
      <c r="D730" s="326" t="n"/>
      <c r="E730" s="324" t="n"/>
      <c r="F730" s="320" t="n"/>
      <c r="G730" s="327" t="n"/>
      <c r="H730" s="271" t="n"/>
      <c r="I730" s="275">
        <f>IF(COUNTA(A730:F730)=0,"",IF(OR(E730&lt;0,F730&lt;0,F730&gt;10),"ERRO: valores inválidos",IF(COUNTIFS($A$5:$A$1200,A730,$B$5:$B$1200,B730,$C$5:$C$1200,C730,$D$5:$D$1200,D730)&gt;1,"ERRO: chave duplicada","OK")))</f>
        <v/>
      </c>
    </row>
    <row r="731" ht="15" customHeight="1" s="131">
      <c r="A731" s="320" t="n"/>
      <c r="B731" s="323" t="n"/>
      <c r="C731" s="320" t="n"/>
      <c r="D731" s="326" t="n"/>
      <c r="E731" s="324" t="n"/>
      <c r="F731" s="320" t="n"/>
      <c r="G731" s="327" t="n"/>
      <c r="H731" s="271" t="n"/>
      <c r="I731" s="275">
        <f>IF(COUNTA(A731:F731)=0,"",IF(OR(E731&lt;0,F731&lt;0,F731&gt;10),"ERRO: valores inválidos",IF(COUNTIFS($A$5:$A$1200,A731,$B$5:$B$1200,B731,$C$5:$C$1200,C731,$D$5:$D$1200,D731)&gt;1,"ERRO: chave duplicada","OK")))</f>
        <v/>
      </c>
    </row>
    <row r="732" ht="15" customHeight="1" s="131">
      <c r="A732" s="320" t="n"/>
      <c r="B732" s="323" t="n"/>
      <c r="C732" s="320" t="n"/>
      <c r="D732" s="326" t="n"/>
      <c r="E732" s="324" t="n"/>
      <c r="F732" s="320" t="n"/>
      <c r="G732" s="327" t="n"/>
      <c r="H732" s="271" t="n"/>
      <c r="I732" s="275">
        <f>IF(COUNTA(A732:F732)=0,"",IF(OR(E732&lt;0,F732&lt;0,F732&gt;10),"ERRO: valores inválidos",IF(COUNTIFS($A$5:$A$1200,A732,$B$5:$B$1200,B732,$C$5:$C$1200,C732,$D$5:$D$1200,D732)&gt;1,"ERRO: chave duplicada","OK")))</f>
        <v/>
      </c>
    </row>
    <row r="733" ht="15" customHeight="1" s="131">
      <c r="A733" s="320" t="n"/>
      <c r="B733" s="323" t="n"/>
      <c r="C733" s="320" t="n"/>
      <c r="D733" s="326" t="n"/>
      <c r="E733" s="324" t="n"/>
      <c r="F733" s="320" t="n"/>
      <c r="G733" s="327" t="n"/>
      <c r="H733" s="271" t="n"/>
      <c r="I733" s="275">
        <f>IF(COUNTA(A733:F733)=0,"",IF(OR(E733&lt;0,F733&lt;0,F733&gt;10),"ERRO: valores inválidos",IF(COUNTIFS($A$5:$A$1200,A733,$B$5:$B$1200,B733,$C$5:$C$1200,C733,$D$5:$D$1200,D733)&gt;1,"ERRO: chave duplicada","OK")))</f>
        <v/>
      </c>
    </row>
    <row r="734" ht="15" customHeight="1" s="131">
      <c r="A734" s="320" t="n"/>
      <c r="B734" s="323" t="n"/>
      <c r="C734" s="320" t="n"/>
      <c r="D734" s="326" t="n"/>
      <c r="E734" s="324" t="n"/>
      <c r="F734" s="320" t="n"/>
      <c r="G734" s="327" t="n"/>
      <c r="H734" s="271" t="n"/>
      <c r="I734" s="275">
        <f>IF(COUNTA(A734:F734)=0,"",IF(OR(E734&lt;0,F734&lt;0,F734&gt;10),"ERRO: valores inválidos",IF(COUNTIFS($A$5:$A$1200,A734,$B$5:$B$1200,B734,$C$5:$C$1200,C734,$D$5:$D$1200,D734)&gt;1,"ERRO: chave duplicada","OK")))</f>
        <v/>
      </c>
    </row>
    <row r="735" ht="15" customHeight="1" s="131">
      <c r="A735" s="320" t="n"/>
      <c r="B735" s="323" t="n"/>
      <c r="C735" s="320" t="n"/>
      <c r="D735" s="326" t="n"/>
      <c r="E735" s="324" t="n"/>
      <c r="F735" s="320" t="n"/>
      <c r="G735" s="327" t="n"/>
      <c r="H735" s="271" t="n"/>
      <c r="I735" s="275">
        <f>IF(COUNTA(A735:F735)=0,"",IF(OR(E735&lt;0,F735&lt;0,F735&gt;10),"ERRO: valores inválidos",IF(COUNTIFS($A$5:$A$1200,A735,$B$5:$B$1200,B735,$C$5:$C$1200,C735,$D$5:$D$1200,D735)&gt;1,"ERRO: chave duplicada","OK")))</f>
        <v/>
      </c>
    </row>
    <row r="736" ht="15" customHeight="1" s="131">
      <c r="A736" s="320" t="n"/>
      <c r="B736" s="323" t="n"/>
      <c r="C736" s="320" t="n"/>
      <c r="D736" s="326" t="n"/>
      <c r="E736" s="324" t="n"/>
      <c r="F736" s="320" t="n"/>
      <c r="G736" s="327" t="n"/>
      <c r="H736" s="271" t="n"/>
      <c r="I736" s="275">
        <f>IF(COUNTA(A736:F736)=0,"",IF(OR(E736&lt;0,F736&lt;0,F736&gt;10),"ERRO: valores inválidos",IF(COUNTIFS($A$5:$A$1200,A736,$B$5:$B$1200,B736,$C$5:$C$1200,C736,$D$5:$D$1200,D736)&gt;1,"ERRO: chave duplicada","OK")))</f>
        <v/>
      </c>
    </row>
    <row r="737" ht="15" customHeight="1" s="131">
      <c r="A737" s="320" t="n"/>
      <c r="B737" s="323" t="n"/>
      <c r="C737" s="320" t="n"/>
      <c r="D737" s="326" t="n"/>
      <c r="E737" s="324" t="n"/>
      <c r="F737" s="320" t="n"/>
      <c r="G737" s="327" t="n"/>
      <c r="H737" s="271" t="n"/>
      <c r="I737" s="275">
        <f>IF(COUNTA(A737:F737)=0,"",IF(OR(E737&lt;0,F737&lt;0,F737&gt;10),"ERRO: valores inválidos",IF(COUNTIFS($A$5:$A$1200,A737,$B$5:$B$1200,B737,$C$5:$C$1200,C737,$D$5:$D$1200,D737)&gt;1,"ERRO: chave duplicada","OK")))</f>
        <v/>
      </c>
    </row>
    <row r="738" ht="15" customHeight="1" s="131">
      <c r="A738" s="320" t="n"/>
      <c r="B738" s="323" t="n"/>
      <c r="C738" s="320" t="n"/>
      <c r="D738" s="326" t="n"/>
      <c r="E738" s="324" t="n"/>
      <c r="F738" s="320" t="n"/>
      <c r="G738" s="327" t="n"/>
      <c r="H738" s="271" t="n"/>
      <c r="I738" s="275">
        <f>IF(COUNTA(A738:F738)=0,"",IF(OR(E738&lt;0,F738&lt;0,F738&gt;10),"ERRO: valores inválidos",IF(COUNTIFS($A$5:$A$1200,A738,$B$5:$B$1200,B738,$C$5:$C$1200,C738,$D$5:$D$1200,D738)&gt;1,"ERRO: chave duplicada","OK")))</f>
        <v/>
      </c>
    </row>
    <row r="739" ht="15" customHeight="1" s="131">
      <c r="A739" s="320" t="n"/>
      <c r="B739" s="323" t="n"/>
      <c r="C739" s="320" t="n"/>
      <c r="D739" s="326" t="n"/>
      <c r="E739" s="324" t="n"/>
      <c r="F739" s="320" t="n"/>
      <c r="G739" s="327" t="n"/>
      <c r="H739" s="271" t="n"/>
      <c r="I739" s="275">
        <f>IF(COUNTA(A739:F739)=0,"",IF(OR(E739&lt;0,F739&lt;0,F739&gt;10),"ERRO: valores inválidos",IF(COUNTIFS($A$5:$A$1200,A739,$B$5:$B$1200,B739,$C$5:$C$1200,C739,$D$5:$D$1200,D739)&gt;1,"ERRO: chave duplicada","OK")))</f>
        <v/>
      </c>
    </row>
    <row r="740" ht="15" customHeight="1" s="131">
      <c r="A740" s="320" t="n"/>
      <c r="B740" s="323" t="n"/>
      <c r="C740" s="320" t="n"/>
      <c r="D740" s="326" t="n"/>
      <c r="E740" s="324" t="n"/>
      <c r="F740" s="320" t="n"/>
      <c r="G740" s="327" t="n"/>
      <c r="H740" s="271" t="n"/>
      <c r="I740" s="275">
        <f>IF(COUNTA(A740:F740)=0,"",IF(OR(E740&lt;0,F740&lt;0,F740&gt;10),"ERRO: valores inválidos",IF(COUNTIFS($A$5:$A$1200,A740,$B$5:$B$1200,B740,$C$5:$C$1200,C740,$D$5:$D$1200,D740)&gt;1,"ERRO: chave duplicada","OK")))</f>
        <v/>
      </c>
    </row>
    <row r="741" ht="15" customHeight="1" s="131">
      <c r="A741" s="320" t="n"/>
      <c r="B741" s="323" t="n"/>
      <c r="C741" s="320" t="n"/>
      <c r="D741" s="326" t="n"/>
      <c r="E741" s="324" t="n"/>
      <c r="F741" s="320" t="n"/>
      <c r="G741" s="327" t="n"/>
      <c r="H741" s="271" t="n"/>
      <c r="I741" s="275">
        <f>IF(COUNTA(A741:F741)=0,"",IF(OR(E741&lt;0,F741&lt;0,F741&gt;10),"ERRO: valores inválidos",IF(COUNTIFS($A$5:$A$1200,A741,$B$5:$B$1200,B741,$C$5:$C$1200,C741,$D$5:$D$1200,D741)&gt;1,"ERRO: chave duplicada","OK")))</f>
        <v/>
      </c>
    </row>
    <row r="742" ht="15" customHeight="1" s="131">
      <c r="A742" s="320" t="n"/>
      <c r="B742" s="323" t="n"/>
      <c r="C742" s="320" t="n"/>
      <c r="D742" s="326" t="n"/>
      <c r="E742" s="324" t="n"/>
      <c r="F742" s="320" t="n"/>
      <c r="G742" s="327" t="n"/>
      <c r="H742" s="271" t="n"/>
      <c r="I742" s="275">
        <f>IF(COUNTA(A742:F742)=0,"",IF(OR(E742&lt;0,F742&lt;0,F742&gt;10),"ERRO: valores inválidos",IF(COUNTIFS($A$5:$A$1200,A742,$B$5:$B$1200,B742,$C$5:$C$1200,C742,$D$5:$D$1200,D742)&gt;1,"ERRO: chave duplicada","OK")))</f>
        <v/>
      </c>
    </row>
    <row r="743" ht="15" customHeight="1" s="131">
      <c r="A743" s="320" t="n"/>
      <c r="B743" s="323" t="n"/>
      <c r="C743" s="320" t="n"/>
      <c r="D743" s="326" t="n"/>
      <c r="E743" s="324" t="n"/>
      <c r="F743" s="320" t="n"/>
      <c r="G743" s="327" t="n"/>
      <c r="H743" s="271" t="n"/>
      <c r="I743" s="275">
        <f>IF(COUNTA(A743:F743)=0,"",IF(OR(E743&lt;0,F743&lt;0,F743&gt;10),"ERRO: valores inválidos",IF(COUNTIFS($A$5:$A$1200,A743,$B$5:$B$1200,B743,$C$5:$C$1200,C743,$D$5:$D$1200,D743)&gt;1,"ERRO: chave duplicada","OK")))</f>
        <v/>
      </c>
    </row>
    <row r="744" ht="15" customHeight="1" s="131">
      <c r="A744" s="320" t="n"/>
      <c r="B744" s="323" t="n"/>
      <c r="C744" s="320" t="n"/>
      <c r="D744" s="326" t="n"/>
      <c r="E744" s="324" t="n"/>
      <c r="F744" s="320" t="n"/>
      <c r="G744" s="327" t="n"/>
      <c r="H744" s="271" t="n"/>
      <c r="I744" s="275">
        <f>IF(COUNTA(A744:F744)=0,"",IF(OR(E744&lt;0,F744&lt;0,F744&gt;10),"ERRO: valores inválidos",IF(COUNTIFS($A$5:$A$1200,A744,$B$5:$B$1200,B744,$C$5:$C$1200,C744,$D$5:$D$1200,D744)&gt;1,"ERRO: chave duplicada","OK")))</f>
        <v/>
      </c>
    </row>
    <row r="745" ht="15" customHeight="1" s="131">
      <c r="A745" s="320" t="n"/>
      <c r="B745" s="323" t="n"/>
      <c r="C745" s="320" t="n"/>
      <c r="D745" s="326" t="n"/>
      <c r="E745" s="324" t="n"/>
      <c r="F745" s="320" t="n"/>
      <c r="G745" s="327" t="n"/>
      <c r="H745" s="271" t="n"/>
      <c r="I745" s="275">
        <f>IF(COUNTA(A745:F745)=0,"",IF(OR(E745&lt;0,F745&lt;0,F745&gt;10),"ERRO: valores inválidos",IF(COUNTIFS($A$5:$A$1200,A745,$B$5:$B$1200,B745,$C$5:$C$1200,C745,$D$5:$D$1200,D745)&gt;1,"ERRO: chave duplicada","OK")))</f>
        <v/>
      </c>
    </row>
    <row r="746" ht="15" customHeight="1" s="131">
      <c r="A746" s="320" t="n"/>
      <c r="B746" s="323" t="n"/>
      <c r="C746" s="320" t="n"/>
      <c r="D746" s="326" t="n"/>
      <c r="E746" s="324" t="n"/>
      <c r="F746" s="320" t="n"/>
      <c r="G746" s="327" t="n"/>
      <c r="H746" s="271" t="n"/>
      <c r="I746" s="275">
        <f>IF(COUNTA(A746:F746)=0,"",IF(OR(E746&lt;0,F746&lt;0,F746&gt;10),"ERRO: valores inválidos",IF(COUNTIFS($A$5:$A$1200,A746,$B$5:$B$1200,B746,$C$5:$C$1200,C746,$D$5:$D$1200,D746)&gt;1,"ERRO: chave duplicada","OK")))</f>
        <v/>
      </c>
    </row>
    <row r="747" ht="15" customHeight="1" s="131">
      <c r="A747" s="320" t="n"/>
      <c r="B747" s="323" t="n"/>
      <c r="C747" s="320" t="n"/>
      <c r="D747" s="326" t="n"/>
      <c r="E747" s="324" t="n"/>
      <c r="F747" s="320" t="n"/>
      <c r="G747" s="327" t="n"/>
      <c r="H747" s="271" t="n"/>
      <c r="I747" s="275">
        <f>IF(COUNTA(A747:F747)=0,"",IF(OR(E747&lt;0,F747&lt;0,F747&gt;10),"ERRO: valores inválidos",IF(COUNTIFS($A$5:$A$1200,A747,$B$5:$B$1200,B747,$C$5:$C$1200,C747,$D$5:$D$1200,D747)&gt;1,"ERRO: chave duplicada","OK")))</f>
        <v/>
      </c>
    </row>
    <row r="748" ht="15" customHeight="1" s="131">
      <c r="A748" s="320" t="n"/>
      <c r="B748" s="323" t="n"/>
      <c r="C748" s="320" t="n"/>
      <c r="D748" s="326" t="n"/>
      <c r="E748" s="324" t="n"/>
      <c r="F748" s="320" t="n"/>
      <c r="G748" s="327" t="n"/>
      <c r="H748" s="271" t="n"/>
      <c r="I748" s="275">
        <f>IF(COUNTA(A748:F748)=0,"",IF(OR(E748&lt;0,F748&lt;0,F748&gt;10),"ERRO: valores inválidos",IF(COUNTIFS($A$5:$A$1200,A748,$B$5:$B$1200,B748,$C$5:$C$1200,C748,$D$5:$D$1200,D748)&gt;1,"ERRO: chave duplicada","OK")))</f>
        <v/>
      </c>
    </row>
    <row r="749" ht="15" customHeight="1" s="131">
      <c r="A749" s="320" t="n"/>
      <c r="B749" s="323" t="n"/>
      <c r="C749" s="320" t="n"/>
      <c r="D749" s="326" t="n"/>
      <c r="E749" s="324" t="n"/>
      <c r="F749" s="320" t="n"/>
      <c r="G749" s="327" t="n"/>
      <c r="H749" s="271" t="n"/>
      <c r="I749" s="275">
        <f>IF(COUNTA(A749:F749)=0,"",IF(OR(E749&lt;0,F749&lt;0,F749&gt;10),"ERRO: valores inválidos",IF(COUNTIFS($A$5:$A$1200,A749,$B$5:$B$1200,B749,$C$5:$C$1200,C749,$D$5:$D$1200,D749)&gt;1,"ERRO: chave duplicada","OK")))</f>
        <v/>
      </c>
    </row>
    <row r="750" ht="15" customHeight="1" s="131">
      <c r="A750" s="320" t="n"/>
      <c r="B750" s="323" t="n"/>
      <c r="C750" s="320" t="n"/>
      <c r="D750" s="326" t="n"/>
      <c r="E750" s="324" t="n"/>
      <c r="F750" s="320" t="n"/>
      <c r="G750" s="327" t="n"/>
      <c r="H750" s="271" t="n"/>
      <c r="I750" s="275">
        <f>IF(COUNTA(A750:F750)=0,"",IF(OR(E750&lt;0,F750&lt;0,F750&gt;10),"ERRO: valores inválidos",IF(COUNTIFS($A$5:$A$1200,A750,$B$5:$B$1200,B750,$C$5:$C$1200,C750,$D$5:$D$1200,D750)&gt;1,"ERRO: chave duplicada","OK")))</f>
        <v/>
      </c>
    </row>
    <row r="751" ht="15" customHeight="1" s="131">
      <c r="A751" s="320" t="n"/>
      <c r="B751" s="323" t="n"/>
      <c r="C751" s="320" t="n"/>
      <c r="D751" s="326" t="n"/>
      <c r="E751" s="324" t="n"/>
      <c r="F751" s="320" t="n"/>
      <c r="G751" s="327" t="n"/>
      <c r="H751" s="271" t="n"/>
      <c r="I751" s="275">
        <f>IF(COUNTA(A751:F751)=0,"",IF(OR(E751&lt;0,F751&lt;0,F751&gt;10),"ERRO: valores inválidos",IF(COUNTIFS($A$5:$A$1200,A751,$B$5:$B$1200,B751,$C$5:$C$1200,C751,$D$5:$D$1200,D751)&gt;1,"ERRO: chave duplicada","OK")))</f>
        <v/>
      </c>
    </row>
    <row r="752" ht="15" customHeight="1" s="131">
      <c r="A752" s="320" t="n"/>
      <c r="B752" s="323" t="n"/>
      <c r="C752" s="320" t="n"/>
      <c r="D752" s="326" t="n"/>
      <c r="E752" s="324" t="n"/>
      <c r="F752" s="320" t="n"/>
      <c r="G752" s="327" t="n"/>
      <c r="H752" s="271" t="n"/>
      <c r="I752" s="275">
        <f>IF(COUNTA(A752:F752)=0,"",IF(OR(E752&lt;0,F752&lt;0,F752&gt;10),"ERRO: valores inválidos",IF(COUNTIFS($A$5:$A$1200,A752,$B$5:$B$1200,B752,$C$5:$C$1200,C752,$D$5:$D$1200,D752)&gt;1,"ERRO: chave duplicada","OK")))</f>
        <v/>
      </c>
    </row>
    <row r="753" ht="15" customHeight="1" s="131">
      <c r="A753" s="320" t="n"/>
      <c r="B753" s="323" t="n"/>
      <c r="C753" s="320" t="n"/>
      <c r="D753" s="326" t="n"/>
      <c r="E753" s="324" t="n"/>
      <c r="F753" s="320" t="n"/>
      <c r="G753" s="327" t="n"/>
      <c r="H753" s="271" t="n"/>
      <c r="I753" s="275">
        <f>IF(COUNTA(A753:F753)=0,"",IF(OR(E753&lt;0,F753&lt;0,F753&gt;10),"ERRO: valores inválidos",IF(COUNTIFS($A$5:$A$1200,A753,$B$5:$B$1200,B753,$C$5:$C$1200,C753,$D$5:$D$1200,D753)&gt;1,"ERRO: chave duplicada","OK")))</f>
        <v/>
      </c>
    </row>
    <row r="754" ht="15" customHeight="1" s="131">
      <c r="A754" s="320" t="n"/>
      <c r="B754" s="323" t="n"/>
      <c r="C754" s="320" t="n"/>
      <c r="D754" s="326" t="n"/>
      <c r="E754" s="324" t="n"/>
      <c r="F754" s="320" t="n"/>
      <c r="G754" s="327" t="n"/>
      <c r="H754" s="271" t="n"/>
      <c r="I754" s="275">
        <f>IF(COUNTA(A754:F754)=0,"",IF(OR(E754&lt;0,F754&lt;0,F754&gt;10),"ERRO: valores inválidos",IF(COUNTIFS($A$5:$A$1200,A754,$B$5:$B$1200,B754,$C$5:$C$1200,C754,$D$5:$D$1200,D754)&gt;1,"ERRO: chave duplicada","OK")))</f>
        <v/>
      </c>
    </row>
    <row r="755" ht="15" customHeight="1" s="131">
      <c r="A755" s="320" t="n"/>
      <c r="B755" s="323" t="n"/>
      <c r="C755" s="320" t="n"/>
      <c r="D755" s="326" t="n"/>
      <c r="E755" s="324" t="n"/>
      <c r="F755" s="320" t="n"/>
      <c r="G755" s="327" t="n"/>
      <c r="H755" s="271" t="n"/>
      <c r="I755" s="275">
        <f>IF(COUNTA(A755:F755)=0,"",IF(OR(E755&lt;0,F755&lt;0,F755&gt;10),"ERRO: valores inválidos",IF(COUNTIFS($A$5:$A$1200,A755,$B$5:$B$1200,B755,$C$5:$C$1200,C755,$D$5:$D$1200,D755)&gt;1,"ERRO: chave duplicada","OK")))</f>
        <v/>
      </c>
    </row>
    <row r="756" ht="15" customHeight="1" s="131">
      <c r="A756" s="320" t="n"/>
      <c r="B756" s="323" t="n"/>
      <c r="C756" s="320" t="n"/>
      <c r="D756" s="326" t="n"/>
      <c r="E756" s="324" t="n"/>
      <c r="F756" s="320" t="n"/>
      <c r="G756" s="327" t="n"/>
      <c r="H756" s="271" t="n"/>
      <c r="I756" s="275">
        <f>IF(COUNTA(A756:F756)=0,"",IF(OR(E756&lt;0,F756&lt;0,F756&gt;10),"ERRO: valores inválidos",IF(COUNTIFS($A$5:$A$1200,A756,$B$5:$B$1200,B756,$C$5:$C$1200,C756,$D$5:$D$1200,D756)&gt;1,"ERRO: chave duplicada","OK")))</f>
        <v/>
      </c>
    </row>
    <row r="757" ht="15" customHeight="1" s="131">
      <c r="A757" s="320" t="n"/>
      <c r="B757" s="323" t="n"/>
      <c r="C757" s="320" t="n"/>
      <c r="D757" s="326" t="n"/>
      <c r="E757" s="324" t="n"/>
      <c r="F757" s="320" t="n"/>
      <c r="G757" s="327" t="n"/>
      <c r="H757" s="271" t="n"/>
      <c r="I757" s="275">
        <f>IF(COUNTA(A757:F757)=0,"",IF(OR(E757&lt;0,F757&lt;0,F757&gt;10),"ERRO: valores inválidos",IF(COUNTIFS($A$5:$A$1200,A757,$B$5:$B$1200,B757,$C$5:$C$1200,C757,$D$5:$D$1200,D757)&gt;1,"ERRO: chave duplicada","OK")))</f>
        <v/>
      </c>
    </row>
    <row r="758" ht="15" customHeight="1" s="131">
      <c r="A758" s="320" t="n"/>
      <c r="B758" s="323" t="n"/>
      <c r="C758" s="320" t="n"/>
      <c r="D758" s="326" t="n"/>
      <c r="E758" s="324" t="n"/>
      <c r="F758" s="320" t="n"/>
      <c r="G758" s="327" t="n"/>
      <c r="H758" s="271" t="n"/>
      <c r="I758" s="275">
        <f>IF(COUNTA(A758:F758)=0,"",IF(OR(E758&lt;0,F758&lt;0,F758&gt;10),"ERRO: valores inválidos",IF(COUNTIFS($A$5:$A$1200,A758,$B$5:$B$1200,B758,$C$5:$C$1200,C758,$D$5:$D$1200,D758)&gt;1,"ERRO: chave duplicada","OK")))</f>
        <v/>
      </c>
    </row>
    <row r="759" ht="15" customHeight="1" s="131">
      <c r="A759" s="320" t="n"/>
      <c r="B759" s="323" t="n"/>
      <c r="C759" s="320" t="n"/>
      <c r="D759" s="326" t="n"/>
      <c r="E759" s="324" t="n"/>
      <c r="F759" s="320" t="n"/>
      <c r="G759" s="327" t="n"/>
      <c r="H759" s="271" t="n"/>
      <c r="I759" s="275">
        <f>IF(COUNTA(A759:F759)=0,"",IF(OR(E759&lt;0,F759&lt;0,F759&gt;10),"ERRO: valores inválidos",IF(COUNTIFS($A$5:$A$1200,A759,$B$5:$B$1200,B759,$C$5:$C$1200,C759,$D$5:$D$1200,D759)&gt;1,"ERRO: chave duplicada","OK")))</f>
        <v/>
      </c>
    </row>
    <row r="760" ht="15" customHeight="1" s="131">
      <c r="A760" s="320" t="n"/>
      <c r="B760" s="323" t="n"/>
      <c r="C760" s="320" t="n"/>
      <c r="D760" s="326" t="n"/>
      <c r="E760" s="324" t="n"/>
      <c r="F760" s="320" t="n"/>
      <c r="G760" s="327" t="n"/>
      <c r="H760" s="271" t="n"/>
      <c r="I760" s="275">
        <f>IF(COUNTA(A760:F760)=0,"",IF(OR(E760&lt;0,F760&lt;0,F760&gt;10),"ERRO: valores inválidos",IF(COUNTIFS($A$5:$A$1200,A760,$B$5:$B$1200,B760,$C$5:$C$1200,C760,$D$5:$D$1200,D760)&gt;1,"ERRO: chave duplicada","OK")))</f>
        <v/>
      </c>
    </row>
    <row r="761" ht="15" customHeight="1" s="131">
      <c r="A761" s="320" t="n"/>
      <c r="B761" s="323" t="n"/>
      <c r="C761" s="320" t="n"/>
      <c r="D761" s="326" t="n"/>
      <c r="E761" s="324" t="n"/>
      <c r="F761" s="320" t="n"/>
      <c r="G761" s="327" t="n"/>
      <c r="H761" s="271" t="n"/>
      <c r="I761" s="275">
        <f>IF(COUNTA(A761:F761)=0,"",IF(OR(E761&lt;0,F761&lt;0,F761&gt;10),"ERRO: valores inválidos",IF(COUNTIFS($A$5:$A$1200,A761,$B$5:$B$1200,B761,$C$5:$C$1200,C761,$D$5:$D$1200,D761)&gt;1,"ERRO: chave duplicada","OK")))</f>
        <v/>
      </c>
    </row>
    <row r="762" ht="15" customHeight="1" s="131">
      <c r="A762" s="320" t="n"/>
      <c r="B762" s="323" t="n"/>
      <c r="C762" s="320" t="n"/>
      <c r="D762" s="326" t="n"/>
      <c r="E762" s="324" t="n"/>
      <c r="F762" s="320" t="n"/>
      <c r="G762" s="327" t="n"/>
      <c r="H762" s="271" t="n"/>
      <c r="I762" s="275">
        <f>IF(COUNTA(A762:F762)=0,"",IF(OR(E762&lt;0,F762&lt;0,F762&gt;10),"ERRO: valores inválidos",IF(COUNTIFS($A$5:$A$1200,A762,$B$5:$B$1200,B762,$C$5:$C$1200,C762,$D$5:$D$1200,D762)&gt;1,"ERRO: chave duplicada","OK")))</f>
        <v/>
      </c>
    </row>
    <row r="763" ht="15" customHeight="1" s="131">
      <c r="A763" s="320" t="n"/>
      <c r="B763" s="323" t="n"/>
      <c r="C763" s="320" t="n"/>
      <c r="D763" s="326" t="n"/>
      <c r="E763" s="324" t="n"/>
      <c r="F763" s="320" t="n"/>
      <c r="G763" s="327" t="n"/>
      <c r="H763" s="271" t="n"/>
      <c r="I763" s="275">
        <f>IF(COUNTA(A763:F763)=0,"",IF(OR(E763&lt;0,F763&lt;0,F763&gt;10),"ERRO: valores inválidos",IF(COUNTIFS($A$5:$A$1200,A763,$B$5:$B$1200,B763,$C$5:$C$1200,C763,$D$5:$D$1200,D763)&gt;1,"ERRO: chave duplicada","OK")))</f>
        <v/>
      </c>
    </row>
    <row r="764" ht="15" customHeight="1" s="131">
      <c r="A764" s="320" t="n"/>
      <c r="B764" s="323" t="n"/>
      <c r="C764" s="320" t="n"/>
      <c r="D764" s="326" t="n"/>
      <c r="E764" s="324" t="n"/>
      <c r="F764" s="320" t="n"/>
      <c r="G764" s="327" t="n"/>
      <c r="H764" s="271" t="n"/>
      <c r="I764" s="275">
        <f>IF(COUNTA(A764:F764)=0,"",IF(OR(E764&lt;0,F764&lt;0,F764&gt;10),"ERRO: valores inválidos",IF(COUNTIFS($A$5:$A$1200,A764,$B$5:$B$1200,B764,$C$5:$C$1200,C764,$D$5:$D$1200,D764)&gt;1,"ERRO: chave duplicada","OK")))</f>
        <v/>
      </c>
    </row>
    <row r="765" ht="15" customHeight="1" s="131">
      <c r="A765" s="320" t="n"/>
      <c r="B765" s="323" t="n"/>
      <c r="C765" s="320" t="n"/>
      <c r="D765" s="326" t="n"/>
      <c r="E765" s="324" t="n"/>
      <c r="F765" s="320" t="n"/>
      <c r="G765" s="327" t="n"/>
      <c r="H765" s="271" t="n"/>
      <c r="I765" s="275">
        <f>IF(COUNTA(A765:F765)=0,"",IF(OR(E765&lt;0,F765&lt;0,F765&gt;10),"ERRO: valores inválidos",IF(COUNTIFS($A$5:$A$1200,A765,$B$5:$B$1200,B765,$C$5:$C$1200,C765,$D$5:$D$1200,D765)&gt;1,"ERRO: chave duplicada","OK")))</f>
        <v/>
      </c>
    </row>
    <row r="766" ht="15" customHeight="1" s="131">
      <c r="A766" s="320" t="n"/>
      <c r="B766" s="323" t="n"/>
      <c r="C766" s="320" t="n"/>
      <c r="D766" s="326" t="n"/>
      <c r="E766" s="324" t="n"/>
      <c r="F766" s="320" t="n"/>
      <c r="G766" s="327" t="n"/>
      <c r="H766" s="271" t="n"/>
      <c r="I766" s="275">
        <f>IF(COUNTA(A766:F766)=0,"",IF(OR(E766&lt;0,F766&lt;0,F766&gt;10),"ERRO: valores inválidos",IF(COUNTIFS($A$5:$A$1200,A766,$B$5:$B$1200,B766,$C$5:$C$1200,C766,$D$5:$D$1200,D766)&gt;1,"ERRO: chave duplicada","OK")))</f>
        <v/>
      </c>
    </row>
    <row r="767" ht="15" customHeight="1" s="131">
      <c r="A767" s="320" t="n"/>
      <c r="B767" s="323" t="n"/>
      <c r="C767" s="320" t="n"/>
      <c r="D767" s="326" t="n"/>
      <c r="E767" s="324" t="n"/>
      <c r="F767" s="320" t="n"/>
      <c r="G767" s="327" t="n"/>
      <c r="H767" s="271" t="n"/>
      <c r="I767" s="275">
        <f>IF(COUNTA(A767:F767)=0,"",IF(OR(E767&lt;0,F767&lt;0,F767&gt;10),"ERRO: valores inválidos",IF(COUNTIFS($A$5:$A$1200,A767,$B$5:$B$1200,B767,$C$5:$C$1200,C767,$D$5:$D$1200,D767)&gt;1,"ERRO: chave duplicada","OK")))</f>
        <v/>
      </c>
    </row>
    <row r="768" ht="15" customHeight="1" s="131">
      <c r="A768" s="320" t="n"/>
      <c r="B768" s="323" t="n"/>
      <c r="C768" s="320" t="n"/>
      <c r="D768" s="326" t="n"/>
      <c r="E768" s="324" t="n"/>
      <c r="F768" s="320" t="n"/>
      <c r="G768" s="327" t="n"/>
      <c r="H768" s="271" t="n"/>
      <c r="I768" s="275">
        <f>IF(COUNTA(A768:F768)=0,"",IF(OR(E768&lt;0,F768&lt;0,F768&gt;10),"ERRO: valores inválidos",IF(COUNTIFS($A$5:$A$1200,A768,$B$5:$B$1200,B768,$C$5:$C$1200,C768,$D$5:$D$1200,D768)&gt;1,"ERRO: chave duplicada","OK")))</f>
        <v/>
      </c>
    </row>
    <row r="769" ht="15" customHeight="1" s="131">
      <c r="A769" s="320" t="n"/>
      <c r="B769" s="323" t="n"/>
      <c r="C769" s="320" t="n"/>
      <c r="D769" s="326" t="n"/>
      <c r="E769" s="324" t="n"/>
      <c r="F769" s="320" t="n"/>
      <c r="G769" s="327" t="n"/>
      <c r="H769" s="271" t="n"/>
      <c r="I769" s="275">
        <f>IF(COUNTA(A769:F769)=0,"",IF(OR(E769&lt;0,F769&lt;0,F769&gt;10),"ERRO: valores inválidos",IF(COUNTIFS($A$5:$A$1200,A769,$B$5:$B$1200,B769,$C$5:$C$1200,C769,$D$5:$D$1200,D769)&gt;1,"ERRO: chave duplicada","OK")))</f>
        <v/>
      </c>
    </row>
    <row r="770" ht="15" customHeight="1" s="131">
      <c r="A770" s="320" t="n"/>
      <c r="B770" s="323" t="n"/>
      <c r="C770" s="320" t="n"/>
      <c r="D770" s="326" t="n"/>
      <c r="E770" s="324" t="n"/>
      <c r="F770" s="320" t="n"/>
      <c r="G770" s="327" t="n"/>
      <c r="H770" s="271" t="n"/>
      <c r="I770" s="275">
        <f>IF(COUNTA(A770:F770)=0,"",IF(OR(E770&lt;0,F770&lt;0,F770&gt;10),"ERRO: valores inválidos",IF(COUNTIFS($A$5:$A$1200,A770,$B$5:$B$1200,B770,$C$5:$C$1200,C770,$D$5:$D$1200,D770)&gt;1,"ERRO: chave duplicada","OK")))</f>
        <v/>
      </c>
    </row>
    <row r="771" ht="15" customHeight="1" s="131">
      <c r="A771" s="320" t="n"/>
      <c r="B771" s="323" t="n"/>
      <c r="C771" s="320" t="n"/>
      <c r="D771" s="326" t="n"/>
      <c r="E771" s="324" t="n"/>
      <c r="F771" s="320" t="n"/>
      <c r="G771" s="327" t="n"/>
      <c r="H771" s="271" t="n"/>
      <c r="I771" s="275">
        <f>IF(COUNTA(A771:F771)=0,"",IF(OR(E771&lt;0,F771&lt;0,F771&gt;10),"ERRO: valores inválidos",IF(COUNTIFS($A$5:$A$1200,A771,$B$5:$B$1200,B771,$C$5:$C$1200,C771,$D$5:$D$1200,D771)&gt;1,"ERRO: chave duplicada","OK")))</f>
        <v/>
      </c>
    </row>
    <row r="772" ht="15" customHeight="1" s="131">
      <c r="A772" s="320" t="n"/>
      <c r="B772" s="323" t="n"/>
      <c r="C772" s="320" t="n"/>
      <c r="D772" s="326" t="n"/>
      <c r="E772" s="324" t="n"/>
      <c r="F772" s="320" t="n"/>
      <c r="G772" s="327" t="n"/>
      <c r="H772" s="271" t="n"/>
      <c r="I772" s="275">
        <f>IF(COUNTA(A772:F772)=0,"",IF(OR(E772&lt;0,F772&lt;0,F772&gt;10),"ERRO: valores inválidos",IF(COUNTIFS($A$5:$A$1200,A772,$B$5:$B$1200,B772,$C$5:$C$1200,C772,$D$5:$D$1200,D772)&gt;1,"ERRO: chave duplicada","OK")))</f>
        <v/>
      </c>
    </row>
    <row r="773" ht="15" customHeight="1" s="131">
      <c r="A773" s="320" t="n"/>
      <c r="B773" s="323" t="n"/>
      <c r="C773" s="320" t="n"/>
      <c r="D773" s="326" t="n"/>
      <c r="E773" s="324" t="n"/>
      <c r="F773" s="320" t="n"/>
      <c r="G773" s="327" t="n"/>
      <c r="H773" s="271" t="n"/>
      <c r="I773" s="275">
        <f>IF(COUNTA(A773:F773)=0,"",IF(OR(E773&lt;0,F773&lt;0,F773&gt;10),"ERRO: valores inválidos",IF(COUNTIFS($A$5:$A$1200,A773,$B$5:$B$1200,B773,$C$5:$C$1200,C773,$D$5:$D$1200,D773)&gt;1,"ERRO: chave duplicada","OK")))</f>
        <v/>
      </c>
    </row>
    <row r="774" ht="15" customHeight="1" s="131">
      <c r="A774" s="320" t="n"/>
      <c r="B774" s="323" t="n"/>
      <c r="C774" s="320" t="n"/>
      <c r="D774" s="326" t="n"/>
      <c r="E774" s="324" t="n"/>
      <c r="F774" s="320" t="n"/>
      <c r="G774" s="327" t="n"/>
      <c r="H774" s="271" t="n"/>
      <c r="I774" s="275">
        <f>IF(COUNTA(A774:F774)=0,"",IF(OR(E774&lt;0,F774&lt;0,F774&gt;10),"ERRO: valores inválidos",IF(COUNTIFS($A$5:$A$1200,A774,$B$5:$B$1200,B774,$C$5:$C$1200,C774,$D$5:$D$1200,D774)&gt;1,"ERRO: chave duplicada","OK")))</f>
        <v/>
      </c>
    </row>
    <row r="775" ht="15" customHeight="1" s="131">
      <c r="A775" s="320" t="n"/>
      <c r="B775" s="323" t="n"/>
      <c r="C775" s="320" t="n"/>
      <c r="D775" s="326" t="n"/>
      <c r="E775" s="324" t="n"/>
      <c r="F775" s="320" t="n"/>
      <c r="G775" s="327" t="n"/>
      <c r="H775" s="271" t="n"/>
      <c r="I775" s="275">
        <f>IF(COUNTA(A775:F775)=0,"",IF(OR(E775&lt;0,F775&lt;0,F775&gt;10),"ERRO: valores inválidos",IF(COUNTIFS($A$5:$A$1200,A775,$B$5:$B$1200,B775,$C$5:$C$1200,C775,$D$5:$D$1200,D775)&gt;1,"ERRO: chave duplicada","OK")))</f>
        <v/>
      </c>
    </row>
    <row r="776" ht="15" customHeight="1" s="131">
      <c r="A776" s="320" t="n"/>
      <c r="B776" s="323" t="n"/>
      <c r="C776" s="320" t="n"/>
      <c r="D776" s="326" t="n"/>
      <c r="E776" s="324" t="n"/>
      <c r="F776" s="320" t="n"/>
      <c r="G776" s="327" t="n"/>
      <c r="H776" s="271" t="n"/>
      <c r="I776" s="275">
        <f>IF(COUNTA(A776:F776)=0,"",IF(OR(E776&lt;0,F776&lt;0,F776&gt;10),"ERRO: valores inválidos",IF(COUNTIFS($A$5:$A$1200,A776,$B$5:$B$1200,B776,$C$5:$C$1200,C776,$D$5:$D$1200,D776)&gt;1,"ERRO: chave duplicada","OK")))</f>
        <v/>
      </c>
    </row>
    <row r="777" ht="15" customHeight="1" s="131">
      <c r="A777" s="320" t="n"/>
      <c r="B777" s="323" t="n"/>
      <c r="C777" s="320" t="n"/>
      <c r="D777" s="326" t="n"/>
      <c r="E777" s="324" t="n"/>
      <c r="F777" s="320" t="n"/>
      <c r="G777" s="327" t="n"/>
      <c r="H777" s="271" t="n"/>
      <c r="I777" s="275">
        <f>IF(COUNTA(A777:F777)=0,"",IF(OR(E777&lt;0,F777&lt;0,F777&gt;10),"ERRO: valores inválidos",IF(COUNTIFS($A$5:$A$1200,A777,$B$5:$B$1200,B777,$C$5:$C$1200,C777,$D$5:$D$1200,D777)&gt;1,"ERRO: chave duplicada","OK")))</f>
        <v/>
      </c>
    </row>
    <row r="778" ht="15" customHeight="1" s="131">
      <c r="A778" s="320" t="n"/>
      <c r="B778" s="323" t="n"/>
      <c r="C778" s="320" t="n"/>
      <c r="D778" s="326" t="n"/>
      <c r="E778" s="324" t="n"/>
      <c r="F778" s="320" t="n"/>
      <c r="G778" s="327" t="n"/>
      <c r="H778" s="271" t="n"/>
      <c r="I778" s="275">
        <f>IF(COUNTA(A778:F778)=0,"",IF(OR(E778&lt;0,F778&lt;0,F778&gt;10),"ERRO: valores inválidos",IF(COUNTIFS($A$5:$A$1200,A778,$B$5:$B$1200,B778,$C$5:$C$1200,C778,$D$5:$D$1200,D778)&gt;1,"ERRO: chave duplicada","OK")))</f>
        <v/>
      </c>
    </row>
    <row r="779" ht="15" customHeight="1" s="131">
      <c r="A779" s="320" t="n"/>
      <c r="B779" s="323" t="n"/>
      <c r="C779" s="320" t="n"/>
      <c r="D779" s="326" t="n"/>
      <c r="E779" s="324" t="n"/>
      <c r="F779" s="320" t="n"/>
      <c r="G779" s="327" t="n"/>
      <c r="H779" s="271" t="n"/>
      <c r="I779" s="275">
        <f>IF(COUNTA(A779:F779)=0,"",IF(OR(E779&lt;0,F779&lt;0,F779&gt;10),"ERRO: valores inválidos",IF(COUNTIFS($A$5:$A$1200,A779,$B$5:$B$1200,B779,$C$5:$C$1200,C779,$D$5:$D$1200,D779)&gt;1,"ERRO: chave duplicada","OK")))</f>
        <v/>
      </c>
    </row>
    <row r="780" ht="15" customHeight="1" s="131">
      <c r="A780" s="320" t="n"/>
      <c r="B780" s="323" t="n"/>
      <c r="C780" s="320" t="n"/>
      <c r="D780" s="326" t="n"/>
      <c r="E780" s="324" t="n"/>
      <c r="F780" s="320" t="n"/>
      <c r="G780" s="327" t="n"/>
      <c r="H780" s="271" t="n"/>
      <c r="I780" s="275">
        <f>IF(COUNTA(A780:F780)=0,"",IF(OR(E780&lt;0,F780&lt;0,F780&gt;10),"ERRO: valores inválidos",IF(COUNTIFS($A$5:$A$1200,A780,$B$5:$B$1200,B780,$C$5:$C$1200,C780,$D$5:$D$1200,D780)&gt;1,"ERRO: chave duplicada","OK")))</f>
        <v/>
      </c>
    </row>
    <row r="781" ht="15" customHeight="1" s="131">
      <c r="A781" s="320" t="n"/>
      <c r="B781" s="323" t="n"/>
      <c r="C781" s="320" t="n"/>
      <c r="D781" s="326" t="n"/>
      <c r="E781" s="324" t="n"/>
      <c r="F781" s="320" t="n"/>
      <c r="G781" s="327" t="n"/>
      <c r="H781" s="271" t="n"/>
      <c r="I781" s="275">
        <f>IF(COUNTA(A781:F781)=0,"",IF(OR(E781&lt;0,F781&lt;0,F781&gt;10),"ERRO: valores inválidos",IF(COUNTIFS($A$5:$A$1200,A781,$B$5:$B$1200,B781,$C$5:$C$1200,C781,$D$5:$D$1200,D781)&gt;1,"ERRO: chave duplicada","OK")))</f>
        <v/>
      </c>
    </row>
    <row r="782" ht="15" customHeight="1" s="131">
      <c r="A782" s="320" t="n"/>
      <c r="B782" s="323" t="n"/>
      <c r="C782" s="320" t="n"/>
      <c r="D782" s="326" t="n"/>
      <c r="E782" s="324" t="n"/>
      <c r="F782" s="320" t="n"/>
      <c r="G782" s="327" t="n"/>
      <c r="H782" s="271" t="n"/>
      <c r="I782" s="275">
        <f>IF(COUNTA(A782:F782)=0,"",IF(OR(E782&lt;0,F782&lt;0,F782&gt;10),"ERRO: valores inválidos",IF(COUNTIFS($A$5:$A$1200,A782,$B$5:$B$1200,B782,$C$5:$C$1200,C782,$D$5:$D$1200,D782)&gt;1,"ERRO: chave duplicada","OK")))</f>
        <v/>
      </c>
    </row>
    <row r="783" ht="15" customHeight="1" s="131">
      <c r="A783" s="320" t="n"/>
      <c r="B783" s="323" t="n"/>
      <c r="C783" s="320" t="n"/>
      <c r="D783" s="326" t="n"/>
      <c r="E783" s="324" t="n"/>
      <c r="F783" s="320" t="n"/>
      <c r="G783" s="327" t="n"/>
      <c r="H783" s="271" t="n"/>
      <c r="I783" s="275">
        <f>IF(COUNTA(A783:F783)=0,"",IF(OR(E783&lt;0,F783&lt;0,F783&gt;10),"ERRO: valores inválidos",IF(COUNTIFS($A$5:$A$1200,A783,$B$5:$B$1200,B783,$C$5:$C$1200,C783,$D$5:$D$1200,D783)&gt;1,"ERRO: chave duplicada","OK")))</f>
        <v/>
      </c>
    </row>
    <row r="784" ht="15" customHeight="1" s="131">
      <c r="A784" s="320" t="n"/>
      <c r="B784" s="323" t="n"/>
      <c r="C784" s="320" t="n"/>
      <c r="D784" s="326" t="n"/>
      <c r="E784" s="324" t="n"/>
      <c r="F784" s="320" t="n"/>
      <c r="G784" s="327" t="n"/>
      <c r="H784" s="271" t="n"/>
      <c r="I784" s="275">
        <f>IF(COUNTA(A784:F784)=0,"",IF(OR(E784&lt;0,F784&lt;0,F784&gt;10),"ERRO: valores inválidos",IF(COUNTIFS($A$5:$A$1200,A784,$B$5:$B$1200,B784,$C$5:$C$1200,C784,$D$5:$D$1200,D784)&gt;1,"ERRO: chave duplicada","OK")))</f>
        <v/>
      </c>
    </row>
    <row r="785" ht="15" customHeight="1" s="131">
      <c r="A785" s="320" t="n"/>
      <c r="B785" s="323" t="n"/>
      <c r="C785" s="320" t="n"/>
      <c r="D785" s="326" t="n"/>
      <c r="E785" s="324" t="n"/>
      <c r="F785" s="320" t="n"/>
      <c r="G785" s="327" t="n"/>
      <c r="H785" s="271" t="n"/>
      <c r="I785" s="275">
        <f>IF(COUNTA(A785:F785)=0,"",IF(OR(E785&lt;0,F785&lt;0,F785&gt;10),"ERRO: valores inválidos",IF(COUNTIFS($A$5:$A$1200,A785,$B$5:$B$1200,B785,$C$5:$C$1200,C785,$D$5:$D$1200,D785)&gt;1,"ERRO: chave duplicada","OK")))</f>
        <v/>
      </c>
    </row>
    <row r="786" ht="15" customHeight="1" s="131">
      <c r="A786" s="320" t="n"/>
      <c r="B786" s="323" t="n"/>
      <c r="C786" s="320" t="n"/>
      <c r="D786" s="326" t="n"/>
      <c r="E786" s="324" t="n"/>
      <c r="F786" s="320" t="n"/>
      <c r="G786" s="327" t="n"/>
      <c r="H786" s="271" t="n"/>
      <c r="I786" s="275">
        <f>IF(COUNTA(A786:F786)=0,"",IF(OR(E786&lt;0,F786&lt;0,F786&gt;10),"ERRO: valores inválidos",IF(COUNTIFS($A$5:$A$1200,A786,$B$5:$B$1200,B786,$C$5:$C$1200,C786,$D$5:$D$1200,D786)&gt;1,"ERRO: chave duplicada","OK")))</f>
        <v/>
      </c>
    </row>
    <row r="787" ht="15" customHeight="1" s="131">
      <c r="A787" s="320" t="n"/>
      <c r="B787" s="323" t="n"/>
      <c r="C787" s="320" t="n"/>
      <c r="D787" s="326" t="n"/>
      <c r="E787" s="324" t="n"/>
      <c r="F787" s="320" t="n"/>
      <c r="G787" s="327" t="n"/>
      <c r="H787" s="271" t="n"/>
      <c r="I787" s="275">
        <f>IF(COUNTA(A787:F787)=0,"",IF(OR(E787&lt;0,F787&lt;0,F787&gt;10),"ERRO: valores inválidos",IF(COUNTIFS($A$5:$A$1200,A787,$B$5:$B$1200,B787,$C$5:$C$1200,C787,$D$5:$D$1200,D787)&gt;1,"ERRO: chave duplicada","OK")))</f>
        <v/>
      </c>
    </row>
    <row r="788" ht="15" customHeight="1" s="131">
      <c r="A788" s="320" t="n"/>
      <c r="B788" s="323" t="n"/>
      <c r="C788" s="320" t="n"/>
      <c r="D788" s="326" t="n"/>
      <c r="E788" s="324" t="n"/>
      <c r="F788" s="320" t="n"/>
      <c r="G788" s="327" t="n"/>
      <c r="H788" s="271" t="n"/>
      <c r="I788" s="275">
        <f>IF(COUNTA(A788:F788)=0,"",IF(OR(E788&lt;0,F788&lt;0,F788&gt;10),"ERRO: valores inválidos",IF(COUNTIFS($A$5:$A$1200,A788,$B$5:$B$1200,B788,$C$5:$C$1200,C788,$D$5:$D$1200,D788)&gt;1,"ERRO: chave duplicada","OK")))</f>
        <v/>
      </c>
    </row>
    <row r="789" ht="15" customHeight="1" s="131">
      <c r="A789" s="320" t="n"/>
      <c r="B789" s="323" t="n"/>
      <c r="C789" s="320" t="n"/>
      <c r="D789" s="326" t="n"/>
      <c r="E789" s="324" t="n"/>
      <c r="F789" s="320" t="n"/>
      <c r="G789" s="327" t="n"/>
      <c r="H789" s="271" t="n"/>
      <c r="I789" s="275">
        <f>IF(COUNTA(A789:F789)=0,"",IF(OR(E789&lt;0,F789&lt;0,F789&gt;10),"ERRO: valores inválidos",IF(COUNTIFS($A$5:$A$1200,A789,$B$5:$B$1200,B789,$C$5:$C$1200,C789,$D$5:$D$1200,D789)&gt;1,"ERRO: chave duplicada","OK")))</f>
        <v/>
      </c>
    </row>
    <row r="790" ht="15" customHeight="1" s="131">
      <c r="A790" s="320" t="n"/>
      <c r="B790" s="323" t="n"/>
      <c r="C790" s="320" t="n"/>
      <c r="D790" s="326" t="n"/>
      <c r="E790" s="324" t="n"/>
      <c r="F790" s="320" t="n"/>
      <c r="G790" s="327" t="n"/>
      <c r="H790" s="271" t="n"/>
      <c r="I790" s="275">
        <f>IF(COUNTA(A790:F790)=0,"",IF(OR(E790&lt;0,F790&lt;0,F790&gt;10),"ERRO: valores inválidos",IF(COUNTIFS($A$5:$A$1200,A790,$B$5:$B$1200,B790,$C$5:$C$1200,C790,$D$5:$D$1200,D790)&gt;1,"ERRO: chave duplicada","OK")))</f>
        <v/>
      </c>
    </row>
    <row r="791" ht="15" customHeight="1" s="131">
      <c r="A791" s="320" t="n"/>
      <c r="B791" s="323" t="n"/>
      <c r="C791" s="320" t="n"/>
      <c r="D791" s="326" t="n"/>
      <c r="E791" s="324" t="n"/>
      <c r="F791" s="320" t="n"/>
      <c r="G791" s="327" t="n"/>
      <c r="H791" s="271" t="n"/>
      <c r="I791" s="275">
        <f>IF(COUNTA(A791:F791)=0,"",IF(OR(E791&lt;0,F791&lt;0,F791&gt;10),"ERRO: valores inválidos",IF(COUNTIFS($A$5:$A$1200,A791,$B$5:$B$1200,B791,$C$5:$C$1200,C791,$D$5:$D$1200,D791)&gt;1,"ERRO: chave duplicada","OK")))</f>
        <v/>
      </c>
    </row>
    <row r="792" ht="15" customHeight="1" s="131">
      <c r="A792" s="320" t="n"/>
      <c r="B792" s="323" t="n"/>
      <c r="C792" s="320" t="n"/>
      <c r="D792" s="326" t="n"/>
      <c r="E792" s="324" t="n"/>
      <c r="F792" s="320" t="n"/>
      <c r="G792" s="327" t="n"/>
      <c r="H792" s="271" t="n"/>
      <c r="I792" s="275">
        <f>IF(COUNTA(A792:F792)=0,"",IF(OR(E792&lt;0,F792&lt;0,F792&gt;10),"ERRO: valores inválidos",IF(COUNTIFS($A$5:$A$1200,A792,$B$5:$B$1200,B792,$C$5:$C$1200,C792,$D$5:$D$1200,D792)&gt;1,"ERRO: chave duplicada","OK")))</f>
        <v/>
      </c>
    </row>
    <row r="793" ht="15" customHeight="1" s="131">
      <c r="A793" s="320" t="n"/>
      <c r="B793" s="323" t="n"/>
      <c r="C793" s="320" t="n"/>
      <c r="D793" s="326" t="n"/>
      <c r="E793" s="324" t="n"/>
      <c r="F793" s="320" t="n"/>
      <c r="G793" s="327" t="n"/>
      <c r="H793" s="271" t="n"/>
      <c r="I793" s="275">
        <f>IF(COUNTA(A793:F793)=0,"",IF(OR(E793&lt;0,F793&lt;0,F793&gt;10),"ERRO: valores inválidos",IF(COUNTIFS($A$5:$A$1200,A793,$B$5:$B$1200,B793,$C$5:$C$1200,C793,$D$5:$D$1200,D793)&gt;1,"ERRO: chave duplicada","OK")))</f>
        <v/>
      </c>
    </row>
    <row r="794" ht="15" customHeight="1" s="131">
      <c r="A794" s="320" t="n"/>
      <c r="B794" s="323" t="n"/>
      <c r="C794" s="320" t="n"/>
      <c r="D794" s="326" t="n"/>
      <c r="E794" s="324" t="n"/>
      <c r="F794" s="320" t="n"/>
      <c r="G794" s="327" t="n"/>
      <c r="H794" s="271" t="n"/>
      <c r="I794" s="275">
        <f>IF(COUNTA(A794:F794)=0,"",IF(OR(E794&lt;0,F794&lt;0,F794&gt;10),"ERRO: valores inválidos",IF(COUNTIFS($A$5:$A$1200,A794,$B$5:$B$1200,B794,$C$5:$C$1200,C794,$D$5:$D$1200,D794)&gt;1,"ERRO: chave duplicada","OK")))</f>
        <v/>
      </c>
    </row>
    <row r="795" ht="15" customHeight="1" s="131">
      <c r="A795" s="320" t="n"/>
      <c r="B795" s="323" t="n"/>
      <c r="C795" s="320" t="n"/>
      <c r="D795" s="326" t="n"/>
      <c r="E795" s="324" t="n"/>
      <c r="F795" s="320" t="n"/>
      <c r="G795" s="327" t="n"/>
      <c r="H795" s="271" t="n"/>
      <c r="I795" s="275">
        <f>IF(COUNTA(A795:F795)=0,"",IF(OR(E795&lt;0,F795&lt;0,F795&gt;10),"ERRO: valores inválidos",IF(COUNTIFS($A$5:$A$1200,A795,$B$5:$B$1200,B795,$C$5:$C$1200,C795,$D$5:$D$1200,D795)&gt;1,"ERRO: chave duplicada","OK")))</f>
        <v/>
      </c>
    </row>
    <row r="796" ht="15" customHeight="1" s="131">
      <c r="A796" s="320" t="n"/>
      <c r="B796" s="323" t="n"/>
      <c r="C796" s="320" t="n"/>
      <c r="D796" s="326" t="n"/>
      <c r="E796" s="324" t="n"/>
      <c r="F796" s="320" t="n"/>
      <c r="G796" s="327" t="n"/>
      <c r="H796" s="271" t="n"/>
      <c r="I796" s="275">
        <f>IF(COUNTA(A796:F796)=0,"",IF(OR(E796&lt;0,F796&lt;0,F796&gt;10),"ERRO: valores inválidos",IF(COUNTIFS($A$5:$A$1200,A796,$B$5:$B$1200,B796,$C$5:$C$1200,C796,$D$5:$D$1200,D796)&gt;1,"ERRO: chave duplicada","OK")))</f>
        <v/>
      </c>
    </row>
    <row r="797" ht="15" customHeight="1" s="131">
      <c r="A797" s="320" t="n"/>
      <c r="B797" s="323" t="n"/>
      <c r="C797" s="320" t="n"/>
      <c r="D797" s="326" t="n"/>
      <c r="E797" s="324" t="n"/>
      <c r="F797" s="320" t="n"/>
      <c r="G797" s="327" t="n"/>
      <c r="H797" s="271" t="n"/>
      <c r="I797" s="275">
        <f>IF(COUNTA(A797:F797)=0,"",IF(OR(E797&lt;0,F797&lt;0,F797&gt;10),"ERRO: valores inválidos",IF(COUNTIFS($A$5:$A$1200,A797,$B$5:$B$1200,B797,$C$5:$C$1200,C797,$D$5:$D$1200,D797)&gt;1,"ERRO: chave duplicada","OK")))</f>
        <v/>
      </c>
    </row>
    <row r="798" ht="15" customHeight="1" s="131">
      <c r="A798" s="320" t="n"/>
      <c r="B798" s="323" t="n"/>
      <c r="C798" s="320" t="n"/>
      <c r="D798" s="326" t="n"/>
      <c r="E798" s="324" t="n"/>
      <c r="F798" s="320" t="n"/>
      <c r="G798" s="327" t="n"/>
      <c r="H798" s="271" t="n"/>
      <c r="I798" s="275">
        <f>IF(COUNTA(A798:F798)=0,"",IF(OR(E798&lt;0,F798&lt;0,F798&gt;10),"ERRO: valores inválidos",IF(COUNTIFS($A$5:$A$1200,A798,$B$5:$B$1200,B798,$C$5:$C$1200,C798,$D$5:$D$1200,D798)&gt;1,"ERRO: chave duplicada","OK")))</f>
        <v/>
      </c>
    </row>
    <row r="799" ht="15" customHeight="1" s="131">
      <c r="A799" s="320" t="n"/>
      <c r="B799" s="323" t="n"/>
      <c r="C799" s="320" t="n"/>
      <c r="D799" s="326" t="n"/>
      <c r="E799" s="324" t="n"/>
      <c r="F799" s="320" t="n"/>
      <c r="G799" s="327" t="n"/>
      <c r="H799" s="271" t="n"/>
      <c r="I799" s="275">
        <f>IF(COUNTA(A799:F799)=0,"",IF(OR(E799&lt;0,F799&lt;0,F799&gt;10),"ERRO: valores inválidos",IF(COUNTIFS($A$5:$A$1200,A799,$B$5:$B$1200,B799,$C$5:$C$1200,C799,$D$5:$D$1200,D799)&gt;1,"ERRO: chave duplicada","OK")))</f>
        <v/>
      </c>
    </row>
    <row r="800" ht="15" customHeight="1" s="131">
      <c r="A800" s="320" t="n"/>
      <c r="B800" s="323" t="n"/>
      <c r="C800" s="320" t="n"/>
      <c r="D800" s="326" t="n"/>
      <c r="E800" s="324" t="n"/>
      <c r="F800" s="320" t="n"/>
      <c r="G800" s="327" t="n"/>
      <c r="H800" s="271" t="n"/>
      <c r="I800" s="275">
        <f>IF(COUNTA(A800:F800)=0,"",IF(OR(E800&lt;0,F800&lt;0,F800&gt;10),"ERRO: valores inválidos",IF(COUNTIFS($A$5:$A$1200,A800,$B$5:$B$1200,B800,$C$5:$C$1200,C800,$D$5:$D$1200,D800)&gt;1,"ERRO: chave duplicada","OK")))</f>
        <v/>
      </c>
    </row>
    <row r="801" ht="15" customHeight="1" s="131">
      <c r="A801" s="320" t="n"/>
      <c r="B801" s="323" t="n"/>
      <c r="C801" s="320" t="n"/>
      <c r="D801" s="326" t="n"/>
      <c r="E801" s="324" t="n"/>
      <c r="F801" s="320" t="n"/>
      <c r="G801" s="327" t="n"/>
      <c r="H801" s="271" t="n"/>
      <c r="I801" s="275">
        <f>IF(COUNTA(A801:F801)=0,"",IF(OR(E801&lt;0,F801&lt;0,F801&gt;10),"ERRO: valores inválidos",IF(COUNTIFS($A$5:$A$1200,A801,$B$5:$B$1200,B801,$C$5:$C$1200,C801,$D$5:$D$1200,D801)&gt;1,"ERRO: chave duplicada","OK")))</f>
        <v/>
      </c>
    </row>
    <row r="802" ht="15" customHeight="1" s="131">
      <c r="A802" s="320" t="n"/>
      <c r="B802" s="323" t="n"/>
      <c r="C802" s="320" t="n"/>
      <c r="D802" s="326" t="n"/>
      <c r="E802" s="324" t="n"/>
      <c r="F802" s="320" t="n"/>
      <c r="G802" s="327" t="n"/>
      <c r="H802" s="271" t="n"/>
      <c r="I802" s="275">
        <f>IF(COUNTA(A802:F802)=0,"",IF(OR(E802&lt;0,F802&lt;0,F802&gt;10),"ERRO: valores inválidos",IF(COUNTIFS($A$5:$A$1200,A802,$B$5:$B$1200,B802,$C$5:$C$1200,C802,$D$5:$D$1200,D802)&gt;1,"ERRO: chave duplicada","OK")))</f>
        <v/>
      </c>
    </row>
    <row r="803" ht="15" customHeight="1" s="131">
      <c r="A803" s="320" t="n"/>
      <c r="B803" s="323" t="n"/>
      <c r="C803" s="320" t="n"/>
      <c r="D803" s="326" t="n"/>
      <c r="E803" s="324" t="n"/>
      <c r="F803" s="320" t="n"/>
      <c r="G803" s="327" t="n"/>
      <c r="H803" s="271" t="n"/>
      <c r="I803" s="275">
        <f>IF(COUNTA(A803:F803)=0,"",IF(OR(E803&lt;0,F803&lt;0,F803&gt;10),"ERRO: valores inválidos",IF(COUNTIFS($A$5:$A$1200,A803,$B$5:$B$1200,B803,$C$5:$C$1200,C803,$D$5:$D$1200,D803)&gt;1,"ERRO: chave duplicada","OK")))</f>
        <v/>
      </c>
    </row>
    <row r="804" ht="15" customHeight="1" s="131">
      <c r="A804" s="320" t="n"/>
      <c r="B804" s="323" t="n"/>
      <c r="C804" s="320" t="n"/>
      <c r="D804" s="326" t="n"/>
      <c r="E804" s="324" t="n"/>
      <c r="F804" s="320" t="n"/>
      <c r="G804" s="327" t="n"/>
      <c r="H804" s="271" t="n"/>
      <c r="I804" s="275">
        <f>IF(COUNTA(A804:F804)=0,"",IF(OR(E804&lt;0,F804&lt;0,F804&gt;10),"ERRO: valores inválidos",IF(COUNTIFS($A$5:$A$1200,A804,$B$5:$B$1200,B804,$C$5:$C$1200,C804,$D$5:$D$1200,D804)&gt;1,"ERRO: chave duplicada","OK")))</f>
        <v/>
      </c>
    </row>
    <row r="805" ht="15" customHeight="1" s="131">
      <c r="A805" s="320" t="n"/>
      <c r="B805" s="323" t="n"/>
      <c r="C805" s="320" t="n"/>
      <c r="D805" s="326" t="n"/>
      <c r="E805" s="324" t="n"/>
      <c r="F805" s="320" t="n"/>
      <c r="G805" s="327" t="n"/>
      <c r="H805" s="271" t="n"/>
      <c r="I805" s="275">
        <f>IF(COUNTA(A805:F805)=0,"",IF(OR(E805&lt;0,F805&lt;0,F805&gt;10),"ERRO: valores inválidos",IF(COUNTIFS($A$5:$A$1200,A805,$B$5:$B$1200,B805,$C$5:$C$1200,C805,$D$5:$D$1200,D805)&gt;1,"ERRO: chave duplicada","OK")))</f>
        <v/>
      </c>
    </row>
    <row r="806" ht="15" customHeight="1" s="131">
      <c r="A806" s="320" t="n"/>
      <c r="B806" s="323" t="n"/>
      <c r="C806" s="320" t="n"/>
      <c r="D806" s="326" t="n"/>
      <c r="E806" s="324" t="n"/>
      <c r="F806" s="320" t="n"/>
      <c r="G806" s="327" t="n"/>
      <c r="H806" s="271" t="n"/>
      <c r="I806" s="275">
        <f>IF(COUNTA(A806:F806)=0,"",IF(OR(E806&lt;0,F806&lt;0,F806&gt;10),"ERRO: valores inválidos",IF(COUNTIFS($A$5:$A$1200,A806,$B$5:$B$1200,B806,$C$5:$C$1200,C806,$D$5:$D$1200,D806)&gt;1,"ERRO: chave duplicada","OK")))</f>
        <v/>
      </c>
    </row>
    <row r="807" ht="15" customHeight="1" s="131">
      <c r="A807" s="320" t="n"/>
      <c r="B807" s="323" t="n"/>
      <c r="C807" s="320" t="n"/>
      <c r="D807" s="326" t="n"/>
      <c r="E807" s="324" t="n"/>
      <c r="F807" s="320" t="n"/>
      <c r="G807" s="327" t="n"/>
      <c r="H807" s="271" t="n"/>
      <c r="I807" s="275">
        <f>IF(COUNTA(A807:F807)=0,"",IF(OR(E807&lt;0,F807&lt;0,F807&gt;10),"ERRO: valores inválidos",IF(COUNTIFS($A$5:$A$1200,A807,$B$5:$B$1200,B807,$C$5:$C$1200,C807,$D$5:$D$1200,D807)&gt;1,"ERRO: chave duplicada","OK")))</f>
        <v/>
      </c>
    </row>
    <row r="808" ht="15" customHeight="1" s="131">
      <c r="A808" s="320" t="n"/>
      <c r="B808" s="323" t="n"/>
      <c r="C808" s="320" t="n"/>
      <c r="D808" s="326" t="n"/>
      <c r="E808" s="324" t="n"/>
      <c r="F808" s="320" t="n"/>
      <c r="G808" s="327" t="n"/>
      <c r="H808" s="271" t="n"/>
      <c r="I808" s="275">
        <f>IF(COUNTA(A808:F808)=0,"",IF(OR(E808&lt;0,F808&lt;0,F808&gt;10),"ERRO: valores inválidos",IF(COUNTIFS($A$5:$A$1200,A808,$B$5:$B$1200,B808,$C$5:$C$1200,C808,$D$5:$D$1200,D808)&gt;1,"ERRO: chave duplicada","OK")))</f>
        <v/>
      </c>
    </row>
    <row r="809" ht="15" customHeight="1" s="131">
      <c r="A809" s="320" t="n"/>
      <c r="B809" s="323" t="n"/>
      <c r="C809" s="320" t="n"/>
      <c r="D809" s="326" t="n"/>
      <c r="E809" s="324" t="n"/>
      <c r="F809" s="320" t="n"/>
      <c r="G809" s="327" t="n"/>
      <c r="H809" s="271" t="n"/>
      <c r="I809" s="275">
        <f>IF(COUNTA(A809:F809)=0,"",IF(OR(E809&lt;0,F809&lt;0,F809&gt;10),"ERRO: valores inválidos",IF(COUNTIFS($A$5:$A$1200,A809,$B$5:$B$1200,B809,$C$5:$C$1200,C809,$D$5:$D$1200,D809)&gt;1,"ERRO: chave duplicada","OK")))</f>
        <v/>
      </c>
    </row>
    <row r="810" ht="15" customHeight="1" s="131">
      <c r="A810" s="320" t="n"/>
      <c r="B810" s="323" t="n"/>
      <c r="C810" s="320" t="n"/>
      <c r="D810" s="326" t="n"/>
      <c r="E810" s="324" t="n"/>
      <c r="F810" s="320" t="n"/>
      <c r="G810" s="327" t="n"/>
      <c r="H810" s="271" t="n"/>
      <c r="I810" s="275">
        <f>IF(COUNTA(A810:F810)=0,"",IF(OR(E810&lt;0,F810&lt;0,F810&gt;10),"ERRO: valores inválidos",IF(COUNTIFS($A$5:$A$1200,A810,$B$5:$B$1200,B810,$C$5:$C$1200,C810,$D$5:$D$1200,D810)&gt;1,"ERRO: chave duplicada","OK")))</f>
        <v/>
      </c>
    </row>
    <row r="811" ht="15" customHeight="1" s="131">
      <c r="A811" s="320" t="n"/>
      <c r="B811" s="323" t="n"/>
      <c r="C811" s="320" t="n"/>
      <c r="D811" s="326" t="n"/>
      <c r="E811" s="324" t="n"/>
      <c r="F811" s="320" t="n"/>
      <c r="G811" s="327" t="n"/>
      <c r="H811" s="271" t="n"/>
      <c r="I811" s="275">
        <f>IF(COUNTA(A811:F811)=0,"",IF(OR(E811&lt;0,F811&lt;0,F811&gt;10),"ERRO: valores inválidos",IF(COUNTIFS($A$5:$A$1200,A811,$B$5:$B$1200,B811,$C$5:$C$1200,C811,$D$5:$D$1200,D811)&gt;1,"ERRO: chave duplicada","OK")))</f>
        <v/>
      </c>
    </row>
    <row r="812" ht="15" customHeight="1" s="131">
      <c r="A812" s="320" t="n"/>
      <c r="B812" s="323" t="n"/>
      <c r="C812" s="320" t="n"/>
      <c r="D812" s="326" t="n"/>
      <c r="E812" s="324" t="n"/>
      <c r="F812" s="320" t="n"/>
      <c r="G812" s="327" t="n"/>
      <c r="H812" s="271" t="n"/>
      <c r="I812" s="275">
        <f>IF(COUNTA(A812:F812)=0,"",IF(OR(E812&lt;0,F812&lt;0,F812&gt;10),"ERRO: valores inválidos",IF(COUNTIFS($A$5:$A$1200,A812,$B$5:$B$1200,B812,$C$5:$C$1200,C812,$D$5:$D$1200,D812)&gt;1,"ERRO: chave duplicada","OK")))</f>
        <v/>
      </c>
    </row>
    <row r="813" ht="15" customHeight="1" s="131">
      <c r="A813" s="320" t="n"/>
      <c r="B813" s="323" t="n"/>
      <c r="C813" s="320" t="n"/>
      <c r="D813" s="326" t="n"/>
      <c r="E813" s="324" t="n"/>
      <c r="F813" s="320" t="n"/>
      <c r="G813" s="327" t="n"/>
      <c r="H813" s="271" t="n"/>
      <c r="I813" s="275">
        <f>IF(COUNTA(A813:F813)=0,"",IF(OR(E813&lt;0,F813&lt;0,F813&gt;10),"ERRO: valores inválidos",IF(COUNTIFS($A$5:$A$1200,A813,$B$5:$B$1200,B813,$C$5:$C$1200,C813,$D$5:$D$1200,D813)&gt;1,"ERRO: chave duplicada","OK")))</f>
        <v/>
      </c>
    </row>
    <row r="814" ht="15" customHeight="1" s="131">
      <c r="A814" s="320" t="n"/>
      <c r="B814" s="323" t="n"/>
      <c r="C814" s="320" t="n"/>
      <c r="D814" s="326" t="n"/>
      <c r="E814" s="324" t="n"/>
      <c r="F814" s="320" t="n"/>
      <c r="G814" s="327" t="n"/>
      <c r="H814" s="271" t="n"/>
      <c r="I814" s="275">
        <f>IF(COUNTA(A814:F814)=0,"",IF(OR(E814&lt;0,F814&lt;0,F814&gt;10),"ERRO: valores inválidos",IF(COUNTIFS($A$5:$A$1200,A814,$B$5:$B$1200,B814,$C$5:$C$1200,C814,$D$5:$D$1200,D814)&gt;1,"ERRO: chave duplicada","OK")))</f>
        <v/>
      </c>
    </row>
    <row r="815" ht="15" customHeight="1" s="131">
      <c r="A815" s="320" t="n"/>
      <c r="B815" s="323" t="n"/>
      <c r="C815" s="320" t="n"/>
      <c r="D815" s="326" t="n"/>
      <c r="E815" s="324" t="n"/>
      <c r="F815" s="320" t="n"/>
      <c r="G815" s="327" t="n"/>
      <c r="H815" s="271" t="n"/>
      <c r="I815" s="275">
        <f>IF(COUNTA(A815:F815)=0,"",IF(OR(E815&lt;0,F815&lt;0,F815&gt;10),"ERRO: valores inválidos",IF(COUNTIFS($A$5:$A$1200,A815,$B$5:$B$1200,B815,$C$5:$C$1200,C815,$D$5:$D$1200,D815)&gt;1,"ERRO: chave duplicada","OK")))</f>
        <v/>
      </c>
    </row>
    <row r="816" ht="15" customHeight="1" s="131">
      <c r="A816" s="320" t="n"/>
      <c r="B816" s="323" t="n"/>
      <c r="C816" s="320" t="n"/>
      <c r="D816" s="326" t="n"/>
      <c r="E816" s="324" t="n"/>
      <c r="F816" s="320" t="n"/>
      <c r="G816" s="327" t="n"/>
      <c r="H816" s="271" t="n"/>
      <c r="I816" s="275">
        <f>IF(COUNTA(A816:F816)=0,"",IF(OR(E816&lt;0,F816&lt;0,F816&gt;10),"ERRO: valores inválidos",IF(COUNTIFS($A$5:$A$1200,A816,$B$5:$B$1200,B816,$C$5:$C$1200,C816,$D$5:$D$1200,D816)&gt;1,"ERRO: chave duplicada","OK")))</f>
        <v/>
      </c>
    </row>
    <row r="817" ht="15" customHeight="1" s="131">
      <c r="A817" s="320" t="n"/>
      <c r="B817" s="323" t="n"/>
      <c r="C817" s="320" t="n"/>
      <c r="D817" s="326" t="n"/>
      <c r="E817" s="324" t="n"/>
      <c r="F817" s="320" t="n"/>
      <c r="G817" s="327" t="n"/>
      <c r="H817" s="271" t="n"/>
      <c r="I817" s="275">
        <f>IF(COUNTA(A817:F817)=0,"",IF(OR(E817&lt;0,F817&lt;0,F817&gt;10),"ERRO: valores inválidos",IF(COUNTIFS($A$5:$A$1200,A817,$B$5:$B$1200,B817,$C$5:$C$1200,C817,$D$5:$D$1200,D817)&gt;1,"ERRO: chave duplicada","OK")))</f>
        <v/>
      </c>
    </row>
    <row r="818" ht="15" customHeight="1" s="131">
      <c r="A818" s="320" t="n"/>
      <c r="B818" s="323" t="n"/>
      <c r="C818" s="320" t="n"/>
      <c r="D818" s="326" t="n"/>
      <c r="E818" s="324" t="n"/>
      <c r="F818" s="320" t="n"/>
      <c r="G818" s="327" t="n"/>
      <c r="H818" s="271" t="n"/>
      <c r="I818" s="275">
        <f>IF(COUNTA(A818:F818)=0,"",IF(OR(E818&lt;0,F818&lt;0,F818&gt;10),"ERRO: valores inválidos",IF(COUNTIFS($A$5:$A$1200,A818,$B$5:$B$1200,B818,$C$5:$C$1200,C818,$D$5:$D$1200,D818)&gt;1,"ERRO: chave duplicada","OK")))</f>
        <v/>
      </c>
    </row>
    <row r="819" ht="15" customHeight="1" s="131">
      <c r="A819" s="320" t="n"/>
      <c r="B819" s="323" t="n"/>
      <c r="C819" s="320" t="n"/>
      <c r="D819" s="326" t="n"/>
      <c r="E819" s="324" t="n"/>
      <c r="F819" s="320" t="n"/>
      <c r="G819" s="327" t="n"/>
      <c r="H819" s="271" t="n"/>
      <c r="I819" s="275">
        <f>IF(COUNTA(A819:F819)=0,"",IF(OR(E819&lt;0,F819&lt;0,F819&gt;10),"ERRO: valores inválidos",IF(COUNTIFS($A$5:$A$1200,A819,$B$5:$B$1200,B819,$C$5:$C$1200,C819,$D$5:$D$1200,D819)&gt;1,"ERRO: chave duplicada","OK")))</f>
        <v/>
      </c>
    </row>
    <row r="820" ht="15" customHeight="1" s="131">
      <c r="A820" s="320" t="n"/>
      <c r="B820" s="323" t="n"/>
      <c r="C820" s="320" t="n"/>
      <c r="D820" s="326" t="n"/>
      <c r="E820" s="324" t="n"/>
      <c r="F820" s="320" t="n"/>
      <c r="G820" s="327" t="n"/>
      <c r="H820" s="271" t="n"/>
      <c r="I820" s="275">
        <f>IF(COUNTA(A820:F820)=0,"",IF(OR(E820&lt;0,F820&lt;0,F820&gt;10),"ERRO: valores inválidos",IF(COUNTIFS($A$5:$A$1200,A820,$B$5:$B$1200,B820,$C$5:$C$1200,C820,$D$5:$D$1200,D820)&gt;1,"ERRO: chave duplicada","OK")))</f>
        <v/>
      </c>
    </row>
    <row r="821" ht="15" customHeight="1" s="131">
      <c r="A821" s="320" t="n"/>
      <c r="B821" s="323" t="n"/>
      <c r="C821" s="320" t="n"/>
      <c r="D821" s="326" t="n"/>
      <c r="E821" s="324" t="n"/>
      <c r="F821" s="320" t="n"/>
      <c r="G821" s="327" t="n"/>
      <c r="H821" s="271" t="n"/>
      <c r="I821" s="275">
        <f>IF(COUNTA(A821:F821)=0,"",IF(OR(E821&lt;0,F821&lt;0,F821&gt;10),"ERRO: valores inválidos",IF(COUNTIFS($A$5:$A$1200,A821,$B$5:$B$1200,B821,$C$5:$C$1200,C821,$D$5:$D$1200,D821)&gt;1,"ERRO: chave duplicada","OK")))</f>
        <v/>
      </c>
    </row>
    <row r="822" ht="15" customHeight="1" s="131">
      <c r="A822" s="320" t="n"/>
      <c r="B822" s="323" t="n"/>
      <c r="C822" s="320" t="n"/>
      <c r="D822" s="326" t="n"/>
      <c r="E822" s="324" t="n"/>
      <c r="F822" s="320" t="n"/>
      <c r="G822" s="327" t="n"/>
      <c r="H822" s="271" t="n"/>
      <c r="I822" s="275">
        <f>IF(COUNTA(A822:F822)=0,"",IF(OR(E822&lt;0,F822&lt;0,F822&gt;10),"ERRO: valores inválidos",IF(COUNTIFS($A$5:$A$1200,A822,$B$5:$B$1200,B822,$C$5:$C$1200,C822,$D$5:$D$1200,D822)&gt;1,"ERRO: chave duplicada","OK")))</f>
        <v/>
      </c>
    </row>
    <row r="823" ht="15" customHeight="1" s="131">
      <c r="A823" s="320" t="n"/>
      <c r="B823" s="323" t="n"/>
      <c r="C823" s="320" t="n"/>
      <c r="D823" s="326" t="n"/>
      <c r="E823" s="324" t="n"/>
      <c r="F823" s="320" t="n"/>
      <c r="G823" s="327" t="n"/>
      <c r="H823" s="271" t="n"/>
      <c r="I823" s="275">
        <f>IF(COUNTA(A823:F823)=0,"",IF(OR(E823&lt;0,F823&lt;0,F823&gt;10),"ERRO: valores inválidos",IF(COUNTIFS($A$5:$A$1200,A823,$B$5:$B$1200,B823,$C$5:$C$1200,C823,$D$5:$D$1200,D823)&gt;1,"ERRO: chave duplicada","OK")))</f>
        <v/>
      </c>
    </row>
    <row r="824" ht="15" customHeight="1" s="131">
      <c r="A824" s="320" t="n"/>
      <c r="B824" s="323" t="n"/>
      <c r="C824" s="320" t="n"/>
      <c r="D824" s="326" t="n"/>
      <c r="E824" s="324" t="n"/>
      <c r="F824" s="320" t="n"/>
      <c r="G824" s="327" t="n"/>
      <c r="H824" s="271" t="n"/>
      <c r="I824" s="275">
        <f>IF(COUNTA(A824:F824)=0,"",IF(OR(E824&lt;0,F824&lt;0,F824&gt;10),"ERRO: valores inválidos",IF(COUNTIFS($A$5:$A$1200,A824,$B$5:$B$1200,B824,$C$5:$C$1200,C824,$D$5:$D$1200,D824)&gt;1,"ERRO: chave duplicada","OK")))</f>
        <v/>
      </c>
    </row>
    <row r="825" ht="15" customHeight="1" s="131">
      <c r="A825" s="320" t="n"/>
      <c r="B825" s="323" t="n"/>
      <c r="C825" s="320" t="n"/>
      <c r="D825" s="326" t="n"/>
      <c r="E825" s="324" t="n"/>
      <c r="F825" s="320" t="n"/>
      <c r="G825" s="327" t="n"/>
      <c r="H825" s="271" t="n"/>
      <c r="I825" s="275">
        <f>IF(COUNTA(A825:F825)=0,"",IF(OR(E825&lt;0,F825&lt;0,F825&gt;10),"ERRO: valores inválidos",IF(COUNTIFS($A$5:$A$1200,A825,$B$5:$B$1200,B825,$C$5:$C$1200,C825,$D$5:$D$1200,D825)&gt;1,"ERRO: chave duplicada","OK")))</f>
        <v/>
      </c>
    </row>
    <row r="826" ht="15" customHeight="1" s="131">
      <c r="A826" s="320" t="n"/>
      <c r="B826" s="323" t="n"/>
      <c r="C826" s="320" t="n"/>
      <c r="D826" s="326" t="n"/>
      <c r="E826" s="324" t="n"/>
      <c r="F826" s="320" t="n"/>
      <c r="G826" s="327" t="n"/>
      <c r="H826" s="271" t="n"/>
      <c r="I826" s="275">
        <f>IF(COUNTA(A826:F826)=0,"",IF(OR(E826&lt;0,F826&lt;0,F826&gt;10),"ERRO: valores inválidos",IF(COUNTIFS($A$5:$A$1200,A826,$B$5:$B$1200,B826,$C$5:$C$1200,C826,$D$5:$D$1200,D826)&gt;1,"ERRO: chave duplicada","OK")))</f>
        <v/>
      </c>
    </row>
    <row r="827" ht="15" customHeight="1" s="131">
      <c r="A827" s="320" t="n"/>
      <c r="B827" s="323" t="n"/>
      <c r="C827" s="320" t="n"/>
      <c r="D827" s="326" t="n"/>
      <c r="E827" s="324" t="n"/>
      <c r="F827" s="320" t="n"/>
      <c r="G827" s="327" t="n"/>
      <c r="H827" s="271" t="n"/>
      <c r="I827" s="275">
        <f>IF(COUNTA(A827:F827)=0,"",IF(OR(E827&lt;0,F827&lt;0,F827&gt;10),"ERRO: valores inválidos",IF(COUNTIFS($A$5:$A$1200,A827,$B$5:$B$1200,B827,$C$5:$C$1200,C827,$D$5:$D$1200,D827)&gt;1,"ERRO: chave duplicada","OK")))</f>
        <v/>
      </c>
    </row>
    <row r="828" ht="15" customHeight="1" s="131">
      <c r="A828" s="320" t="n"/>
      <c r="B828" s="323" t="n"/>
      <c r="C828" s="320" t="n"/>
      <c r="D828" s="326" t="n"/>
      <c r="E828" s="324" t="n"/>
      <c r="F828" s="320" t="n"/>
      <c r="G828" s="327" t="n"/>
      <c r="H828" s="271" t="n"/>
      <c r="I828" s="275">
        <f>IF(COUNTA(A828:F828)=0,"",IF(OR(E828&lt;0,F828&lt;0,F828&gt;10),"ERRO: valores inválidos",IF(COUNTIFS($A$5:$A$1200,A828,$B$5:$B$1200,B828,$C$5:$C$1200,C828,$D$5:$D$1200,D828)&gt;1,"ERRO: chave duplicada","OK")))</f>
        <v/>
      </c>
    </row>
    <row r="829" ht="15" customHeight="1" s="131">
      <c r="A829" s="320" t="n"/>
      <c r="B829" s="323" t="n"/>
      <c r="C829" s="320" t="n"/>
      <c r="D829" s="326" t="n"/>
      <c r="E829" s="324" t="n"/>
      <c r="F829" s="320" t="n"/>
      <c r="G829" s="327" t="n"/>
      <c r="H829" s="271" t="n"/>
      <c r="I829" s="275">
        <f>IF(COUNTA(A829:F829)=0,"",IF(OR(E829&lt;0,F829&lt;0,F829&gt;10),"ERRO: valores inválidos",IF(COUNTIFS($A$5:$A$1200,A829,$B$5:$B$1200,B829,$C$5:$C$1200,C829,$D$5:$D$1200,D829)&gt;1,"ERRO: chave duplicada","OK")))</f>
        <v/>
      </c>
    </row>
    <row r="830" ht="15" customHeight="1" s="131">
      <c r="A830" s="320" t="n"/>
      <c r="B830" s="323" t="n"/>
      <c r="C830" s="320" t="n"/>
      <c r="D830" s="326" t="n"/>
      <c r="E830" s="324" t="n"/>
      <c r="F830" s="320" t="n"/>
      <c r="G830" s="327" t="n"/>
      <c r="H830" s="271" t="n"/>
      <c r="I830" s="275">
        <f>IF(COUNTA(A830:F830)=0,"",IF(OR(E830&lt;0,F830&lt;0,F830&gt;10),"ERRO: valores inválidos",IF(COUNTIFS($A$5:$A$1200,A830,$B$5:$B$1200,B830,$C$5:$C$1200,C830,$D$5:$D$1200,D830)&gt;1,"ERRO: chave duplicada","OK")))</f>
        <v/>
      </c>
    </row>
    <row r="831" ht="15" customHeight="1" s="131">
      <c r="A831" s="320" t="n"/>
      <c r="B831" s="323" t="n"/>
      <c r="C831" s="320" t="n"/>
      <c r="D831" s="326" t="n"/>
      <c r="E831" s="324" t="n"/>
      <c r="F831" s="320" t="n"/>
      <c r="G831" s="327" t="n"/>
      <c r="H831" s="271" t="n"/>
      <c r="I831" s="275">
        <f>IF(COUNTA(A831:F831)=0,"",IF(OR(E831&lt;0,F831&lt;0,F831&gt;10),"ERRO: valores inválidos",IF(COUNTIFS($A$5:$A$1200,A831,$B$5:$B$1200,B831,$C$5:$C$1200,C831,$D$5:$D$1200,D831)&gt;1,"ERRO: chave duplicada","OK")))</f>
        <v/>
      </c>
    </row>
    <row r="832" ht="15" customHeight="1" s="131">
      <c r="A832" s="320" t="n"/>
      <c r="B832" s="323" t="n"/>
      <c r="C832" s="320" t="n"/>
      <c r="D832" s="326" t="n"/>
      <c r="E832" s="324" t="n"/>
      <c r="F832" s="320" t="n"/>
      <c r="G832" s="327" t="n"/>
      <c r="H832" s="271" t="n"/>
      <c r="I832" s="275">
        <f>IF(COUNTA(A832:F832)=0,"",IF(OR(E832&lt;0,F832&lt;0,F832&gt;10),"ERRO: valores inválidos",IF(COUNTIFS($A$5:$A$1200,A832,$B$5:$B$1200,B832,$C$5:$C$1200,C832,$D$5:$D$1200,D832)&gt;1,"ERRO: chave duplicada","OK")))</f>
        <v/>
      </c>
    </row>
    <row r="833" ht="15" customHeight="1" s="131">
      <c r="A833" s="320" t="n"/>
      <c r="B833" s="323" t="n"/>
      <c r="C833" s="320" t="n"/>
      <c r="D833" s="326" t="n"/>
      <c r="E833" s="324" t="n"/>
      <c r="F833" s="320" t="n"/>
      <c r="G833" s="327" t="n"/>
      <c r="H833" s="271" t="n"/>
      <c r="I833" s="275">
        <f>IF(COUNTA(A833:F833)=0,"",IF(OR(E833&lt;0,F833&lt;0,F833&gt;10),"ERRO: valores inválidos",IF(COUNTIFS($A$5:$A$1200,A833,$B$5:$B$1200,B833,$C$5:$C$1200,C833,$D$5:$D$1200,D833)&gt;1,"ERRO: chave duplicada","OK")))</f>
        <v/>
      </c>
    </row>
    <row r="834" ht="15" customHeight="1" s="131">
      <c r="A834" s="320" t="n"/>
      <c r="B834" s="323" t="n"/>
      <c r="C834" s="320" t="n"/>
      <c r="D834" s="326" t="n"/>
      <c r="E834" s="324" t="n"/>
      <c r="F834" s="320" t="n"/>
      <c r="G834" s="327" t="n"/>
      <c r="H834" s="271" t="n"/>
      <c r="I834" s="275">
        <f>IF(COUNTA(A834:F834)=0,"",IF(OR(E834&lt;0,F834&lt;0,F834&gt;10),"ERRO: valores inválidos",IF(COUNTIFS($A$5:$A$1200,A834,$B$5:$B$1200,B834,$C$5:$C$1200,C834,$D$5:$D$1200,D834)&gt;1,"ERRO: chave duplicada","OK")))</f>
        <v/>
      </c>
    </row>
    <row r="835" ht="15" customHeight="1" s="131">
      <c r="A835" s="320" t="n"/>
      <c r="B835" s="323" t="n"/>
      <c r="C835" s="320" t="n"/>
      <c r="D835" s="326" t="n"/>
      <c r="E835" s="324" t="n"/>
      <c r="F835" s="320" t="n"/>
      <c r="G835" s="327" t="n"/>
      <c r="H835" s="271" t="n"/>
      <c r="I835" s="275">
        <f>IF(COUNTA(A835:F835)=0,"",IF(OR(E835&lt;0,F835&lt;0,F835&gt;10),"ERRO: valores inválidos",IF(COUNTIFS($A$5:$A$1200,A835,$B$5:$B$1200,B835,$C$5:$C$1200,C835,$D$5:$D$1200,D835)&gt;1,"ERRO: chave duplicada","OK")))</f>
        <v/>
      </c>
    </row>
    <row r="836" ht="15" customHeight="1" s="131">
      <c r="A836" s="320" t="n"/>
      <c r="B836" s="323" t="n"/>
      <c r="C836" s="320" t="n"/>
      <c r="D836" s="326" t="n"/>
      <c r="E836" s="324" t="n"/>
      <c r="F836" s="320" t="n"/>
      <c r="G836" s="327" t="n"/>
      <c r="H836" s="271" t="n"/>
      <c r="I836" s="275">
        <f>IF(COUNTA(A836:F836)=0,"",IF(OR(E836&lt;0,F836&lt;0,F836&gt;10),"ERRO: valores inválidos",IF(COUNTIFS($A$5:$A$1200,A836,$B$5:$B$1200,B836,$C$5:$C$1200,C836,$D$5:$D$1200,D836)&gt;1,"ERRO: chave duplicada","OK")))</f>
        <v/>
      </c>
    </row>
    <row r="837" ht="15" customHeight="1" s="131">
      <c r="A837" s="320" t="n"/>
      <c r="B837" s="323" t="n"/>
      <c r="C837" s="320" t="n"/>
      <c r="D837" s="326" t="n"/>
      <c r="E837" s="324" t="n"/>
      <c r="F837" s="320" t="n"/>
      <c r="G837" s="327" t="n"/>
      <c r="H837" s="271" t="n"/>
      <c r="I837" s="275">
        <f>IF(COUNTA(A837:F837)=0,"",IF(OR(E837&lt;0,F837&lt;0,F837&gt;10),"ERRO: valores inválidos",IF(COUNTIFS($A$5:$A$1200,A837,$B$5:$B$1200,B837,$C$5:$C$1200,C837,$D$5:$D$1200,D837)&gt;1,"ERRO: chave duplicada","OK")))</f>
        <v/>
      </c>
    </row>
    <row r="838" ht="15" customHeight="1" s="131">
      <c r="A838" s="320" t="n"/>
      <c r="B838" s="323" t="n"/>
      <c r="C838" s="320" t="n"/>
      <c r="D838" s="326" t="n"/>
      <c r="E838" s="324" t="n"/>
      <c r="F838" s="320" t="n"/>
      <c r="G838" s="327" t="n"/>
      <c r="H838" s="271" t="n"/>
      <c r="I838" s="275">
        <f>IF(COUNTA(A838:F838)=0,"",IF(OR(E838&lt;0,F838&lt;0,F838&gt;10),"ERRO: valores inválidos",IF(COUNTIFS($A$5:$A$1200,A838,$B$5:$B$1200,B838,$C$5:$C$1200,C838,$D$5:$D$1200,D838)&gt;1,"ERRO: chave duplicada","OK")))</f>
        <v/>
      </c>
    </row>
    <row r="839" ht="15" customHeight="1" s="131">
      <c r="A839" s="320" t="n"/>
      <c r="B839" s="323" t="n"/>
      <c r="C839" s="320" t="n"/>
      <c r="D839" s="326" t="n"/>
      <c r="E839" s="324" t="n"/>
      <c r="F839" s="320" t="n"/>
      <c r="G839" s="327" t="n"/>
      <c r="H839" s="271" t="n"/>
      <c r="I839" s="275">
        <f>IF(COUNTA(A839:F839)=0,"",IF(OR(E839&lt;0,F839&lt;0,F839&gt;10),"ERRO: valores inválidos",IF(COUNTIFS($A$5:$A$1200,A839,$B$5:$B$1200,B839,$C$5:$C$1200,C839,$D$5:$D$1200,D839)&gt;1,"ERRO: chave duplicada","OK")))</f>
        <v/>
      </c>
    </row>
    <row r="840" ht="15" customHeight="1" s="131">
      <c r="A840" s="320" t="n"/>
      <c r="B840" s="323" t="n"/>
      <c r="C840" s="320" t="n"/>
      <c r="D840" s="326" t="n"/>
      <c r="E840" s="324" t="n"/>
      <c r="F840" s="320" t="n"/>
      <c r="G840" s="327" t="n"/>
      <c r="H840" s="271" t="n"/>
      <c r="I840" s="275">
        <f>IF(COUNTA(A840:F840)=0,"",IF(OR(E840&lt;0,F840&lt;0,F840&gt;10),"ERRO: valores inválidos",IF(COUNTIFS($A$5:$A$1200,A840,$B$5:$B$1200,B840,$C$5:$C$1200,C840,$D$5:$D$1200,D840)&gt;1,"ERRO: chave duplicada","OK")))</f>
        <v/>
      </c>
    </row>
    <row r="841" ht="15" customHeight="1" s="131">
      <c r="A841" s="320" t="n"/>
      <c r="B841" s="323" t="n"/>
      <c r="C841" s="320" t="n"/>
      <c r="D841" s="326" t="n"/>
      <c r="E841" s="324" t="n"/>
      <c r="F841" s="320" t="n"/>
      <c r="G841" s="327" t="n"/>
      <c r="H841" s="271" t="n"/>
      <c r="I841" s="275">
        <f>IF(COUNTA(A841:F841)=0,"",IF(OR(E841&lt;0,F841&lt;0,F841&gt;10),"ERRO: valores inválidos",IF(COUNTIFS($A$5:$A$1200,A841,$B$5:$B$1200,B841,$C$5:$C$1200,C841,$D$5:$D$1200,D841)&gt;1,"ERRO: chave duplicada","OK")))</f>
        <v/>
      </c>
    </row>
    <row r="842" ht="15" customHeight="1" s="131">
      <c r="A842" s="320" t="n"/>
      <c r="B842" s="323" t="n"/>
      <c r="C842" s="320" t="n"/>
      <c r="D842" s="326" t="n"/>
      <c r="E842" s="324" t="n"/>
      <c r="F842" s="320" t="n"/>
      <c r="G842" s="327" t="n"/>
      <c r="H842" s="271" t="n"/>
      <c r="I842" s="275">
        <f>IF(COUNTA(A842:F842)=0,"",IF(OR(E842&lt;0,F842&lt;0,F842&gt;10),"ERRO: valores inválidos",IF(COUNTIFS($A$5:$A$1200,A842,$B$5:$B$1200,B842,$C$5:$C$1200,C842,$D$5:$D$1200,D842)&gt;1,"ERRO: chave duplicada","OK")))</f>
        <v/>
      </c>
    </row>
    <row r="843" ht="15" customHeight="1" s="131">
      <c r="A843" s="320" t="n"/>
      <c r="B843" s="323" t="n"/>
      <c r="C843" s="320" t="n"/>
      <c r="D843" s="326" t="n"/>
      <c r="E843" s="324" t="n"/>
      <c r="F843" s="320" t="n"/>
      <c r="G843" s="327" t="n"/>
      <c r="H843" s="271" t="n"/>
      <c r="I843" s="275">
        <f>IF(COUNTA(A843:F843)=0,"",IF(OR(E843&lt;0,F843&lt;0,F843&gt;10),"ERRO: valores inválidos",IF(COUNTIFS($A$5:$A$1200,A843,$B$5:$B$1200,B843,$C$5:$C$1200,C843,$D$5:$D$1200,D843)&gt;1,"ERRO: chave duplicada","OK")))</f>
        <v/>
      </c>
    </row>
    <row r="844" ht="15" customHeight="1" s="131">
      <c r="A844" s="320" t="n"/>
      <c r="B844" s="323" t="n"/>
      <c r="C844" s="320" t="n"/>
      <c r="D844" s="326" t="n"/>
      <c r="E844" s="324" t="n"/>
      <c r="F844" s="320" t="n"/>
      <c r="G844" s="327" t="n"/>
      <c r="H844" s="271" t="n"/>
      <c r="I844" s="275">
        <f>IF(COUNTA(A844:F844)=0,"",IF(OR(E844&lt;0,F844&lt;0,F844&gt;10),"ERRO: valores inválidos",IF(COUNTIFS($A$5:$A$1200,A844,$B$5:$B$1200,B844,$C$5:$C$1200,C844,$D$5:$D$1200,D844)&gt;1,"ERRO: chave duplicada","OK")))</f>
        <v/>
      </c>
    </row>
    <row r="845" ht="15" customHeight="1" s="131">
      <c r="A845" s="320" t="n"/>
      <c r="B845" s="323" t="n"/>
      <c r="C845" s="320" t="n"/>
      <c r="D845" s="326" t="n"/>
      <c r="E845" s="324" t="n"/>
      <c r="F845" s="320" t="n"/>
      <c r="G845" s="327" t="n"/>
      <c r="H845" s="271" t="n"/>
      <c r="I845" s="275">
        <f>IF(COUNTA(A845:F845)=0,"",IF(OR(E845&lt;0,F845&lt;0,F845&gt;10),"ERRO: valores inválidos",IF(COUNTIFS($A$5:$A$1200,A845,$B$5:$B$1200,B845,$C$5:$C$1200,C845,$D$5:$D$1200,D845)&gt;1,"ERRO: chave duplicada","OK")))</f>
        <v/>
      </c>
    </row>
    <row r="846" ht="15" customHeight="1" s="131">
      <c r="A846" s="320" t="n"/>
      <c r="B846" s="323" t="n"/>
      <c r="C846" s="320" t="n"/>
      <c r="D846" s="326" t="n"/>
      <c r="E846" s="324" t="n"/>
      <c r="F846" s="320" t="n"/>
      <c r="G846" s="327" t="n"/>
      <c r="H846" s="271" t="n"/>
      <c r="I846" s="275">
        <f>IF(COUNTA(A846:F846)=0,"",IF(OR(E846&lt;0,F846&lt;0,F846&gt;10),"ERRO: valores inválidos",IF(COUNTIFS($A$5:$A$1200,A846,$B$5:$B$1200,B846,$C$5:$C$1200,C846,$D$5:$D$1200,D846)&gt;1,"ERRO: chave duplicada","OK")))</f>
        <v/>
      </c>
    </row>
    <row r="847" ht="15" customHeight="1" s="131">
      <c r="A847" s="320" t="n"/>
      <c r="B847" s="323" t="n"/>
      <c r="C847" s="320" t="n"/>
      <c r="D847" s="326" t="n"/>
      <c r="E847" s="324" t="n"/>
      <c r="F847" s="320" t="n"/>
      <c r="G847" s="327" t="n"/>
      <c r="H847" s="271" t="n"/>
      <c r="I847" s="275">
        <f>IF(COUNTA(A847:F847)=0,"",IF(OR(E847&lt;0,F847&lt;0,F847&gt;10),"ERRO: valores inválidos",IF(COUNTIFS($A$5:$A$1200,A847,$B$5:$B$1200,B847,$C$5:$C$1200,C847,$D$5:$D$1200,D847)&gt;1,"ERRO: chave duplicada","OK")))</f>
        <v/>
      </c>
    </row>
    <row r="848" ht="15" customHeight="1" s="131">
      <c r="A848" s="320" t="n"/>
      <c r="B848" s="323" t="n"/>
      <c r="C848" s="320" t="n"/>
      <c r="D848" s="326" t="n"/>
      <c r="E848" s="324" t="n"/>
      <c r="F848" s="320" t="n"/>
      <c r="G848" s="327" t="n"/>
      <c r="H848" s="271" t="n"/>
      <c r="I848" s="275">
        <f>IF(COUNTA(A848:F848)=0,"",IF(OR(E848&lt;0,F848&lt;0,F848&gt;10),"ERRO: valores inválidos",IF(COUNTIFS($A$5:$A$1200,A848,$B$5:$B$1200,B848,$C$5:$C$1200,C848,$D$5:$D$1200,D848)&gt;1,"ERRO: chave duplicada","OK")))</f>
        <v/>
      </c>
    </row>
    <row r="849" ht="15" customHeight="1" s="131">
      <c r="A849" s="320" t="n"/>
      <c r="B849" s="323" t="n"/>
      <c r="C849" s="320" t="n"/>
      <c r="D849" s="326" t="n"/>
      <c r="E849" s="324" t="n"/>
      <c r="F849" s="320" t="n"/>
      <c r="G849" s="327" t="n"/>
      <c r="H849" s="271" t="n"/>
      <c r="I849" s="275">
        <f>IF(COUNTA(A849:F849)=0,"",IF(OR(E849&lt;0,F849&lt;0,F849&gt;10),"ERRO: valores inválidos",IF(COUNTIFS($A$5:$A$1200,A849,$B$5:$B$1200,B849,$C$5:$C$1200,C849,$D$5:$D$1200,D849)&gt;1,"ERRO: chave duplicada","OK")))</f>
        <v/>
      </c>
    </row>
    <row r="850" ht="15" customHeight="1" s="131">
      <c r="A850" s="320" t="n"/>
      <c r="B850" s="323" t="n"/>
      <c r="C850" s="320" t="n"/>
      <c r="D850" s="326" t="n"/>
      <c r="E850" s="324" t="n"/>
      <c r="F850" s="320" t="n"/>
      <c r="G850" s="327" t="n"/>
      <c r="H850" s="271" t="n"/>
      <c r="I850" s="275">
        <f>IF(COUNTA(A850:F850)=0,"",IF(OR(E850&lt;0,F850&lt;0,F850&gt;10),"ERRO: valores inválidos",IF(COUNTIFS($A$5:$A$1200,A850,$B$5:$B$1200,B850,$C$5:$C$1200,C850,$D$5:$D$1200,D850)&gt;1,"ERRO: chave duplicada","OK")))</f>
        <v/>
      </c>
    </row>
    <row r="851" ht="15" customHeight="1" s="131">
      <c r="A851" s="320" t="n"/>
      <c r="B851" s="323" t="n"/>
      <c r="C851" s="320" t="n"/>
      <c r="D851" s="326" t="n"/>
      <c r="E851" s="324" t="n"/>
      <c r="F851" s="320" t="n"/>
      <c r="G851" s="327" t="n"/>
      <c r="H851" s="271" t="n"/>
      <c r="I851" s="275">
        <f>IF(COUNTA(A851:F851)=0,"",IF(OR(E851&lt;0,F851&lt;0,F851&gt;10),"ERRO: valores inválidos",IF(COUNTIFS($A$5:$A$1200,A851,$B$5:$B$1200,B851,$C$5:$C$1200,C851,$D$5:$D$1200,D851)&gt;1,"ERRO: chave duplicada","OK")))</f>
        <v/>
      </c>
    </row>
    <row r="852" ht="15" customHeight="1" s="131">
      <c r="A852" s="320" t="n"/>
      <c r="B852" s="323" t="n"/>
      <c r="C852" s="320" t="n"/>
      <c r="D852" s="326" t="n"/>
      <c r="E852" s="324" t="n"/>
      <c r="F852" s="320" t="n"/>
      <c r="G852" s="327" t="n"/>
      <c r="H852" s="271" t="n"/>
      <c r="I852" s="275">
        <f>IF(COUNTA(A852:F852)=0,"",IF(OR(E852&lt;0,F852&lt;0,F852&gt;10),"ERRO: valores inválidos",IF(COUNTIFS($A$5:$A$1200,A852,$B$5:$B$1200,B852,$C$5:$C$1200,C852,$D$5:$D$1200,D852)&gt;1,"ERRO: chave duplicada","OK")))</f>
        <v/>
      </c>
    </row>
    <row r="853" ht="15" customHeight="1" s="131">
      <c r="A853" s="320" t="n"/>
      <c r="B853" s="323" t="n"/>
      <c r="C853" s="320" t="n"/>
      <c r="D853" s="326" t="n"/>
      <c r="E853" s="324" t="n"/>
      <c r="F853" s="320" t="n"/>
      <c r="G853" s="327" t="n"/>
      <c r="H853" s="271" t="n"/>
      <c r="I853" s="275">
        <f>IF(COUNTA(A853:F853)=0,"",IF(OR(E853&lt;0,F853&lt;0,F853&gt;10),"ERRO: valores inválidos",IF(COUNTIFS($A$5:$A$1200,A853,$B$5:$B$1200,B853,$C$5:$C$1200,C853,$D$5:$D$1200,D853)&gt;1,"ERRO: chave duplicada","OK")))</f>
        <v/>
      </c>
    </row>
    <row r="854" ht="15" customHeight="1" s="131">
      <c r="A854" s="320" t="n"/>
      <c r="B854" s="323" t="n"/>
      <c r="C854" s="320" t="n"/>
      <c r="D854" s="326" t="n"/>
      <c r="E854" s="324" t="n"/>
      <c r="F854" s="320" t="n"/>
      <c r="G854" s="327" t="n"/>
      <c r="H854" s="271" t="n"/>
      <c r="I854" s="275">
        <f>IF(COUNTA(A854:F854)=0,"",IF(OR(E854&lt;0,F854&lt;0,F854&gt;10),"ERRO: valores inválidos",IF(COUNTIFS($A$5:$A$1200,A854,$B$5:$B$1200,B854,$C$5:$C$1200,C854,$D$5:$D$1200,D854)&gt;1,"ERRO: chave duplicada","OK")))</f>
        <v/>
      </c>
    </row>
    <row r="855" ht="15" customHeight="1" s="131">
      <c r="A855" s="320" t="n"/>
      <c r="B855" s="323" t="n"/>
      <c r="C855" s="320" t="n"/>
      <c r="D855" s="326" t="n"/>
      <c r="E855" s="324" t="n"/>
      <c r="F855" s="320" t="n"/>
      <c r="G855" s="327" t="n"/>
      <c r="H855" s="271" t="n"/>
      <c r="I855" s="275">
        <f>IF(COUNTA(A855:F855)=0,"",IF(OR(E855&lt;0,F855&lt;0,F855&gt;10),"ERRO: valores inválidos",IF(COUNTIFS($A$5:$A$1200,A855,$B$5:$B$1200,B855,$C$5:$C$1200,C855,$D$5:$D$1200,D855)&gt;1,"ERRO: chave duplicada","OK")))</f>
        <v/>
      </c>
    </row>
    <row r="856" ht="15" customHeight="1" s="131">
      <c r="A856" s="320" t="n"/>
      <c r="B856" s="323" t="n"/>
      <c r="C856" s="320" t="n"/>
      <c r="D856" s="326" t="n"/>
      <c r="E856" s="324" t="n"/>
      <c r="F856" s="320" t="n"/>
      <c r="G856" s="327" t="n"/>
      <c r="H856" s="271" t="n"/>
      <c r="I856" s="275">
        <f>IF(COUNTA(A856:F856)=0,"",IF(OR(E856&lt;0,F856&lt;0,F856&gt;10),"ERRO: valores inválidos",IF(COUNTIFS($A$5:$A$1200,A856,$B$5:$B$1200,B856,$C$5:$C$1200,C856,$D$5:$D$1200,D856)&gt;1,"ERRO: chave duplicada","OK")))</f>
        <v/>
      </c>
    </row>
    <row r="857" ht="15" customHeight="1" s="131">
      <c r="A857" s="320" t="n"/>
      <c r="B857" s="323" t="n"/>
      <c r="C857" s="320" t="n"/>
      <c r="D857" s="326" t="n"/>
      <c r="E857" s="324" t="n"/>
      <c r="F857" s="320" t="n"/>
      <c r="G857" s="327" t="n"/>
      <c r="H857" s="271" t="n"/>
      <c r="I857" s="275">
        <f>IF(COUNTA(A857:F857)=0,"",IF(OR(E857&lt;0,F857&lt;0,F857&gt;10),"ERRO: valores inválidos",IF(COUNTIFS($A$5:$A$1200,A857,$B$5:$B$1200,B857,$C$5:$C$1200,C857,$D$5:$D$1200,D857)&gt;1,"ERRO: chave duplicada","OK")))</f>
        <v/>
      </c>
    </row>
    <row r="858" ht="15" customHeight="1" s="131">
      <c r="A858" s="320" t="n"/>
      <c r="B858" s="323" t="n"/>
      <c r="C858" s="320" t="n"/>
      <c r="D858" s="326" t="n"/>
      <c r="E858" s="324" t="n"/>
      <c r="F858" s="320" t="n"/>
      <c r="G858" s="327" t="n"/>
      <c r="H858" s="271" t="n"/>
      <c r="I858" s="275">
        <f>IF(COUNTA(A858:F858)=0,"",IF(OR(E858&lt;0,F858&lt;0,F858&gt;10),"ERRO: valores inválidos",IF(COUNTIFS($A$5:$A$1200,A858,$B$5:$B$1200,B858,$C$5:$C$1200,C858,$D$5:$D$1200,D858)&gt;1,"ERRO: chave duplicada","OK")))</f>
        <v/>
      </c>
    </row>
    <row r="859" ht="15" customHeight="1" s="131">
      <c r="A859" s="320" t="n"/>
      <c r="B859" s="323" t="n"/>
      <c r="C859" s="320" t="n"/>
      <c r="D859" s="326" t="n"/>
      <c r="E859" s="324" t="n"/>
      <c r="F859" s="320" t="n"/>
      <c r="G859" s="327" t="n"/>
      <c r="H859" s="271" t="n"/>
      <c r="I859" s="275">
        <f>IF(COUNTA(A859:F859)=0,"",IF(OR(E859&lt;0,F859&lt;0,F859&gt;10),"ERRO: valores inválidos",IF(COUNTIFS($A$5:$A$1200,A859,$B$5:$B$1200,B859,$C$5:$C$1200,C859,$D$5:$D$1200,D859)&gt;1,"ERRO: chave duplicada","OK")))</f>
        <v/>
      </c>
    </row>
    <row r="860" ht="15" customHeight="1" s="131">
      <c r="A860" s="320" t="n"/>
      <c r="B860" s="323" t="n"/>
      <c r="C860" s="320" t="n"/>
      <c r="D860" s="326" t="n"/>
      <c r="E860" s="324" t="n"/>
      <c r="F860" s="320" t="n"/>
      <c r="G860" s="327" t="n"/>
      <c r="H860" s="271" t="n"/>
      <c r="I860" s="275">
        <f>IF(COUNTA(A860:F860)=0,"",IF(OR(E860&lt;0,F860&lt;0,F860&gt;10),"ERRO: valores inválidos",IF(COUNTIFS($A$5:$A$1200,A860,$B$5:$B$1200,B860,$C$5:$C$1200,C860,$D$5:$D$1200,D860)&gt;1,"ERRO: chave duplicada","OK")))</f>
        <v/>
      </c>
    </row>
    <row r="861" ht="15" customHeight="1" s="131">
      <c r="A861" s="320" t="n"/>
      <c r="B861" s="323" t="n"/>
      <c r="C861" s="320" t="n"/>
      <c r="D861" s="326" t="n"/>
      <c r="E861" s="324" t="n"/>
      <c r="F861" s="320" t="n"/>
      <c r="G861" s="327" t="n"/>
      <c r="H861" s="271" t="n"/>
      <c r="I861" s="275">
        <f>IF(COUNTA(A861:F861)=0,"",IF(OR(E861&lt;0,F861&lt;0,F861&gt;10),"ERRO: valores inválidos",IF(COUNTIFS($A$5:$A$1200,A861,$B$5:$B$1200,B861,$C$5:$C$1200,C861,$D$5:$D$1200,D861)&gt;1,"ERRO: chave duplicada","OK")))</f>
        <v/>
      </c>
    </row>
    <row r="862" ht="15" customHeight="1" s="131">
      <c r="A862" s="320" t="n"/>
      <c r="B862" s="323" t="n"/>
      <c r="C862" s="320" t="n"/>
      <c r="D862" s="326" t="n"/>
      <c r="E862" s="324" t="n"/>
      <c r="F862" s="320" t="n"/>
      <c r="G862" s="327" t="n"/>
      <c r="H862" s="271" t="n"/>
      <c r="I862" s="275">
        <f>IF(COUNTA(A862:F862)=0,"",IF(OR(E862&lt;0,F862&lt;0,F862&gt;10),"ERRO: valores inválidos",IF(COUNTIFS($A$5:$A$1200,A862,$B$5:$B$1200,B862,$C$5:$C$1200,C862,$D$5:$D$1200,D862)&gt;1,"ERRO: chave duplicada","OK")))</f>
        <v/>
      </c>
    </row>
    <row r="863" ht="15" customHeight="1" s="131">
      <c r="A863" s="320" t="n"/>
      <c r="B863" s="323" t="n"/>
      <c r="C863" s="320" t="n"/>
      <c r="D863" s="326" t="n"/>
      <c r="E863" s="324" t="n"/>
      <c r="F863" s="320" t="n"/>
      <c r="G863" s="327" t="n"/>
      <c r="H863" s="271" t="n"/>
      <c r="I863" s="275">
        <f>IF(COUNTA(A863:F863)=0,"",IF(OR(E863&lt;0,F863&lt;0,F863&gt;10),"ERRO: valores inválidos",IF(COUNTIFS($A$5:$A$1200,A863,$B$5:$B$1200,B863,$C$5:$C$1200,C863,$D$5:$D$1200,D863)&gt;1,"ERRO: chave duplicada","OK")))</f>
        <v/>
      </c>
    </row>
    <row r="864" ht="15" customHeight="1" s="131">
      <c r="A864" s="320" t="n"/>
      <c r="B864" s="323" t="n"/>
      <c r="C864" s="320" t="n"/>
      <c r="D864" s="326" t="n"/>
      <c r="E864" s="324" t="n"/>
      <c r="F864" s="320" t="n"/>
      <c r="G864" s="327" t="n"/>
      <c r="H864" s="271" t="n"/>
      <c r="I864" s="275">
        <f>IF(COUNTA(A864:F864)=0,"",IF(OR(E864&lt;0,F864&lt;0,F864&gt;10),"ERRO: valores inválidos",IF(COUNTIFS($A$5:$A$1200,A864,$B$5:$B$1200,B864,$C$5:$C$1200,C864,$D$5:$D$1200,D864)&gt;1,"ERRO: chave duplicada","OK")))</f>
        <v/>
      </c>
    </row>
    <row r="865" ht="15" customHeight="1" s="131">
      <c r="A865" s="320" t="n"/>
      <c r="B865" s="323" t="n"/>
      <c r="C865" s="320" t="n"/>
      <c r="D865" s="326" t="n"/>
      <c r="E865" s="324" t="n"/>
      <c r="F865" s="320" t="n"/>
      <c r="G865" s="327" t="n"/>
      <c r="H865" s="271" t="n"/>
      <c r="I865" s="275">
        <f>IF(COUNTA(A865:F865)=0,"",IF(OR(E865&lt;0,F865&lt;0,F865&gt;10),"ERRO: valores inválidos",IF(COUNTIFS($A$5:$A$1200,A865,$B$5:$B$1200,B865,$C$5:$C$1200,C865,$D$5:$D$1200,D865)&gt;1,"ERRO: chave duplicada","OK")))</f>
        <v/>
      </c>
    </row>
    <row r="866" ht="15" customHeight="1" s="131">
      <c r="A866" s="320" t="n"/>
      <c r="B866" s="323" t="n"/>
      <c r="C866" s="320" t="n"/>
      <c r="D866" s="326" t="n"/>
      <c r="E866" s="324" t="n"/>
      <c r="F866" s="320" t="n"/>
      <c r="G866" s="327" t="n"/>
      <c r="H866" s="271" t="n"/>
      <c r="I866" s="275">
        <f>IF(COUNTA(A866:F866)=0,"",IF(OR(E866&lt;0,F866&lt;0,F866&gt;10),"ERRO: valores inválidos",IF(COUNTIFS($A$5:$A$1200,A866,$B$5:$B$1200,B866,$C$5:$C$1200,C866,$D$5:$D$1200,D866)&gt;1,"ERRO: chave duplicada","OK")))</f>
        <v/>
      </c>
    </row>
    <row r="867" ht="15" customHeight="1" s="131">
      <c r="A867" s="320" t="n"/>
      <c r="B867" s="323" t="n"/>
      <c r="C867" s="320" t="n"/>
      <c r="D867" s="326" t="n"/>
      <c r="E867" s="324" t="n"/>
      <c r="F867" s="320" t="n"/>
      <c r="G867" s="327" t="n"/>
      <c r="H867" s="271" t="n"/>
      <c r="I867" s="275">
        <f>IF(COUNTA(A867:F867)=0,"",IF(OR(E867&lt;0,F867&lt;0,F867&gt;10),"ERRO: valores inválidos",IF(COUNTIFS($A$5:$A$1200,A867,$B$5:$B$1200,B867,$C$5:$C$1200,C867,$D$5:$D$1200,D867)&gt;1,"ERRO: chave duplicada","OK")))</f>
        <v/>
      </c>
    </row>
    <row r="868" ht="15" customHeight="1" s="131">
      <c r="A868" s="320" t="n"/>
      <c r="B868" s="323" t="n"/>
      <c r="C868" s="320" t="n"/>
      <c r="D868" s="326" t="n"/>
      <c r="E868" s="324" t="n"/>
      <c r="F868" s="320" t="n"/>
      <c r="G868" s="327" t="n"/>
      <c r="H868" s="271" t="n"/>
      <c r="I868" s="275">
        <f>IF(COUNTA(A868:F868)=0,"",IF(OR(E868&lt;0,F868&lt;0,F868&gt;10),"ERRO: valores inválidos",IF(COUNTIFS($A$5:$A$1200,A868,$B$5:$B$1200,B868,$C$5:$C$1200,C868,$D$5:$D$1200,D868)&gt;1,"ERRO: chave duplicada","OK")))</f>
        <v/>
      </c>
    </row>
    <row r="869" ht="15" customHeight="1" s="131">
      <c r="A869" s="320" t="n"/>
      <c r="B869" s="323" t="n"/>
      <c r="C869" s="320" t="n"/>
      <c r="D869" s="326" t="n"/>
      <c r="E869" s="324" t="n"/>
      <c r="F869" s="320" t="n"/>
      <c r="G869" s="327" t="n"/>
      <c r="H869" s="271" t="n"/>
      <c r="I869" s="275">
        <f>IF(COUNTA(A869:F869)=0,"",IF(OR(E869&lt;0,F869&lt;0,F869&gt;10),"ERRO: valores inválidos",IF(COUNTIFS($A$5:$A$1200,A869,$B$5:$B$1200,B869,$C$5:$C$1200,C869,$D$5:$D$1200,D869)&gt;1,"ERRO: chave duplicada","OK")))</f>
        <v/>
      </c>
    </row>
    <row r="870" ht="15" customHeight="1" s="131">
      <c r="A870" s="320" t="n"/>
      <c r="B870" s="323" t="n"/>
      <c r="C870" s="320" t="n"/>
      <c r="D870" s="326" t="n"/>
      <c r="E870" s="324" t="n"/>
      <c r="F870" s="320" t="n"/>
      <c r="G870" s="327" t="n"/>
      <c r="H870" s="271" t="n"/>
      <c r="I870" s="275">
        <f>IF(COUNTA(A870:F870)=0,"",IF(OR(E870&lt;0,F870&lt;0,F870&gt;10),"ERRO: valores inválidos",IF(COUNTIFS($A$5:$A$1200,A870,$B$5:$B$1200,B870,$C$5:$C$1200,C870,$D$5:$D$1200,D870)&gt;1,"ERRO: chave duplicada","OK")))</f>
        <v/>
      </c>
    </row>
    <row r="871" ht="15" customHeight="1" s="131">
      <c r="A871" s="320" t="n"/>
      <c r="B871" s="323" t="n"/>
      <c r="C871" s="320" t="n"/>
      <c r="D871" s="326" t="n"/>
      <c r="E871" s="324" t="n"/>
      <c r="F871" s="320" t="n"/>
      <c r="G871" s="327" t="n"/>
      <c r="H871" s="271" t="n"/>
      <c r="I871" s="275">
        <f>IF(COUNTA(A871:F871)=0,"",IF(OR(E871&lt;0,F871&lt;0,F871&gt;10),"ERRO: valores inválidos",IF(COUNTIFS($A$5:$A$1200,A871,$B$5:$B$1200,B871,$C$5:$C$1200,C871,$D$5:$D$1200,D871)&gt;1,"ERRO: chave duplicada","OK")))</f>
        <v/>
      </c>
    </row>
    <row r="872" ht="15" customHeight="1" s="131">
      <c r="A872" s="320" t="n"/>
      <c r="B872" s="323" t="n"/>
      <c r="C872" s="320" t="n"/>
      <c r="D872" s="326" t="n"/>
      <c r="E872" s="324" t="n"/>
      <c r="F872" s="320" t="n"/>
      <c r="G872" s="327" t="n"/>
      <c r="H872" s="271" t="n"/>
      <c r="I872" s="275">
        <f>IF(COUNTA(A872:F872)=0,"",IF(OR(E872&lt;0,F872&lt;0,F872&gt;10),"ERRO: valores inválidos",IF(COUNTIFS($A$5:$A$1200,A872,$B$5:$B$1200,B872,$C$5:$C$1200,C872,$D$5:$D$1200,D872)&gt;1,"ERRO: chave duplicada","OK")))</f>
        <v/>
      </c>
    </row>
    <row r="873" ht="15" customHeight="1" s="131">
      <c r="A873" s="320" t="n"/>
      <c r="B873" s="323" t="n"/>
      <c r="C873" s="320" t="n"/>
      <c r="D873" s="326" t="n"/>
      <c r="E873" s="324" t="n"/>
      <c r="F873" s="320" t="n"/>
      <c r="G873" s="327" t="n"/>
      <c r="H873" s="271" t="n"/>
      <c r="I873" s="275">
        <f>IF(COUNTA(A873:F873)=0,"",IF(OR(E873&lt;0,F873&lt;0,F873&gt;10),"ERRO: valores inválidos",IF(COUNTIFS($A$5:$A$1200,A873,$B$5:$B$1200,B873,$C$5:$C$1200,C873,$D$5:$D$1200,D873)&gt;1,"ERRO: chave duplicada","OK")))</f>
        <v/>
      </c>
    </row>
    <row r="874" ht="15" customHeight="1" s="131">
      <c r="A874" s="320" t="n"/>
      <c r="B874" s="323" t="n"/>
      <c r="C874" s="320" t="n"/>
      <c r="D874" s="326" t="n"/>
      <c r="E874" s="324" t="n"/>
      <c r="F874" s="320" t="n"/>
      <c r="G874" s="327" t="n"/>
      <c r="H874" s="271" t="n"/>
      <c r="I874" s="275">
        <f>IF(COUNTA(A874:F874)=0,"",IF(OR(E874&lt;0,F874&lt;0,F874&gt;10),"ERRO: valores inválidos",IF(COUNTIFS($A$5:$A$1200,A874,$B$5:$B$1200,B874,$C$5:$C$1200,C874,$D$5:$D$1200,D874)&gt;1,"ERRO: chave duplicada","OK")))</f>
        <v/>
      </c>
    </row>
    <row r="875" ht="15" customHeight="1" s="131">
      <c r="A875" s="320" t="n"/>
      <c r="B875" s="323" t="n"/>
      <c r="C875" s="320" t="n"/>
      <c r="D875" s="326" t="n"/>
      <c r="E875" s="324" t="n"/>
      <c r="F875" s="320" t="n"/>
      <c r="G875" s="327" t="n"/>
      <c r="H875" s="271" t="n"/>
      <c r="I875" s="275">
        <f>IF(COUNTA(A875:F875)=0,"",IF(OR(E875&lt;0,F875&lt;0,F875&gt;10),"ERRO: valores inválidos",IF(COUNTIFS($A$5:$A$1200,A875,$B$5:$B$1200,B875,$C$5:$C$1200,C875,$D$5:$D$1200,D875)&gt;1,"ERRO: chave duplicada","OK")))</f>
        <v/>
      </c>
    </row>
    <row r="876" ht="15" customHeight="1" s="131">
      <c r="A876" s="320" t="n"/>
      <c r="B876" s="323" t="n"/>
      <c r="C876" s="320" t="n"/>
      <c r="D876" s="326" t="n"/>
      <c r="E876" s="324" t="n"/>
      <c r="F876" s="320" t="n"/>
      <c r="G876" s="327" t="n"/>
      <c r="H876" s="271" t="n"/>
      <c r="I876" s="275">
        <f>IF(COUNTA(A876:F876)=0,"",IF(OR(E876&lt;0,F876&lt;0,F876&gt;10),"ERRO: valores inválidos",IF(COUNTIFS($A$5:$A$1200,A876,$B$5:$B$1200,B876,$C$5:$C$1200,C876,$D$5:$D$1200,D876)&gt;1,"ERRO: chave duplicada","OK")))</f>
        <v/>
      </c>
    </row>
    <row r="877" ht="15" customHeight="1" s="131">
      <c r="A877" s="320" t="n"/>
      <c r="B877" s="323" t="n"/>
      <c r="C877" s="320" t="n"/>
      <c r="D877" s="326" t="n"/>
      <c r="E877" s="324" t="n"/>
      <c r="F877" s="320" t="n"/>
      <c r="G877" s="327" t="n"/>
      <c r="H877" s="271" t="n"/>
      <c r="I877" s="275">
        <f>IF(COUNTA(A877:F877)=0,"",IF(OR(E877&lt;0,F877&lt;0,F877&gt;10),"ERRO: valores inválidos",IF(COUNTIFS($A$5:$A$1200,A877,$B$5:$B$1200,B877,$C$5:$C$1200,C877,$D$5:$D$1200,D877)&gt;1,"ERRO: chave duplicada","OK")))</f>
        <v/>
      </c>
    </row>
    <row r="878" ht="15" customHeight="1" s="131">
      <c r="A878" s="320" t="n"/>
      <c r="B878" s="323" t="n"/>
      <c r="C878" s="320" t="n"/>
      <c r="D878" s="326" t="n"/>
      <c r="E878" s="324" t="n"/>
      <c r="F878" s="320" t="n"/>
      <c r="G878" s="327" t="n"/>
      <c r="H878" s="271" t="n"/>
      <c r="I878" s="275">
        <f>IF(COUNTA(A878:F878)=0,"",IF(OR(E878&lt;0,F878&lt;0,F878&gt;10),"ERRO: valores inválidos",IF(COUNTIFS($A$5:$A$1200,A878,$B$5:$B$1200,B878,$C$5:$C$1200,C878,$D$5:$D$1200,D878)&gt;1,"ERRO: chave duplicada","OK")))</f>
        <v/>
      </c>
    </row>
    <row r="879" ht="15" customHeight="1" s="131">
      <c r="A879" s="320" t="n"/>
      <c r="B879" s="323" t="n"/>
      <c r="C879" s="320" t="n"/>
      <c r="D879" s="326" t="n"/>
      <c r="E879" s="324" t="n"/>
      <c r="F879" s="320" t="n"/>
      <c r="G879" s="327" t="n"/>
      <c r="H879" s="271" t="n"/>
      <c r="I879" s="275">
        <f>IF(COUNTA(A879:F879)=0,"",IF(OR(E879&lt;0,F879&lt;0,F879&gt;10),"ERRO: valores inválidos",IF(COUNTIFS($A$5:$A$1200,A879,$B$5:$B$1200,B879,$C$5:$C$1200,C879,$D$5:$D$1200,D879)&gt;1,"ERRO: chave duplicada","OK")))</f>
        <v/>
      </c>
    </row>
    <row r="880" ht="15" customHeight="1" s="131">
      <c r="A880" s="320" t="n"/>
      <c r="B880" s="323" t="n"/>
      <c r="C880" s="320" t="n"/>
      <c r="D880" s="326" t="n"/>
      <c r="E880" s="324" t="n"/>
      <c r="F880" s="320" t="n"/>
      <c r="G880" s="327" t="n"/>
      <c r="H880" s="271" t="n"/>
      <c r="I880" s="275">
        <f>IF(COUNTA(A880:F880)=0,"",IF(OR(E880&lt;0,F880&lt;0,F880&gt;10),"ERRO: valores inválidos",IF(COUNTIFS($A$5:$A$1200,A880,$B$5:$B$1200,B880,$C$5:$C$1200,C880,$D$5:$D$1200,D880)&gt;1,"ERRO: chave duplicada","OK")))</f>
        <v/>
      </c>
    </row>
    <row r="881" ht="15" customHeight="1" s="131">
      <c r="A881" s="320" t="n"/>
      <c r="B881" s="323" t="n"/>
      <c r="C881" s="320" t="n"/>
      <c r="D881" s="326" t="n"/>
      <c r="E881" s="324" t="n"/>
      <c r="F881" s="320" t="n"/>
      <c r="G881" s="327" t="n"/>
      <c r="H881" s="271" t="n"/>
      <c r="I881" s="275">
        <f>IF(COUNTA(A881:F881)=0,"",IF(OR(E881&lt;0,F881&lt;0,F881&gt;10),"ERRO: valores inválidos",IF(COUNTIFS($A$5:$A$1200,A881,$B$5:$B$1200,B881,$C$5:$C$1200,C881,$D$5:$D$1200,D881)&gt;1,"ERRO: chave duplicada","OK")))</f>
        <v/>
      </c>
    </row>
    <row r="882" ht="15" customHeight="1" s="131">
      <c r="A882" s="320" t="n"/>
      <c r="B882" s="323" t="n"/>
      <c r="C882" s="320" t="n"/>
      <c r="D882" s="326" t="n"/>
      <c r="E882" s="324" t="n"/>
      <c r="F882" s="320" t="n"/>
      <c r="G882" s="327" t="n"/>
      <c r="H882" s="271" t="n"/>
      <c r="I882" s="275">
        <f>IF(COUNTA(A882:F882)=0,"",IF(OR(E882&lt;0,F882&lt;0,F882&gt;10),"ERRO: valores inválidos",IF(COUNTIFS($A$5:$A$1200,A882,$B$5:$B$1200,B882,$C$5:$C$1200,C882,$D$5:$D$1200,D882)&gt;1,"ERRO: chave duplicada","OK")))</f>
        <v/>
      </c>
    </row>
    <row r="883" ht="15" customHeight="1" s="131">
      <c r="A883" s="320" t="n"/>
      <c r="B883" s="323" t="n"/>
      <c r="C883" s="320" t="n"/>
      <c r="D883" s="326" t="n"/>
      <c r="E883" s="324" t="n"/>
      <c r="F883" s="320" t="n"/>
      <c r="G883" s="327" t="n"/>
      <c r="H883" s="271" t="n"/>
      <c r="I883" s="275">
        <f>IF(COUNTA(A883:F883)=0,"",IF(OR(E883&lt;0,F883&lt;0,F883&gt;10),"ERRO: valores inválidos",IF(COUNTIFS($A$5:$A$1200,A883,$B$5:$B$1200,B883,$C$5:$C$1200,C883,$D$5:$D$1200,D883)&gt;1,"ERRO: chave duplicada","OK")))</f>
        <v/>
      </c>
    </row>
    <row r="884" ht="15" customHeight="1" s="131">
      <c r="A884" s="320" t="n"/>
      <c r="B884" s="323" t="n"/>
      <c r="C884" s="320" t="n"/>
      <c r="D884" s="326" t="n"/>
      <c r="E884" s="324" t="n"/>
      <c r="F884" s="320" t="n"/>
      <c r="G884" s="327" t="n"/>
      <c r="H884" s="271" t="n"/>
      <c r="I884" s="275">
        <f>IF(COUNTA(A884:F884)=0,"",IF(OR(E884&lt;0,F884&lt;0,F884&gt;10),"ERRO: valores inválidos",IF(COUNTIFS($A$5:$A$1200,A884,$B$5:$B$1200,B884,$C$5:$C$1200,C884,$D$5:$D$1200,D884)&gt;1,"ERRO: chave duplicada","OK")))</f>
        <v/>
      </c>
    </row>
    <row r="885" ht="15" customHeight="1" s="131">
      <c r="A885" s="320" t="n"/>
      <c r="B885" s="323" t="n"/>
      <c r="C885" s="320" t="n"/>
      <c r="D885" s="326" t="n"/>
      <c r="E885" s="324" t="n"/>
      <c r="F885" s="320" t="n"/>
      <c r="G885" s="327" t="n"/>
      <c r="H885" s="271" t="n"/>
      <c r="I885" s="275">
        <f>IF(COUNTA(A885:F885)=0,"",IF(OR(E885&lt;0,F885&lt;0,F885&gt;10),"ERRO: valores inválidos",IF(COUNTIFS($A$5:$A$1200,A885,$B$5:$B$1200,B885,$C$5:$C$1200,C885,$D$5:$D$1200,D885)&gt;1,"ERRO: chave duplicada","OK")))</f>
        <v/>
      </c>
    </row>
    <row r="886" ht="15" customHeight="1" s="131">
      <c r="A886" s="320" t="n"/>
      <c r="B886" s="323" t="n"/>
      <c r="C886" s="320" t="n"/>
      <c r="D886" s="326" t="n"/>
      <c r="E886" s="324" t="n"/>
      <c r="F886" s="320" t="n"/>
      <c r="G886" s="327" t="n"/>
      <c r="H886" s="271" t="n"/>
      <c r="I886" s="275">
        <f>IF(COUNTA(A886:F886)=0,"",IF(OR(E886&lt;0,F886&lt;0,F886&gt;10),"ERRO: valores inválidos",IF(COUNTIFS($A$5:$A$1200,A886,$B$5:$B$1200,B886,$C$5:$C$1200,C886,$D$5:$D$1200,D886)&gt;1,"ERRO: chave duplicada","OK")))</f>
        <v/>
      </c>
    </row>
    <row r="887" ht="15" customHeight="1" s="131">
      <c r="A887" s="320" t="n"/>
      <c r="B887" s="323" t="n"/>
      <c r="C887" s="320" t="n"/>
      <c r="D887" s="326" t="n"/>
      <c r="E887" s="324" t="n"/>
      <c r="F887" s="320" t="n"/>
      <c r="G887" s="327" t="n"/>
      <c r="H887" s="271" t="n"/>
      <c r="I887" s="275">
        <f>IF(COUNTA(A887:F887)=0,"",IF(OR(E887&lt;0,F887&lt;0,F887&gt;10),"ERRO: valores inválidos",IF(COUNTIFS($A$5:$A$1200,A887,$B$5:$B$1200,B887,$C$5:$C$1200,C887,$D$5:$D$1200,D887)&gt;1,"ERRO: chave duplicada","OK")))</f>
        <v/>
      </c>
    </row>
    <row r="888" ht="15" customHeight="1" s="131">
      <c r="A888" s="320" t="n"/>
      <c r="B888" s="323" t="n"/>
      <c r="C888" s="320" t="n"/>
      <c r="D888" s="326" t="n"/>
      <c r="E888" s="324" t="n"/>
      <c r="F888" s="320" t="n"/>
      <c r="G888" s="327" t="n"/>
      <c r="H888" s="271" t="n"/>
      <c r="I888" s="275">
        <f>IF(COUNTA(A888:F888)=0,"",IF(OR(E888&lt;0,F888&lt;0,F888&gt;10),"ERRO: valores inválidos",IF(COUNTIFS($A$5:$A$1200,A888,$B$5:$B$1200,B888,$C$5:$C$1200,C888,$D$5:$D$1200,D888)&gt;1,"ERRO: chave duplicada","OK")))</f>
        <v/>
      </c>
    </row>
    <row r="889" ht="15" customHeight="1" s="131">
      <c r="A889" s="320" t="n"/>
      <c r="B889" s="323" t="n"/>
      <c r="C889" s="320" t="n"/>
      <c r="D889" s="326" t="n"/>
      <c r="E889" s="324" t="n"/>
      <c r="F889" s="320" t="n"/>
      <c r="G889" s="327" t="n"/>
      <c r="H889" s="271" t="n"/>
      <c r="I889" s="275">
        <f>IF(COUNTA(A889:F889)=0,"",IF(OR(E889&lt;0,F889&lt;0,F889&gt;10),"ERRO: valores inválidos",IF(COUNTIFS($A$5:$A$1200,A889,$B$5:$B$1200,B889,$C$5:$C$1200,C889,$D$5:$D$1200,D889)&gt;1,"ERRO: chave duplicada","OK")))</f>
        <v/>
      </c>
    </row>
    <row r="890" ht="15" customHeight="1" s="131">
      <c r="A890" s="320" t="n"/>
      <c r="B890" s="323" t="n"/>
      <c r="C890" s="320" t="n"/>
      <c r="D890" s="326" t="n"/>
      <c r="E890" s="324" t="n"/>
      <c r="F890" s="320" t="n"/>
      <c r="G890" s="327" t="n"/>
      <c r="H890" s="271" t="n"/>
      <c r="I890" s="275">
        <f>IF(COUNTA(A890:F890)=0,"",IF(OR(E890&lt;0,F890&lt;0,F890&gt;10),"ERRO: valores inválidos",IF(COUNTIFS($A$5:$A$1200,A890,$B$5:$B$1200,B890,$C$5:$C$1200,C890,$D$5:$D$1200,D890)&gt;1,"ERRO: chave duplicada","OK")))</f>
        <v/>
      </c>
    </row>
    <row r="891" ht="15" customHeight="1" s="131">
      <c r="A891" s="320" t="n"/>
      <c r="B891" s="323" t="n"/>
      <c r="C891" s="320" t="n"/>
      <c r="D891" s="326" t="n"/>
      <c r="E891" s="324" t="n"/>
      <c r="F891" s="320" t="n"/>
      <c r="G891" s="327" t="n"/>
      <c r="H891" s="271" t="n"/>
      <c r="I891" s="275">
        <f>IF(COUNTA(A891:F891)=0,"",IF(OR(E891&lt;0,F891&lt;0,F891&gt;10),"ERRO: valores inválidos",IF(COUNTIFS($A$5:$A$1200,A891,$B$5:$B$1200,B891,$C$5:$C$1200,C891,$D$5:$D$1200,D891)&gt;1,"ERRO: chave duplicada","OK")))</f>
        <v/>
      </c>
    </row>
    <row r="892" ht="15" customHeight="1" s="131">
      <c r="A892" s="320" t="n"/>
      <c r="B892" s="323" t="n"/>
      <c r="C892" s="320" t="n"/>
      <c r="D892" s="326" t="n"/>
      <c r="E892" s="324" t="n"/>
      <c r="F892" s="320" t="n"/>
      <c r="G892" s="327" t="n"/>
      <c r="H892" s="271" t="n"/>
      <c r="I892" s="275">
        <f>IF(COUNTA(A892:F892)=0,"",IF(OR(E892&lt;0,F892&lt;0,F892&gt;10),"ERRO: valores inválidos",IF(COUNTIFS($A$5:$A$1200,A892,$B$5:$B$1200,B892,$C$5:$C$1200,C892,$D$5:$D$1200,D892)&gt;1,"ERRO: chave duplicada","OK")))</f>
        <v/>
      </c>
    </row>
    <row r="893" ht="15" customHeight="1" s="131">
      <c r="A893" s="320" t="n"/>
      <c r="B893" s="323" t="n"/>
      <c r="C893" s="320" t="n"/>
      <c r="D893" s="326" t="n"/>
      <c r="E893" s="324" t="n"/>
      <c r="F893" s="320" t="n"/>
      <c r="G893" s="327" t="n"/>
      <c r="H893" s="271" t="n"/>
      <c r="I893" s="275">
        <f>IF(COUNTA(A893:F893)=0,"",IF(OR(E893&lt;0,F893&lt;0,F893&gt;10),"ERRO: valores inválidos",IF(COUNTIFS($A$5:$A$1200,A893,$B$5:$B$1200,B893,$C$5:$C$1200,C893,$D$5:$D$1200,D893)&gt;1,"ERRO: chave duplicada","OK")))</f>
        <v/>
      </c>
    </row>
    <row r="894" ht="15" customHeight="1" s="131">
      <c r="A894" s="320" t="n"/>
      <c r="B894" s="323" t="n"/>
      <c r="C894" s="320" t="n"/>
      <c r="D894" s="326" t="n"/>
      <c r="E894" s="324" t="n"/>
      <c r="F894" s="320" t="n"/>
      <c r="G894" s="327" t="n"/>
      <c r="H894" s="271" t="n"/>
      <c r="I894" s="275">
        <f>IF(COUNTA(A894:F894)=0,"",IF(OR(E894&lt;0,F894&lt;0,F894&gt;10),"ERRO: valores inválidos",IF(COUNTIFS($A$5:$A$1200,A894,$B$5:$B$1200,B894,$C$5:$C$1200,C894,$D$5:$D$1200,D894)&gt;1,"ERRO: chave duplicada","OK")))</f>
        <v/>
      </c>
    </row>
    <row r="895" ht="15" customHeight="1" s="131">
      <c r="A895" s="320" t="n"/>
      <c r="B895" s="323" t="n"/>
      <c r="C895" s="320" t="n"/>
      <c r="D895" s="326" t="n"/>
      <c r="E895" s="324" t="n"/>
      <c r="F895" s="320" t="n"/>
      <c r="G895" s="327" t="n"/>
      <c r="H895" s="271" t="n"/>
      <c r="I895" s="275">
        <f>IF(COUNTA(A895:F895)=0,"",IF(OR(E895&lt;0,F895&lt;0,F895&gt;10),"ERRO: valores inválidos",IF(COUNTIFS($A$5:$A$1200,A895,$B$5:$B$1200,B895,$C$5:$C$1200,C895,$D$5:$D$1200,D895)&gt;1,"ERRO: chave duplicada","OK")))</f>
        <v/>
      </c>
    </row>
    <row r="896" ht="15" customHeight="1" s="131">
      <c r="A896" s="320" t="n"/>
      <c r="B896" s="323" t="n"/>
      <c r="C896" s="320" t="n"/>
      <c r="D896" s="326" t="n"/>
      <c r="E896" s="324" t="n"/>
      <c r="F896" s="320" t="n"/>
      <c r="G896" s="327" t="n"/>
      <c r="H896" s="271" t="n"/>
      <c r="I896" s="275">
        <f>IF(COUNTA(A896:F896)=0,"",IF(OR(E896&lt;0,F896&lt;0,F896&gt;10),"ERRO: valores inválidos",IF(COUNTIFS($A$5:$A$1200,A896,$B$5:$B$1200,B896,$C$5:$C$1200,C896,$D$5:$D$1200,D896)&gt;1,"ERRO: chave duplicada","OK")))</f>
        <v/>
      </c>
    </row>
    <row r="897" ht="15" customHeight="1" s="131">
      <c r="A897" s="320" t="n"/>
      <c r="B897" s="323" t="n"/>
      <c r="C897" s="320" t="n"/>
      <c r="D897" s="326" t="n"/>
      <c r="E897" s="324" t="n"/>
      <c r="F897" s="320" t="n"/>
      <c r="G897" s="327" t="n"/>
      <c r="H897" s="271" t="n"/>
      <c r="I897" s="275">
        <f>IF(COUNTA(A897:F897)=0,"",IF(OR(E897&lt;0,F897&lt;0,F897&gt;10),"ERRO: valores inválidos",IF(COUNTIFS($A$5:$A$1200,A897,$B$5:$B$1200,B897,$C$5:$C$1200,C897,$D$5:$D$1200,D897)&gt;1,"ERRO: chave duplicada","OK")))</f>
        <v/>
      </c>
    </row>
    <row r="898" ht="15" customHeight="1" s="131">
      <c r="A898" s="320" t="n"/>
      <c r="B898" s="323" t="n"/>
      <c r="C898" s="320" t="n"/>
      <c r="D898" s="326" t="n"/>
      <c r="E898" s="324" t="n"/>
      <c r="F898" s="320" t="n"/>
      <c r="G898" s="327" t="n"/>
      <c r="H898" s="271" t="n"/>
      <c r="I898" s="275">
        <f>IF(COUNTA(A898:F898)=0,"",IF(OR(E898&lt;0,F898&lt;0,F898&gt;10),"ERRO: valores inválidos",IF(COUNTIFS($A$5:$A$1200,A898,$B$5:$B$1200,B898,$C$5:$C$1200,C898,$D$5:$D$1200,D898)&gt;1,"ERRO: chave duplicada","OK")))</f>
        <v/>
      </c>
    </row>
    <row r="899" ht="15" customHeight="1" s="131">
      <c r="A899" s="320" t="n"/>
      <c r="B899" s="323" t="n"/>
      <c r="C899" s="320" t="n"/>
      <c r="D899" s="326" t="n"/>
      <c r="E899" s="324" t="n"/>
      <c r="F899" s="320" t="n"/>
      <c r="G899" s="327" t="n"/>
      <c r="H899" s="271" t="n"/>
      <c r="I899" s="275">
        <f>IF(COUNTA(A899:F899)=0,"",IF(OR(E899&lt;0,F899&lt;0,F899&gt;10),"ERRO: valores inválidos",IF(COUNTIFS($A$5:$A$1200,A899,$B$5:$B$1200,B899,$C$5:$C$1200,C899,$D$5:$D$1200,D899)&gt;1,"ERRO: chave duplicada","OK")))</f>
        <v/>
      </c>
    </row>
    <row r="900" ht="15" customHeight="1" s="131">
      <c r="A900" s="320" t="n"/>
      <c r="B900" s="323" t="n"/>
      <c r="C900" s="320" t="n"/>
      <c r="D900" s="326" t="n"/>
      <c r="E900" s="324" t="n"/>
      <c r="F900" s="320" t="n"/>
      <c r="G900" s="327" t="n"/>
      <c r="H900" s="271" t="n"/>
      <c r="I900" s="275">
        <f>IF(COUNTA(A900:F900)=0,"",IF(OR(E900&lt;0,F900&lt;0,F900&gt;10),"ERRO: valores inválidos",IF(COUNTIFS($A$5:$A$1200,A900,$B$5:$B$1200,B900,$C$5:$C$1200,C900,$D$5:$D$1200,D900)&gt;1,"ERRO: chave duplicada","OK")))</f>
        <v/>
      </c>
    </row>
    <row r="901" ht="15" customHeight="1" s="131">
      <c r="A901" s="320" t="n"/>
      <c r="B901" s="323" t="n"/>
      <c r="C901" s="320" t="n"/>
      <c r="D901" s="326" t="n"/>
      <c r="E901" s="324" t="n"/>
      <c r="F901" s="320" t="n"/>
      <c r="G901" s="327" t="n"/>
      <c r="H901" s="271" t="n"/>
      <c r="I901" s="275">
        <f>IF(COUNTA(A901:F901)=0,"",IF(OR(E901&lt;0,F901&lt;0,F901&gt;10),"ERRO: valores inválidos",IF(COUNTIFS($A$5:$A$1200,A901,$B$5:$B$1200,B901,$C$5:$C$1200,C901,$D$5:$D$1200,D901)&gt;1,"ERRO: chave duplicada","OK")))</f>
        <v/>
      </c>
    </row>
    <row r="902" ht="15" customHeight="1" s="131">
      <c r="A902" s="320" t="n"/>
      <c r="B902" s="323" t="n"/>
      <c r="C902" s="320" t="n"/>
      <c r="D902" s="326" t="n"/>
      <c r="E902" s="324" t="n"/>
      <c r="F902" s="320" t="n"/>
      <c r="G902" s="327" t="n"/>
      <c r="H902" s="271" t="n"/>
      <c r="I902" s="275">
        <f>IF(COUNTA(A902:F902)=0,"",IF(OR(E902&lt;0,F902&lt;0,F902&gt;10),"ERRO: valores inválidos",IF(COUNTIFS($A$5:$A$1200,A902,$B$5:$B$1200,B902,$C$5:$C$1200,C902,$D$5:$D$1200,D902)&gt;1,"ERRO: chave duplicada","OK")))</f>
        <v/>
      </c>
    </row>
    <row r="903" ht="15" customHeight="1" s="131">
      <c r="A903" s="320" t="n"/>
      <c r="B903" s="323" t="n"/>
      <c r="C903" s="320" t="n"/>
      <c r="D903" s="326" t="n"/>
      <c r="E903" s="324" t="n"/>
      <c r="F903" s="320" t="n"/>
      <c r="G903" s="327" t="n"/>
      <c r="H903" s="271" t="n"/>
      <c r="I903" s="275">
        <f>IF(COUNTA(A903:F903)=0,"",IF(OR(E903&lt;0,F903&lt;0,F903&gt;10),"ERRO: valores inválidos",IF(COUNTIFS($A$5:$A$1200,A903,$B$5:$B$1200,B903,$C$5:$C$1200,C903,$D$5:$D$1200,D903)&gt;1,"ERRO: chave duplicada","OK")))</f>
        <v/>
      </c>
    </row>
    <row r="904" ht="15" customHeight="1" s="131">
      <c r="A904" s="320" t="n"/>
      <c r="B904" s="323" t="n"/>
      <c r="C904" s="320" t="n"/>
      <c r="D904" s="326" t="n"/>
      <c r="E904" s="324" t="n"/>
      <c r="F904" s="320" t="n"/>
      <c r="G904" s="327" t="n"/>
      <c r="H904" s="271" t="n"/>
      <c r="I904" s="275">
        <f>IF(COUNTA(A904:F904)=0,"",IF(OR(E904&lt;0,F904&lt;0,F904&gt;10),"ERRO: valores inválidos",IF(COUNTIFS($A$5:$A$1200,A904,$B$5:$B$1200,B904,$C$5:$C$1200,C904,$D$5:$D$1200,D904)&gt;1,"ERRO: chave duplicada","OK")))</f>
        <v/>
      </c>
    </row>
    <row r="905" ht="15" customHeight="1" s="131">
      <c r="A905" s="320" t="n"/>
      <c r="B905" s="323" t="n"/>
      <c r="C905" s="320" t="n"/>
      <c r="D905" s="326" t="n"/>
      <c r="E905" s="324" t="n"/>
      <c r="F905" s="320" t="n"/>
      <c r="G905" s="327" t="n"/>
      <c r="H905" s="271" t="n"/>
      <c r="I905" s="275">
        <f>IF(COUNTA(A905:F905)=0,"",IF(OR(E905&lt;0,F905&lt;0,F905&gt;10),"ERRO: valores inválidos",IF(COUNTIFS($A$5:$A$1200,A905,$B$5:$B$1200,B905,$C$5:$C$1200,C905,$D$5:$D$1200,D905)&gt;1,"ERRO: chave duplicada","OK")))</f>
        <v/>
      </c>
    </row>
    <row r="906" ht="15" customHeight="1" s="131">
      <c r="A906" s="320" t="n"/>
      <c r="B906" s="323" t="n"/>
      <c r="C906" s="320" t="n"/>
      <c r="D906" s="326" t="n"/>
      <c r="E906" s="324" t="n"/>
      <c r="F906" s="320" t="n"/>
      <c r="G906" s="327" t="n"/>
      <c r="H906" s="271" t="n"/>
      <c r="I906" s="275">
        <f>IF(COUNTA(A906:F906)=0,"",IF(OR(E906&lt;0,F906&lt;0,F906&gt;10),"ERRO: valores inválidos",IF(COUNTIFS($A$5:$A$1200,A906,$B$5:$B$1200,B906,$C$5:$C$1200,C906,$D$5:$D$1200,D906)&gt;1,"ERRO: chave duplicada","OK")))</f>
        <v/>
      </c>
    </row>
    <row r="907" ht="15" customHeight="1" s="131">
      <c r="A907" s="320" t="n"/>
      <c r="B907" s="323" t="n"/>
      <c r="C907" s="320" t="n"/>
      <c r="D907" s="326" t="n"/>
      <c r="E907" s="324" t="n"/>
      <c r="F907" s="320" t="n"/>
      <c r="G907" s="327" t="n"/>
      <c r="H907" s="271" t="n"/>
      <c r="I907" s="275">
        <f>IF(COUNTA(A907:F907)=0,"",IF(OR(E907&lt;0,F907&lt;0,F907&gt;10),"ERRO: valores inválidos",IF(COUNTIFS($A$5:$A$1200,A907,$B$5:$B$1200,B907,$C$5:$C$1200,C907,$D$5:$D$1200,D907)&gt;1,"ERRO: chave duplicada","OK")))</f>
        <v/>
      </c>
    </row>
    <row r="908" ht="15" customHeight="1" s="131">
      <c r="A908" s="320" t="n"/>
      <c r="B908" s="323" t="n"/>
      <c r="C908" s="320" t="n"/>
      <c r="D908" s="326" t="n"/>
      <c r="E908" s="324" t="n"/>
      <c r="F908" s="320" t="n"/>
      <c r="G908" s="327" t="n"/>
      <c r="H908" s="271" t="n"/>
      <c r="I908" s="275">
        <f>IF(COUNTA(A908:F908)=0,"",IF(OR(E908&lt;0,F908&lt;0,F908&gt;10),"ERRO: valores inválidos",IF(COUNTIFS($A$5:$A$1200,A908,$B$5:$B$1200,B908,$C$5:$C$1200,C908,$D$5:$D$1200,D908)&gt;1,"ERRO: chave duplicada","OK")))</f>
        <v/>
      </c>
    </row>
    <row r="909" ht="15" customHeight="1" s="131">
      <c r="A909" s="320" t="n"/>
      <c r="B909" s="323" t="n"/>
      <c r="C909" s="320" t="n"/>
      <c r="D909" s="326" t="n"/>
      <c r="E909" s="324" t="n"/>
      <c r="F909" s="320" t="n"/>
      <c r="G909" s="327" t="n"/>
      <c r="H909" s="271" t="n"/>
      <c r="I909" s="275">
        <f>IF(COUNTA(A909:F909)=0,"",IF(OR(E909&lt;0,F909&lt;0,F909&gt;10),"ERRO: valores inválidos",IF(COUNTIFS($A$5:$A$1200,A909,$B$5:$B$1200,B909,$C$5:$C$1200,C909,$D$5:$D$1200,D909)&gt;1,"ERRO: chave duplicada","OK")))</f>
        <v/>
      </c>
    </row>
    <row r="910" ht="15" customHeight="1" s="131">
      <c r="A910" s="320" t="n"/>
      <c r="B910" s="323" t="n"/>
      <c r="C910" s="320" t="n"/>
      <c r="D910" s="326" t="n"/>
      <c r="E910" s="324" t="n"/>
      <c r="F910" s="320" t="n"/>
      <c r="G910" s="327" t="n"/>
      <c r="H910" s="271" t="n"/>
      <c r="I910" s="275">
        <f>IF(COUNTA(A910:F910)=0,"",IF(OR(E910&lt;0,F910&lt;0,F910&gt;10),"ERRO: valores inválidos",IF(COUNTIFS($A$5:$A$1200,A910,$B$5:$B$1200,B910,$C$5:$C$1200,C910,$D$5:$D$1200,D910)&gt;1,"ERRO: chave duplicada","OK")))</f>
        <v/>
      </c>
    </row>
    <row r="911" ht="15" customHeight="1" s="131">
      <c r="A911" s="320" t="n"/>
      <c r="B911" s="323" t="n"/>
      <c r="C911" s="320" t="n"/>
      <c r="D911" s="326" t="n"/>
      <c r="E911" s="324" t="n"/>
      <c r="F911" s="320" t="n"/>
      <c r="G911" s="327" t="n"/>
      <c r="H911" s="271" t="n"/>
      <c r="I911" s="275">
        <f>IF(COUNTA(A911:F911)=0,"",IF(OR(E911&lt;0,F911&lt;0,F911&gt;10),"ERRO: valores inválidos",IF(COUNTIFS($A$5:$A$1200,A911,$B$5:$B$1200,B911,$C$5:$C$1200,C911,$D$5:$D$1200,D911)&gt;1,"ERRO: chave duplicada","OK")))</f>
        <v/>
      </c>
    </row>
    <row r="912" ht="15" customHeight="1" s="131">
      <c r="A912" s="320" t="n"/>
      <c r="B912" s="323" t="n"/>
      <c r="C912" s="320" t="n"/>
      <c r="D912" s="326" t="n"/>
      <c r="E912" s="324" t="n"/>
      <c r="F912" s="320" t="n"/>
      <c r="G912" s="327" t="n"/>
      <c r="H912" s="271" t="n"/>
      <c r="I912" s="275">
        <f>IF(COUNTA(A912:F912)=0,"",IF(OR(E912&lt;0,F912&lt;0,F912&gt;10),"ERRO: valores inválidos",IF(COUNTIFS($A$5:$A$1200,A912,$B$5:$B$1200,B912,$C$5:$C$1200,C912,$D$5:$D$1200,D912)&gt;1,"ERRO: chave duplicada","OK")))</f>
        <v/>
      </c>
    </row>
    <row r="913" ht="15" customHeight="1" s="131">
      <c r="A913" s="320" t="n"/>
      <c r="B913" s="323" t="n"/>
      <c r="C913" s="320" t="n"/>
      <c r="D913" s="326" t="n"/>
      <c r="E913" s="324" t="n"/>
      <c r="F913" s="320" t="n"/>
      <c r="G913" s="327" t="n"/>
      <c r="H913" s="271" t="n"/>
      <c r="I913" s="275">
        <f>IF(COUNTA(A913:F913)=0,"",IF(OR(E913&lt;0,F913&lt;0,F913&gt;10),"ERRO: valores inválidos",IF(COUNTIFS($A$5:$A$1200,A913,$B$5:$B$1200,B913,$C$5:$C$1200,C913,$D$5:$D$1200,D913)&gt;1,"ERRO: chave duplicada","OK")))</f>
        <v/>
      </c>
    </row>
    <row r="914" ht="15" customHeight="1" s="131">
      <c r="A914" s="320" t="n"/>
      <c r="B914" s="323" t="n"/>
      <c r="C914" s="320" t="n"/>
      <c r="D914" s="326" t="n"/>
      <c r="E914" s="324" t="n"/>
      <c r="F914" s="320" t="n"/>
      <c r="G914" s="327" t="n"/>
      <c r="H914" s="271" t="n"/>
      <c r="I914" s="275">
        <f>IF(COUNTA(A914:F914)=0,"",IF(OR(E914&lt;0,F914&lt;0,F914&gt;10),"ERRO: valores inválidos",IF(COUNTIFS($A$5:$A$1200,A914,$B$5:$B$1200,B914,$C$5:$C$1200,C914,$D$5:$D$1200,D914)&gt;1,"ERRO: chave duplicada","OK")))</f>
        <v/>
      </c>
    </row>
    <row r="915" ht="15" customHeight="1" s="131">
      <c r="A915" s="320" t="n"/>
      <c r="B915" s="323" t="n"/>
      <c r="C915" s="320" t="n"/>
      <c r="D915" s="326" t="n"/>
      <c r="E915" s="324" t="n"/>
      <c r="F915" s="320" t="n"/>
      <c r="G915" s="327" t="n"/>
      <c r="H915" s="271" t="n"/>
      <c r="I915" s="275">
        <f>IF(COUNTA(A915:F915)=0,"",IF(OR(E915&lt;0,F915&lt;0,F915&gt;10),"ERRO: valores inválidos",IF(COUNTIFS($A$5:$A$1200,A915,$B$5:$B$1200,B915,$C$5:$C$1200,C915,$D$5:$D$1200,D915)&gt;1,"ERRO: chave duplicada","OK")))</f>
        <v/>
      </c>
    </row>
    <row r="916" ht="15" customHeight="1" s="131">
      <c r="A916" s="320" t="n"/>
      <c r="B916" s="323" t="n"/>
      <c r="C916" s="320" t="n"/>
      <c r="D916" s="326" t="n"/>
      <c r="E916" s="324" t="n"/>
      <c r="F916" s="320" t="n"/>
      <c r="G916" s="327" t="n"/>
      <c r="H916" s="271" t="n"/>
      <c r="I916" s="275">
        <f>IF(COUNTA(A916:F916)=0,"",IF(OR(E916&lt;0,F916&lt;0,F916&gt;10),"ERRO: valores inválidos",IF(COUNTIFS($A$5:$A$1200,A916,$B$5:$B$1200,B916,$C$5:$C$1200,C916,$D$5:$D$1200,D916)&gt;1,"ERRO: chave duplicada","OK")))</f>
        <v/>
      </c>
    </row>
    <row r="917" ht="15" customHeight="1" s="131">
      <c r="A917" s="320" t="n"/>
      <c r="B917" s="323" t="n"/>
      <c r="C917" s="320" t="n"/>
      <c r="D917" s="326" t="n"/>
      <c r="E917" s="324" t="n"/>
      <c r="F917" s="320" t="n"/>
      <c r="G917" s="327" t="n"/>
      <c r="H917" s="271" t="n"/>
      <c r="I917" s="275">
        <f>IF(COUNTA(A917:F917)=0,"",IF(OR(E917&lt;0,F917&lt;0,F917&gt;10),"ERRO: valores inválidos",IF(COUNTIFS($A$5:$A$1200,A917,$B$5:$B$1200,B917,$C$5:$C$1200,C917,$D$5:$D$1200,D917)&gt;1,"ERRO: chave duplicada","OK")))</f>
        <v/>
      </c>
    </row>
    <row r="918" ht="15" customHeight="1" s="131">
      <c r="A918" s="320" t="n"/>
      <c r="B918" s="323" t="n"/>
      <c r="C918" s="320" t="n"/>
      <c r="D918" s="326" t="n"/>
      <c r="E918" s="324" t="n"/>
      <c r="F918" s="320" t="n"/>
      <c r="G918" s="327" t="n"/>
      <c r="H918" s="271" t="n"/>
      <c r="I918" s="275">
        <f>IF(COUNTA(A918:F918)=0,"",IF(OR(E918&lt;0,F918&lt;0,F918&gt;10),"ERRO: valores inválidos",IF(COUNTIFS($A$5:$A$1200,A918,$B$5:$B$1200,B918,$C$5:$C$1200,C918,$D$5:$D$1200,D918)&gt;1,"ERRO: chave duplicada","OK")))</f>
        <v/>
      </c>
    </row>
    <row r="919" ht="15" customHeight="1" s="131">
      <c r="A919" s="320" t="n"/>
      <c r="B919" s="323" t="n"/>
      <c r="C919" s="320" t="n"/>
      <c r="D919" s="326" t="n"/>
      <c r="E919" s="324" t="n"/>
      <c r="F919" s="320" t="n"/>
      <c r="G919" s="327" t="n"/>
      <c r="H919" s="271" t="n"/>
      <c r="I919" s="275">
        <f>IF(COUNTA(A919:F919)=0,"",IF(OR(E919&lt;0,F919&lt;0,F919&gt;10),"ERRO: valores inválidos",IF(COUNTIFS($A$5:$A$1200,A919,$B$5:$B$1200,B919,$C$5:$C$1200,C919,$D$5:$D$1200,D919)&gt;1,"ERRO: chave duplicada","OK")))</f>
        <v/>
      </c>
    </row>
    <row r="920" ht="15" customHeight="1" s="131">
      <c r="A920" s="320" t="n"/>
      <c r="B920" s="323" t="n"/>
      <c r="C920" s="320" t="n"/>
      <c r="D920" s="326" t="n"/>
      <c r="E920" s="324" t="n"/>
      <c r="F920" s="320" t="n"/>
      <c r="G920" s="327" t="n"/>
      <c r="H920" s="271" t="n"/>
      <c r="I920" s="275">
        <f>IF(COUNTA(A920:F920)=0,"",IF(OR(E920&lt;0,F920&lt;0,F920&gt;10),"ERRO: valores inválidos",IF(COUNTIFS($A$5:$A$1200,A920,$B$5:$B$1200,B920,$C$5:$C$1200,C920,$D$5:$D$1200,D920)&gt;1,"ERRO: chave duplicada","OK")))</f>
        <v/>
      </c>
    </row>
    <row r="921" ht="15" customHeight="1" s="131">
      <c r="A921" s="320" t="n"/>
      <c r="B921" s="323" t="n"/>
      <c r="C921" s="320" t="n"/>
      <c r="D921" s="326" t="n"/>
      <c r="E921" s="324" t="n"/>
      <c r="F921" s="320" t="n"/>
      <c r="G921" s="327" t="n"/>
      <c r="H921" s="271" t="n"/>
      <c r="I921" s="275">
        <f>IF(COUNTA(A921:F921)=0,"",IF(OR(E921&lt;0,F921&lt;0,F921&gt;10),"ERRO: valores inválidos",IF(COUNTIFS($A$5:$A$1200,A921,$B$5:$B$1200,B921,$C$5:$C$1200,C921,$D$5:$D$1200,D921)&gt;1,"ERRO: chave duplicada","OK")))</f>
        <v/>
      </c>
    </row>
    <row r="922" ht="15" customHeight="1" s="131">
      <c r="A922" s="320" t="n"/>
      <c r="B922" s="323" t="n"/>
      <c r="C922" s="320" t="n"/>
      <c r="D922" s="326" t="n"/>
      <c r="E922" s="324" t="n"/>
      <c r="F922" s="320" t="n"/>
      <c r="G922" s="327" t="n"/>
      <c r="H922" s="271" t="n"/>
      <c r="I922" s="275">
        <f>IF(COUNTA(A922:F922)=0,"",IF(OR(E922&lt;0,F922&lt;0,F922&gt;10),"ERRO: valores inválidos",IF(COUNTIFS($A$5:$A$1200,A922,$B$5:$B$1200,B922,$C$5:$C$1200,C922,$D$5:$D$1200,D922)&gt;1,"ERRO: chave duplicada","OK")))</f>
        <v/>
      </c>
    </row>
    <row r="923" ht="15" customHeight="1" s="131">
      <c r="A923" s="320" t="n"/>
      <c r="B923" s="323" t="n"/>
      <c r="C923" s="320" t="n"/>
      <c r="D923" s="326" t="n"/>
      <c r="E923" s="324" t="n"/>
      <c r="F923" s="320" t="n"/>
      <c r="G923" s="327" t="n"/>
      <c r="H923" s="271" t="n"/>
      <c r="I923" s="275">
        <f>IF(COUNTA(A923:F923)=0,"",IF(OR(E923&lt;0,F923&lt;0,F923&gt;10),"ERRO: valores inválidos",IF(COUNTIFS($A$5:$A$1200,A923,$B$5:$B$1200,B923,$C$5:$C$1200,C923,$D$5:$D$1200,D923)&gt;1,"ERRO: chave duplicada","OK")))</f>
        <v/>
      </c>
    </row>
    <row r="924" ht="15" customHeight="1" s="131">
      <c r="A924" s="320" t="n"/>
      <c r="B924" s="323" t="n"/>
      <c r="C924" s="320" t="n"/>
      <c r="D924" s="326" t="n"/>
      <c r="E924" s="324" t="n"/>
      <c r="F924" s="320" t="n"/>
      <c r="G924" s="327" t="n"/>
      <c r="H924" s="271" t="n"/>
      <c r="I924" s="275">
        <f>IF(COUNTA(A924:F924)=0,"",IF(OR(E924&lt;0,F924&lt;0,F924&gt;10),"ERRO: valores inválidos",IF(COUNTIFS($A$5:$A$1200,A924,$B$5:$B$1200,B924,$C$5:$C$1200,C924,$D$5:$D$1200,D924)&gt;1,"ERRO: chave duplicada","OK")))</f>
        <v/>
      </c>
    </row>
    <row r="925" ht="15" customHeight="1" s="131">
      <c r="A925" s="320" t="n"/>
      <c r="B925" s="323" t="n"/>
      <c r="C925" s="320" t="n"/>
      <c r="D925" s="326" t="n"/>
      <c r="E925" s="324" t="n"/>
      <c r="F925" s="320" t="n"/>
      <c r="G925" s="327" t="n"/>
      <c r="H925" s="271" t="n"/>
      <c r="I925" s="275">
        <f>IF(COUNTA(A925:F925)=0,"",IF(OR(E925&lt;0,F925&lt;0,F925&gt;10),"ERRO: valores inválidos",IF(COUNTIFS($A$5:$A$1200,A925,$B$5:$B$1200,B925,$C$5:$C$1200,C925,$D$5:$D$1200,D925)&gt;1,"ERRO: chave duplicada","OK")))</f>
        <v/>
      </c>
    </row>
    <row r="926" ht="15" customHeight="1" s="131">
      <c r="A926" s="320" t="n"/>
      <c r="B926" s="323" t="n"/>
      <c r="C926" s="320" t="n"/>
      <c r="D926" s="326" t="n"/>
      <c r="E926" s="324" t="n"/>
      <c r="F926" s="320" t="n"/>
      <c r="G926" s="327" t="n"/>
      <c r="H926" s="271" t="n"/>
      <c r="I926" s="275">
        <f>IF(COUNTA(A926:F926)=0,"",IF(OR(E926&lt;0,F926&lt;0,F926&gt;10),"ERRO: valores inválidos",IF(COUNTIFS($A$5:$A$1200,A926,$B$5:$B$1200,B926,$C$5:$C$1200,C926,$D$5:$D$1200,D926)&gt;1,"ERRO: chave duplicada","OK")))</f>
        <v/>
      </c>
    </row>
    <row r="927" ht="15" customHeight="1" s="131">
      <c r="A927" s="320" t="n"/>
      <c r="B927" s="323" t="n"/>
      <c r="C927" s="320" t="n"/>
      <c r="D927" s="326" t="n"/>
      <c r="E927" s="324" t="n"/>
      <c r="F927" s="320" t="n"/>
      <c r="G927" s="327" t="n"/>
      <c r="H927" s="271" t="n"/>
      <c r="I927" s="275">
        <f>IF(COUNTA(A927:F927)=0,"",IF(OR(E927&lt;0,F927&lt;0,F927&gt;10),"ERRO: valores inválidos",IF(COUNTIFS($A$5:$A$1200,A927,$B$5:$B$1200,B927,$C$5:$C$1200,C927,$D$5:$D$1200,D927)&gt;1,"ERRO: chave duplicada","OK")))</f>
        <v/>
      </c>
    </row>
    <row r="928" ht="15" customHeight="1" s="131">
      <c r="A928" s="320" t="n"/>
      <c r="B928" s="323" t="n"/>
      <c r="C928" s="320" t="n"/>
      <c r="D928" s="326" t="n"/>
      <c r="E928" s="324" t="n"/>
      <c r="F928" s="320" t="n"/>
      <c r="G928" s="327" t="n"/>
      <c r="H928" s="271" t="n"/>
      <c r="I928" s="275">
        <f>IF(COUNTA(A928:F928)=0,"",IF(OR(E928&lt;0,F928&lt;0,F928&gt;10),"ERRO: valores inválidos",IF(COUNTIFS($A$5:$A$1200,A928,$B$5:$B$1200,B928,$C$5:$C$1200,C928,$D$5:$D$1200,D928)&gt;1,"ERRO: chave duplicada","OK")))</f>
        <v/>
      </c>
    </row>
    <row r="929" ht="15" customHeight="1" s="131">
      <c r="A929" s="320" t="n"/>
      <c r="B929" s="323" t="n"/>
      <c r="C929" s="320" t="n"/>
      <c r="D929" s="326" t="n"/>
      <c r="E929" s="324" t="n"/>
      <c r="F929" s="320" t="n"/>
      <c r="G929" s="327" t="n"/>
      <c r="H929" s="271" t="n"/>
      <c r="I929" s="275">
        <f>IF(COUNTA(A929:F929)=0,"",IF(OR(E929&lt;0,F929&lt;0,F929&gt;10),"ERRO: valores inválidos",IF(COUNTIFS($A$5:$A$1200,A929,$B$5:$B$1200,B929,$C$5:$C$1200,C929,$D$5:$D$1200,D929)&gt;1,"ERRO: chave duplicada","OK")))</f>
        <v/>
      </c>
    </row>
    <row r="930" ht="15" customHeight="1" s="131">
      <c r="A930" s="320" t="n"/>
      <c r="B930" s="323" t="n"/>
      <c r="C930" s="320" t="n"/>
      <c r="D930" s="326" t="n"/>
      <c r="E930" s="324" t="n"/>
      <c r="F930" s="320" t="n"/>
      <c r="G930" s="327" t="n"/>
      <c r="H930" s="271" t="n"/>
      <c r="I930" s="275">
        <f>IF(COUNTA(A930:F930)=0,"",IF(OR(E930&lt;0,F930&lt;0,F930&gt;10),"ERRO: valores inválidos",IF(COUNTIFS($A$5:$A$1200,A930,$B$5:$B$1200,B930,$C$5:$C$1200,C930,$D$5:$D$1200,D930)&gt;1,"ERRO: chave duplicada","OK")))</f>
        <v/>
      </c>
    </row>
    <row r="931" ht="15" customHeight="1" s="131">
      <c r="A931" s="320" t="n"/>
      <c r="B931" s="323" t="n"/>
      <c r="C931" s="320" t="n"/>
      <c r="D931" s="326" t="n"/>
      <c r="E931" s="324" t="n"/>
      <c r="F931" s="320" t="n"/>
      <c r="G931" s="327" t="n"/>
      <c r="H931" s="271" t="n"/>
      <c r="I931" s="275">
        <f>IF(COUNTA(A931:F931)=0,"",IF(OR(E931&lt;0,F931&lt;0,F931&gt;10),"ERRO: valores inválidos",IF(COUNTIFS($A$5:$A$1200,A931,$B$5:$B$1200,B931,$C$5:$C$1200,C931,$D$5:$D$1200,D931)&gt;1,"ERRO: chave duplicada","OK")))</f>
        <v/>
      </c>
    </row>
    <row r="932" ht="15" customHeight="1" s="131">
      <c r="A932" s="320" t="n"/>
      <c r="B932" s="323" t="n"/>
      <c r="C932" s="320" t="n"/>
      <c r="D932" s="326" t="n"/>
      <c r="E932" s="324" t="n"/>
      <c r="F932" s="320" t="n"/>
      <c r="G932" s="327" t="n"/>
      <c r="H932" s="271" t="n"/>
      <c r="I932" s="275">
        <f>IF(COUNTA(A932:F932)=0,"",IF(OR(E932&lt;0,F932&lt;0,F932&gt;10),"ERRO: valores inválidos",IF(COUNTIFS($A$5:$A$1200,A932,$B$5:$B$1200,B932,$C$5:$C$1200,C932,$D$5:$D$1200,D932)&gt;1,"ERRO: chave duplicada","OK")))</f>
        <v/>
      </c>
    </row>
    <row r="933" ht="15" customHeight="1" s="131">
      <c r="A933" s="320" t="n"/>
      <c r="B933" s="323" t="n"/>
      <c r="C933" s="320" t="n"/>
      <c r="D933" s="326" t="n"/>
      <c r="E933" s="324" t="n"/>
      <c r="F933" s="320" t="n"/>
      <c r="G933" s="327" t="n"/>
      <c r="H933" s="271" t="n"/>
      <c r="I933" s="275">
        <f>IF(COUNTA(A933:F933)=0,"",IF(OR(E933&lt;0,F933&lt;0,F933&gt;10),"ERRO: valores inválidos",IF(COUNTIFS($A$5:$A$1200,A933,$B$5:$B$1200,B933,$C$5:$C$1200,C933,$D$5:$D$1200,D933)&gt;1,"ERRO: chave duplicada","OK")))</f>
        <v/>
      </c>
    </row>
    <row r="934" ht="15" customHeight="1" s="131">
      <c r="A934" s="320" t="n"/>
      <c r="B934" s="323" t="n"/>
      <c r="C934" s="320" t="n"/>
      <c r="D934" s="326" t="n"/>
      <c r="E934" s="324" t="n"/>
      <c r="F934" s="320" t="n"/>
      <c r="G934" s="327" t="n"/>
      <c r="H934" s="271" t="n"/>
      <c r="I934" s="275">
        <f>IF(COUNTA(A934:F934)=0,"",IF(OR(E934&lt;0,F934&lt;0,F934&gt;10),"ERRO: valores inválidos",IF(COUNTIFS($A$5:$A$1200,A934,$B$5:$B$1200,B934,$C$5:$C$1200,C934,$D$5:$D$1200,D934)&gt;1,"ERRO: chave duplicada","OK")))</f>
        <v/>
      </c>
    </row>
    <row r="935" ht="15" customHeight="1" s="131">
      <c r="A935" s="320" t="n"/>
      <c r="B935" s="323" t="n"/>
      <c r="C935" s="320" t="n"/>
      <c r="D935" s="326" t="n"/>
      <c r="E935" s="324" t="n"/>
      <c r="F935" s="320" t="n"/>
      <c r="G935" s="327" t="n"/>
      <c r="H935" s="271" t="n"/>
      <c r="I935" s="275">
        <f>IF(COUNTA(A935:F935)=0,"",IF(OR(E935&lt;0,F935&lt;0,F935&gt;10),"ERRO: valores inválidos",IF(COUNTIFS($A$5:$A$1200,A935,$B$5:$B$1200,B935,$C$5:$C$1200,C935,$D$5:$D$1200,D935)&gt;1,"ERRO: chave duplicada","OK")))</f>
        <v/>
      </c>
    </row>
    <row r="936" ht="15" customHeight="1" s="131">
      <c r="A936" s="320" t="n"/>
      <c r="B936" s="323" t="n"/>
      <c r="C936" s="320" t="n"/>
      <c r="D936" s="326" t="n"/>
      <c r="E936" s="324" t="n"/>
      <c r="F936" s="320" t="n"/>
      <c r="G936" s="327" t="n"/>
      <c r="H936" s="271" t="n"/>
      <c r="I936" s="275">
        <f>IF(COUNTA(A936:F936)=0,"",IF(OR(E936&lt;0,F936&lt;0,F936&gt;10),"ERRO: valores inválidos",IF(COUNTIFS($A$5:$A$1200,A936,$B$5:$B$1200,B936,$C$5:$C$1200,C936,$D$5:$D$1200,D936)&gt;1,"ERRO: chave duplicada","OK")))</f>
        <v/>
      </c>
    </row>
    <row r="937" ht="15" customHeight="1" s="131">
      <c r="A937" s="320" t="n"/>
      <c r="B937" s="323" t="n"/>
      <c r="C937" s="320" t="n"/>
      <c r="D937" s="326" t="n"/>
      <c r="E937" s="324" t="n"/>
      <c r="F937" s="320" t="n"/>
      <c r="G937" s="327" t="n"/>
      <c r="H937" s="271" t="n"/>
      <c r="I937" s="275">
        <f>IF(COUNTA(A937:F937)=0,"",IF(OR(E937&lt;0,F937&lt;0,F937&gt;10),"ERRO: valores inválidos",IF(COUNTIFS($A$5:$A$1200,A937,$B$5:$B$1200,B937,$C$5:$C$1200,C937,$D$5:$D$1200,D937)&gt;1,"ERRO: chave duplicada","OK")))</f>
        <v/>
      </c>
    </row>
    <row r="938" ht="15" customHeight="1" s="131">
      <c r="A938" s="320" t="n"/>
      <c r="B938" s="323" t="n"/>
      <c r="C938" s="320" t="n"/>
      <c r="D938" s="326" t="n"/>
      <c r="E938" s="324" t="n"/>
      <c r="F938" s="320" t="n"/>
      <c r="G938" s="327" t="n"/>
      <c r="H938" s="271" t="n"/>
      <c r="I938" s="275">
        <f>IF(COUNTA(A938:F938)=0,"",IF(OR(E938&lt;0,F938&lt;0,F938&gt;10),"ERRO: valores inválidos",IF(COUNTIFS($A$5:$A$1200,A938,$B$5:$B$1200,B938,$C$5:$C$1200,C938,$D$5:$D$1200,D938)&gt;1,"ERRO: chave duplicada","OK")))</f>
        <v/>
      </c>
    </row>
    <row r="939" ht="15" customHeight="1" s="131">
      <c r="A939" s="320" t="n"/>
      <c r="B939" s="323" t="n"/>
      <c r="C939" s="320" t="n"/>
      <c r="D939" s="326" t="n"/>
      <c r="E939" s="324" t="n"/>
      <c r="F939" s="320" t="n"/>
      <c r="G939" s="327" t="n"/>
      <c r="H939" s="271" t="n"/>
      <c r="I939" s="275">
        <f>IF(COUNTA(A939:F939)=0,"",IF(OR(E939&lt;0,F939&lt;0,F939&gt;10),"ERRO: valores inválidos",IF(COUNTIFS($A$5:$A$1200,A939,$B$5:$B$1200,B939,$C$5:$C$1200,C939,$D$5:$D$1200,D939)&gt;1,"ERRO: chave duplicada","OK")))</f>
        <v/>
      </c>
    </row>
    <row r="940" ht="15" customHeight="1" s="131">
      <c r="A940" s="320" t="n"/>
      <c r="B940" s="323" t="n"/>
      <c r="C940" s="320" t="n"/>
      <c r="D940" s="326" t="n"/>
      <c r="E940" s="324" t="n"/>
      <c r="F940" s="320" t="n"/>
      <c r="G940" s="327" t="n"/>
      <c r="H940" s="271" t="n"/>
      <c r="I940" s="275">
        <f>IF(COUNTA(A940:F940)=0,"",IF(OR(E940&lt;0,F940&lt;0,F940&gt;10),"ERRO: valores inválidos",IF(COUNTIFS($A$5:$A$1200,A940,$B$5:$B$1200,B940,$C$5:$C$1200,C940,$D$5:$D$1200,D940)&gt;1,"ERRO: chave duplicada","OK")))</f>
        <v/>
      </c>
    </row>
    <row r="941" ht="15" customHeight="1" s="131">
      <c r="A941" s="320" t="n"/>
      <c r="B941" s="323" t="n"/>
      <c r="C941" s="320" t="n"/>
      <c r="D941" s="326" t="n"/>
      <c r="E941" s="324" t="n"/>
      <c r="F941" s="320" t="n"/>
      <c r="G941" s="327" t="n"/>
      <c r="H941" s="271" t="n"/>
      <c r="I941" s="275">
        <f>IF(COUNTA(A941:F941)=0,"",IF(OR(E941&lt;0,F941&lt;0,F941&gt;10),"ERRO: valores inválidos",IF(COUNTIFS($A$5:$A$1200,A941,$B$5:$B$1200,B941,$C$5:$C$1200,C941,$D$5:$D$1200,D941)&gt;1,"ERRO: chave duplicada","OK")))</f>
        <v/>
      </c>
    </row>
    <row r="942" ht="15" customHeight="1" s="131">
      <c r="A942" s="320" t="n"/>
      <c r="B942" s="323" t="n"/>
      <c r="C942" s="320" t="n"/>
      <c r="D942" s="326" t="n"/>
      <c r="E942" s="324" t="n"/>
      <c r="F942" s="320" t="n"/>
      <c r="G942" s="327" t="n"/>
      <c r="H942" s="271" t="n"/>
      <c r="I942" s="275">
        <f>IF(COUNTA(A942:F942)=0,"",IF(OR(E942&lt;0,F942&lt;0,F942&gt;10),"ERRO: valores inválidos",IF(COUNTIFS($A$5:$A$1200,A942,$B$5:$B$1200,B942,$C$5:$C$1200,C942,$D$5:$D$1200,D942)&gt;1,"ERRO: chave duplicada","OK")))</f>
        <v/>
      </c>
    </row>
    <row r="943" ht="15" customHeight="1" s="131">
      <c r="A943" s="320" t="n"/>
      <c r="B943" s="323" t="n"/>
      <c r="C943" s="320" t="n"/>
      <c r="D943" s="326" t="n"/>
      <c r="E943" s="324" t="n"/>
      <c r="F943" s="320" t="n"/>
      <c r="G943" s="327" t="n"/>
      <c r="H943" s="271" t="n"/>
      <c r="I943" s="275">
        <f>IF(COUNTA(A943:F943)=0,"",IF(OR(E943&lt;0,F943&lt;0,F943&gt;10),"ERRO: valores inválidos",IF(COUNTIFS($A$5:$A$1200,A943,$B$5:$B$1200,B943,$C$5:$C$1200,C943,$D$5:$D$1200,D943)&gt;1,"ERRO: chave duplicada","OK")))</f>
        <v/>
      </c>
    </row>
    <row r="944" ht="15" customHeight="1" s="131">
      <c r="A944" s="320" t="n"/>
      <c r="B944" s="323" t="n"/>
      <c r="C944" s="320" t="n"/>
      <c r="D944" s="326" t="n"/>
      <c r="E944" s="324" t="n"/>
      <c r="F944" s="320" t="n"/>
      <c r="G944" s="327" t="n"/>
      <c r="H944" s="271" t="n"/>
      <c r="I944" s="275">
        <f>IF(COUNTA(A944:F944)=0,"",IF(OR(E944&lt;0,F944&lt;0,F944&gt;10),"ERRO: valores inválidos",IF(COUNTIFS($A$5:$A$1200,A944,$B$5:$B$1200,B944,$C$5:$C$1200,C944,$D$5:$D$1200,D944)&gt;1,"ERRO: chave duplicada","OK")))</f>
        <v/>
      </c>
    </row>
    <row r="945" ht="15" customHeight="1" s="131">
      <c r="A945" s="320" t="n"/>
      <c r="B945" s="323" t="n"/>
      <c r="C945" s="320" t="n"/>
      <c r="D945" s="326" t="n"/>
      <c r="E945" s="324" t="n"/>
      <c r="F945" s="320" t="n"/>
      <c r="G945" s="327" t="n"/>
      <c r="H945" s="271" t="n"/>
      <c r="I945" s="275">
        <f>IF(COUNTA(A945:F945)=0,"",IF(OR(E945&lt;0,F945&lt;0,F945&gt;10),"ERRO: valores inválidos",IF(COUNTIFS($A$5:$A$1200,A945,$B$5:$B$1200,B945,$C$5:$C$1200,C945,$D$5:$D$1200,D945)&gt;1,"ERRO: chave duplicada","OK")))</f>
        <v/>
      </c>
    </row>
    <row r="946" ht="15" customHeight="1" s="131">
      <c r="A946" s="320" t="n"/>
      <c r="B946" s="323" t="n"/>
      <c r="C946" s="320" t="n"/>
      <c r="D946" s="326" t="n"/>
      <c r="E946" s="324" t="n"/>
      <c r="F946" s="320" t="n"/>
      <c r="G946" s="327" t="n"/>
      <c r="H946" s="271" t="n"/>
      <c r="I946" s="275">
        <f>IF(COUNTA(A946:F946)=0,"",IF(OR(E946&lt;0,F946&lt;0,F946&gt;10),"ERRO: valores inválidos",IF(COUNTIFS($A$5:$A$1200,A946,$B$5:$B$1200,B946,$C$5:$C$1200,C946,$D$5:$D$1200,D946)&gt;1,"ERRO: chave duplicada","OK")))</f>
        <v/>
      </c>
    </row>
    <row r="947" ht="15" customHeight="1" s="131">
      <c r="A947" s="320" t="n"/>
      <c r="B947" s="323" t="n"/>
      <c r="C947" s="320" t="n"/>
      <c r="D947" s="326" t="n"/>
      <c r="E947" s="324" t="n"/>
      <c r="F947" s="320" t="n"/>
      <c r="G947" s="327" t="n"/>
      <c r="H947" s="271" t="n"/>
      <c r="I947" s="275">
        <f>IF(COUNTA(A947:F947)=0,"",IF(OR(E947&lt;0,F947&lt;0,F947&gt;10),"ERRO: valores inválidos",IF(COUNTIFS($A$5:$A$1200,A947,$B$5:$B$1200,B947,$C$5:$C$1200,C947,$D$5:$D$1200,D947)&gt;1,"ERRO: chave duplicada","OK")))</f>
        <v/>
      </c>
    </row>
    <row r="948" ht="15" customHeight="1" s="131">
      <c r="A948" s="320" t="n"/>
      <c r="B948" s="323" t="n"/>
      <c r="C948" s="320" t="n"/>
      <c r="D948" s="326" t="n"/>
      <c r="E948" s="324" t="n"/>
      <c r="F948" s="320" t="n"/>
      <c r="G948" s="327" t="n"/>
      <c r="H948" s="271" t="n"/>
      <c r="I948" s="275">
        <f>IF(COUNTA(A948:F948)=0,"",IF(OR(E948&lt;0,F948&lt;0,F948&gt;10),"ERRO: valores inválidos",IF(COUNTIFS($A$5:$A$1200,A948,$B$5:$B$1200,B948,$C$5:$C$1200,C948,$D$5:$D$1200,D948)&gt;1,"ERRO: chave duplicada","OK")))</f>
        <v/>
      </c>
    </row>
    <row r="949" ht="15" customHeight="1" s="131">
      <c r="A949" s="320" t="n"/>
      <c r="B949" s="323" t="n"/>
      <c r="C949" s="320" t="n"/>
      <c r="D949" s="326" t="n"/>
      <c r="E949" s="324" t="n"/>
      <c r="F949" s="320" t="n"/>
      <c r="G949" s="327" t="n"/>
      <c r="H949" s="271" t="n"/>
      <c r="I949" s="275">
        <f>IF(COUNTA(A949:F949)=0,"",IF(OR(E949&lt;0,F949&lt;0,F949&gt;10),"ERRO: valores inválidos",IF(COUNTIFS($A$5:$A$1200,A949,$B$5:$B$1200,B949,$C$5:$C$1200,C949,$D$5:$D$1200,D949)&gt;1,"ERRO: chave duplicada","OK")))</f>
        <v/>
      </c>
    </row>
    <row r="950" ht="15" customHeight="1" s="131">
      <c r="A950" s="320" t="n"/>
      <c r="B950" s="323" t="n"/>
      <c r="C950" s="320" t="n"/>
      <c r="D950" s="326" t="n"/>
      <c r="E950" s="324" t="n"/>
      <c r="F950" s="320" t="n"/>
      <c r="G950" s="327" t="n"/>
      <c r="H950" s="271" t="n"/>
      <c r="I950" s="275">
        <f>IF(COUNTA(A950:F950)=0,"",IF(OR(E950&lt;0,F950&lt;0,F950&gt;10),"ERRO: valores inválidos",IF(COUNTIFS($A$5:$A$1200,A950,$B$5:$B$1200,B950,$C$5:$C$1200,C950,$D$5:$D$1200,D950)&gt;1,"ERRO: chave duplicada","OK")))</f>
        <v/>
      </c>
    </row>
    <row r="951" ht="15" customHeight="1" s="131">
      <c r="A951" s="320" t="n"/>
      <c r="B951" s="323" t="n"/>
      <c r="C951" s="320" t="n"/>
      <c r="D951" s="326" t="n"/>
      <c r="E951" s="324" t="n"/>
      <c r="F951" s="320" t="n"/>
      <c r="G951" s="327" t="n"/>
      <c r="H951" s="271" t="n"/>
      <c r="I951" s="275">
        <f>IF(COUNTA(A951:F951)=0,"",IF(OR(E951&lt;0,F951&lt;0,F951&gt;10),"ERRO: valores inválidos",IF(COUNTIFS($A$5:$A$1200,A951,$B$5:$B$1200,B951,$C$5:$C$1200,C951,$D$5:$D$1200,D951)&gt;1,"ERRO: chave duplicada","OK")))</f>
        <v/>
      </c>
    </row>
    <row r="952" ht="15" customHeight="1" s="131">
      <c r="A952" s="320" t="n"/>
      <c r="B952" s="323" t="n"/>
      <c r="C952" s="320" t="n"/>
      <c r="D952" s="326" t="n"/>
      <c r="E952" s="324" t="n"/>
      <c r="F952" s="320" t="n"/>
      <c r="G952" s="327" t="n"/>
      <c r="H952" s="271" t="n"/>
      <c r="I952" s="275">
        <f>IF(COUNTA(A952:F952)=0,"",IF(OR(E952&lt;0,F952&lt;0,F952&gt;10),"ERRO: valores inválidos",IF(COUNTIFS($A$5:$A$1200,A952,$B$5:$B$1200,B952,$C$5:$C$1200,C952,$D$5:$D$1200,D952)&gt;1,"ERRO: chave duplicada","OK")))</f>
        <v/>
      </c>
    </row>
    <row r="953" ht="15" customHeight="1" s="131">
      <c r="A953" s="320" t="n"/>
      <c r="B953" s="323" t="n"/>
      <c r="C953" s="320" t="n"/>
      <c r="D953" s="326" t="n"/>
      <c r="E953" s="324" t="n"/>
      <c r="F953" s="320" t="n"/>
      <c r="G953" s="327" t="n"/>
      <c r="H953" s="271" t="n"/>
      <c r="I953" s="275">
        <f>IF(COUNTA(A953:F953)=0,"",IF(OR(E953&lt;0,F953&lt;0,F953&gt;10),"ERRO: valores inválidos",IF(COUNTIFS($A$5:$A$1200,A953,$B$5:$B$1200,B953,$C$5:$C$1200,C953,$D$5:$D$1200,D953)&gt;1,"ERRO: chave duplicada","OK")))</f>
        <v/>
      </c>
    </row>
    <row r="954" ht="15" customHeight="1" s="131">
      <c r="A954" s="320" t="n"/>
      <c r="B954" s="323" t="n"/>
      <c r="C954" s="320" t="n"/>
      <c r="D954" s="326" t="n"/>
      <c r="E954" s="324" t="n"/>
      <c r="F954" s="320" t="n"/>
      <c r="G954" s="327" t="n"/>
      <c r="H954" s="271" t="n"/>
      <c r="I954" s="275">
        <f>IF(COUNTA(A954:F954)=0,"",IF(OR(E954&lt;0,F954&lt;0,F954&gt;10),"ERRO: valores inválidos",IF(COUNTIFS($A$5:$A$1200,A954,$B$5:$B$1200,B954,$C$5:$C$1200,C954,$D$5:$D$1200,D954)&gt;1,"ERRO: chave duplicada","OK")))</f>
        <v/>
      </c>
    </row>
    <row r="955" ht="15" customHeight="1" s="131">
      <c r="A955" s="320" t="n"/>
      <c r="B955" s="323" t="n"/>
      <c r="C955" s="320" t="n"/>
      <c r="D955" s="326" t="n"/>
      <c r="E955" s="324" t="n"/>
      <c r="F955" s="320" t="n"/>
      <c r="G955" s="327" t="n"/>
      <c r="H955" s="271" t="n"/>
      <c r="I955" s="275">
        <f>IF(COUNTA(A955:F955)=0,"",IF(OR(E955&lt;0,F955&lt;0,F955&gt;10),"ERRO: valores inválidos",IF(COUNTIFS($A$5:$A$1200,A955,$B$5:$B$1200,B955,$C$5:$C$1200,C955,$D$5:$D$1200,D955)&gt;1,"ERRO: chave duplicada","OK")))</f>
        <v/>
      </c>
    </row>
    <row r="956" ht="15" customHeight="1" s="131">
      <c r="A956" s="320" t="n"/>
      <c r="B956" s="323" t="n"/>
      <c r="C956" s="320" t="n"/>
      <c r="D956" s="326" t="n"/>
      <c r="E956" s="324" t="n"/>
      <c r="F956" s="320" t="n"/>
      <c r="G956" s="327" t="n"/>
      <c r="H956" s="271" t="n"/>
      <c r="I956" s="275">
        <f>IF(COUNTA(A956:F956)=0,"",IF(OR(E956&lt;0,F956&lt;0,F956&gt;10),"ERRO: valores inválidos",IF(COUNTIFS($A$5:$A$1200,A956,$B$5:$B$1200,B956,$C$5:$C$1200,C956,$D$5:$D$1200,D956)&gt;1,"ERRO: chave duplicada","OK")))</f>
        <v/>
      </c>
    </row>
    <row r="957" ht="15" customHeight="1" s="131">
      <c r="A957" s="320" t="n"/>
      <c r="B957" s="323" t="n"/>
      <c r="C957" s="320" t="n"/>
      <c r="D957" s="326" t="n"/>
      <c r="E957" s="324" t="n"/>
      <c r="F957" s="320" t="n"/>
      <c r="G957" s="327" t="n"/>
      <c r="H957" s="271" t="n"/>
      <c r="I957" s="275">
        <f>IF(COUNTA(A957:F957)=0,"",IF(OR(E957&lt;0,F957&lt;0,F957&gt;10),"ERRO: valores inválidos",IF(COUNTIFS($A$5:$A$1200,A957,$B$5:$B$1200,B957,$C$5:$C$1200,C957,$D$5:$D$1200,D957)&gt;1,"ERRO: chave duplicada","OK")))</f>
        <v/>
      </c>
    </row>
    <row r="958" ht="15" customHeight="1" s="131">
      <c r="A958" s="320" t="n"/>
      <c r="B958" s="323" t="n"/>
      <c r="C958" s="320" t="n"/>
      <c r="D958" s="326" t="n"/>
      <c r="E958" s="324" t="n"/>
      <c r="F958" s="320" t="n"/>
      <c r="G958" s="327" t="n"/>
      <c r="H958" s="271" t="n"/>
      <c r="I958" s="275">
        <f>IF(COUNTA(A958:F958)=0,"",IF(OR(E958&lt;0,F958&lt;0,F958&gt;10),"ERRO: valores inválidos",IF(COUNTIFS($A$5:$A$1200,A958,$B$5:$B$1200,B958,$C$5:$C$1200,C958,$D$5:$D$1200,D958)&gt;1,"ERRO: chave duplicada","OK")))</f>
        <v/>
      </c>
    </row>
    <row r="959" ht="15" customHeight="1" s="131">
      <c r="A959" s="320" t="n"/>
      <c r="B959" s="323" t="n"/>
      <c r="C959" s="320" t="n"/>
      <c r="D959" s="326" t="n"/>
      <c r="E959" s="324" t="n"/>
      <c r="F959" s="320" t="n"/>
      <c r="G959" s="327" t="n"/>
      <c r="H959" s="271" t="n"/>
      <c r="I959" s="275">
        <f>IF(COUNTA(A959:F959)=0,"",IF(OR(E959&lt;0,F959&lt;0,F959&gt;10),"ERRO: valores inválidos",IF(COUNTIFS($A$5:$A$1200,A959,$B$5:$B$1200,B959,$C$5:$C$1200,C959,$D$5:$D$1200,D959)&gt;1,"ERRO: chave duplicada","OK")))</f>
        <v/>
      </c>
    </row>
    <row r="960" ht="15" customHeight="1" s="131">
      <c r="A960" s="320" t="n"/>
      <c r="B960" s="323" t="n"/>
      <c r="C960" s="320" t="n"/>
      <c r="D960" s="326" t="n"/>
      <c r="E960" s="324" t="n"/>
      <c r="F960" s="320" t="n"/>
      <c r="G960" s="327" t="n"/>
      <c r="H960" s="271" t="n"/>
      <c r="I960" s="275">
        <f>IF(COUNTA(A960:F960)=0,"",IF(OR(E960&lt;0,F960&lt;0,F960&gt;10),"ERRO: valores inválidos",IF(COUNTIFS($A$5:$A$1200,A960,$B$5:$B$1200,B960,$C$5:$C$1200,C960,$D$5:$D$1200,D960)&gt;1,"ERRO: chave duplicada","OK")))</f>
        <v/>
      </c>
    </row>
    <row r="961" ht="15" customHeight="1" s="131">
      <c r="A961" s="320" t="n"/>
      <c r="B961" s="323" t="n"/>
      <c r="C961" s="320" t="n"/>
      <c r="D961" s="326" t="n"/>
      <c r="E961" s="324" t="n"/>
      <c r="F961" s="320" t="n"/>
      <c r="G961" s="327" t="n"/>
      <c r="H961" s="271" t="n"/>
      <c r="I961" s="275">
        <f>IF(COUNTA(A961:F961)=0,"",IF(OR(E961&lt;0,F961&lt;0,F961&gt;10),"ERRO: valores inválidos",IF(COUNTIFS($A$5:$A$1200,A961,$B$5:$B$1200,B961,$C$5:$C$1200,C961,$D$5:$D$1200,D961)&gt;1,"ERRO: chave duplicada","OK")))</f>
        <v/>
      </c>
    </row>
    <row r="962" ht="15" customHeight="1" s="131">
      <c r="A962" s="320" t="n"/>
      <c r="B962" s="323" t="n"/>
      <c r="C962" s="320" t="n"/>
      <c r="D962" s="326" t="n"/>
      <c r="E962" s="324" t="n"/>
      <c r="F962" s="320" t="n"/>
      <c r="G962" s="327" t="n"/>
      <c r="H962" s="271" t="n"/>
      <c r="I962" s="275">
        <f>IF(COUNTA(A962:F962)=0,"",IF(OR(E962&lt;0,F962&lt;0,F962&gt;10),"ERRO: valores inválidos",IF(COUNTIFS($A$5:$A$1200,A962,$B$5:$B$1200,B962,$C$5:$C$1200,C962,$D$5:$D$1200,D962)&gt;1,"ERRO: chave duplicada","OK")))</f>
        <v/>
      </c>
    </row>
    <row r="963" ht="15" customHeight="1" s="131">
      <c r="A963" s="320" t="n"/>
      <c r="B963" s="323" t="n"/>
      <c r="C963" s="320" t="n"/>
      <c r="D963" s="326" t="n"/>
      <c r="E963" s="324" t="n"/>
      <c r="F963" s="320" t="n"/>
      <c r="G963" s="327" t="n"/>
      <c r="H963" s="271" t="n"/>
      <c r="I963" s="275">
        <f>IF(COUNTA(A963:F963)=0,"",IF(OR(E963&lt;0,F963&lt;0,F963&gt;10),"ERRO: valores inválidos",IF(COUNTIFS($A$5:$A$1200,A963,$B$5:$B$1200,B963,$C$5:$C$1200,C963,$D$5:$D$1200,D963)&gt;1,"ERRO: chave duplicada","OK")))</f>
        <v/>
      </c>
    </row>
    <row r="964" ht="15" customHeight="1" s="131">
      <c r="A964" s="320" t="n"/>
      <c r="B964" s="323" t="n"/>
      <c r="C964" s="320" t="n"/>
      <c r="D964" s="326" t="n"/>
      <c r="E964" s="324" t="n"/>
      <c r="F964" s="320" t="n"/>
      <c r="G964" s="327" t="n"/>
      <c r="H964" s="271" t="n"/>
      <c r="I964" s="275">
        <f>IF(COUNTA(A964:F964)=0,"",IF(OR(E964&lt;0,F964&lt;0,F964&gt;10),"ERRO: valores inválidos",IF(COUNTIFS($A$5:$A$1200,A964,$B$5:$B$1200,B964,$C$5:$C$1200,C964,$D$5:$D$1200,D964)&gt;1,"ERRO: chave duplicada","OK")))</f>
        <v/>
      </c>
    </row>
    <row r="965" ht="15" customHeight="1" s="131">
      <c r="A965" s="320" t="n"/>
      <c r="B965" s="323" t="n"/>
      <c r="C965" s="320" t="n"/>
      <c r="D965" s="326" t="n"/>
      <c r="E965" s="324" t="n"/>
      <c r="F965" s="320" t="n"/>
      <c r="G965" s="327" t="n"/>
      <c r="H965" s="271" t="n"/>
      <c r="I965" s="275">
        <f>IF(COUNTA(A965:F965)=0,"",IF(OR(E965&lt;0,F965&lt;0,F965&gt;10),"ERRO: valores inválidos",IF(COUNTIFS($A$5:$A$1200,A965,$B$5:$B$1200,B965,$C$5:$C$1200,C965,$D$5:$D$1200,D965)&gt;1,"ERRO: chave duplicada","OK")))</f>
        <v/>
      </c>
    </row>
    <row r="966" ht="15" customHeight="1" s="131">
      <c r="A966" s="320" t="n"/>
      <c r="B966" s="323" t="n"/>
      <c r="C966" s="320" t="n"/>
      <c r="D966" s="326" t="n"/>
      <c r="E966" s="324" t="n"/>
      <c r="F966" s="320" t="n"/>
      <c r="G966" s="327" t="n"/>
      <c r="H966" s="271" t="n"/>
      <c r="I966" s="275">
        <f>IF(COUNTA(A966:F966)=0,"",IF(OR(E966&lt;0,F966&lt;0,F966&gt;10),"ERRO: valores inválidos",IF(COUNTIFS($A$5:$A$1200,A966,$B$5:$B$1200,B966,$C$5:$C$1200,C966,$D$5:$D$1200,D966)&gt;1,"ERRO: chave duplicada","OK")))</f>
        <v/>
      </c>
    </row>
    <row r="967" ht="15" customHeight="1" s="131">
      <c r="A967" s="320" t="n"/>
      <c r="B967" s="323" t="n"/>
      <c r="C967" s="320" t="n"/>
      <c r="D967" s="326" t="n"/>
      <c r="E967" s="324" t="n"/>
      <c r="F967" s="320" t="n"/>
      <c r="G967" s="327" t="n"/>
      <c r="H967" s="271" t="n"/>
      <c r="I967" s="275">
        <f>IF(COUNTA(A967:F967)=0,"",IF(OR(E967&lt;0,F967&lt;0,F967&gt;10),"ERRO: valores inválidos",IF(COUNTIFS($A$5:$A$1200,A967,$B$5:$B$1200,B967,$C$5:$C$1200,C967,$D$5:$D$1200,D967)&gt;1,"ERRO: chave duplicada","OK")))</f>
        <v/>
      </c>
    </row>
    <row r="968" ht="15" customHeight="1" s="131">
      <c r="A968" s="320" t="n"/>
      <c r="B968" s="323" t="n"/>
      <c r="C968" s="320" t="n"/>
      <c r="D968" s="326" t="n"/>
      <c r="E968" s="324" t="n"/>
      <c r="F968" s="320" t="n"/>
      <c r="G968" s="327" t="n"/>
      <c r="H968" s="271" t="n"/>
      <c r="I968" s="275">
        <f>IF(COUNTA(A968:F968)=0,"",IF(OR(E968&lt;0,F968&lt;0,F968&gt;10),"ERRO: valores inválidos",IF(COUNTIFS($A$5:$A$1200,A968,$B$5:$B$1200,B968,$C$5:$C$1200,C968,$D$5:$D$1200,D968)&gt;1,"ERRO: chave duplicada","OK")))</f>
        <v/>
      </c>
    </row>
    <row r="969" ht="15" customHeight="1" s="131">
      <c r="A969" s="320" t="n"/>
      <c r="B969" s="323" t="n"/>
      <c r="C969" s="320" t="n"/>
      <c r="D969" s="326" t="n"/>
      <c r="E969" s="324" t="n"/>
      <c r="F969" s="320" t="n"/>
      <c r="G969" s="327" t="n"/>
      <c r="H969" s="271" t="n"/>
      <c r="I969" s="275">
        <f>IF(COUNTA(A969:F969)=0,"",IF(OR(E969&lt;0,F969&lt;0,F969&gt;10),"ERRO: valores inválidos",IF(COUNTIFS($A$5:$A$1200,A969,$B$5:$B$1200,B969,$C$5:$C$1200,C969,$D$5:$D$1200,D969)&gt;1,"ERRO: chave duplicada","OK")))</f>
        <v/>
      </c>
    </row>
    <row r="970" ht="15" customHeight="1" s="131">
      <c r="A970" s="320" t="n"/>
      <c r="B970" s="323" t="n"/>
      <c r="C970" s="320" t="n"/>
      <c r="D970" s="326" t="n"/>
      <c r="E970" s="324" t="n"/>
      <c r="F970" s="320" t="n"/>
      <c r="G970" s="327" t="n"/>
      <c r="H970" s="271" t="n"/>
      <c r="I970" s="275">
        <f>IF(COUNTA(A970:F970)=0,"",IF(OR(E970&lt;0,F970&lt;0,F970&gt;10),"ERRO: valores inválidos",IF(COUNTIFS($A$5:$A$1200,A970,$B$5:$B$1200,B970,$C$5:$C$1200,C970,$D$5:$D$1200,D970)&gt;1,"ERRO: chave duplicada","OK")))</f>
        <v/>
      </c>
    </row>
    <row r="971" ht="15" customHeight="1" s="131">
      <c r="A971" s="320" t="n"/>
      <c r="B971" s="323" t="n"/>
      <c r="C971" s="320" t="n"/>
      <c r="D971" s="326" t="n"/>
      <c r="E971" s="324" t="n"/>
      <c r="F971" s="320" t="n"/>
      <c r="G971" s="327" t="n"/>
      <c r="H971" s="271" t="n"/>
      <c r="I971" s="275">
        <f>IF(COUNTA(A971:F971)=0,"",IF(OR(E971&lt;0,F971&lt;0,F971&gt;10),"ERRO: valores inválidos",IF(COUNTIFS($A$5:$A$1200,A971,$B$5:$B$1200,B971,$C$5:$C$1200,C971,$D$5:$D$1200,D971)&gt;1,"ERRO: chave duplicada","OK")))</f>
        <v/>
      </c>
    </row>
    <row r="972" ht="15" customHeight="1" s="131">
      <c r="A972" s="320" t="n"/>
      <c r="B972" s="323" t="n"/>
      <c r="C972" s="320" t="n"/>
      <c r="D972" s="326" t="n"/>
      <c r="E972" s="324" t="n"/>
      <c r="F972" s="320" t="n"/>
      <c r="G972" s="327" t="n"/>
      <c r="H972" s="271" t="n"/>
      <c r="I972" s="275">
        <f>IF(COUNTA(A972:F972)=0,"",IF(OR(E972&lt;0,F972&lt;0,F972&gt;10),"ERRO: valores inválidos",IF(COUNTIFS($A$5:$A$1200,A972,$B$5:$B$1200,B972,$C$5:$C$1200,C972,$D$5:$D$1200,D972)&gt;1,"ERRO: chave duplicada","OK")))</f>
        <v/>
      </c>
    </row>
    <row r="973" ht="15" customHeight="1" s="131">
      <c r="A973" s="320" t="n"/>
      <c r="B973" s="323" t="n"/>
      <c r="C973" s="320" t="n"/>
      <c r="D973" s="326" t="n"/>
      <c r="E973" s="324" t="n"/>
      <c r="F973" s="320" t="n"/>
      <c r="G973" s="327" t="n"/>
      <c r="H973" s="271" t="n"/>
      <c r="I973" s="275">
        <f>IF(COUNTA(A973:F973)=0,"",IF(OR(E973&lt;0,F973&lt;0,F973&gt;10),"ERRO: valores inválidos",IF(COUNTIFS($A$5:$A$1200,A973,$B$5:$B$1200,B973,$C$5:$C$1200,C973,$D$5:$D$1200,D973)&gt;1,"ERRO: chave duplicada","OK")))</f>
        <v/>
      </c>
    </row>
    <row r="974" ht="15" customHeight="1" s="131">
      <c r="A974" s="320" t="n"/>
      <c r="B974" s="323" t="n"/>
      <c r="C974" s="320" t="n"/>
      <c r="D974" s="326" t="n"/>
      <c r="E974" s="324" t="n"/>
      <c r="F974" s="320" t="n"/>
      <c r="G974" s="327" t="n"/>
      <c r="H974" s="271" t="n"/>
      <c r="I974" s="275">
        <f>IF(COUNTA(A974:F974)=0,"",IF(OR(E974&lt;0,F974&lt;0,F974&gt;10),"ERRO: valores inválidos",IF(COUNTIFS($A$5:$A$1200,A974,$B$5:$B$1200,B974,$C$5:$C$1200,C974,$D$5:$D$1200,D974)&gt;1,"ERRO: chave duplicada","OK")))</f>
        <v/>
      </c>
    </row>
    <row r="975" ht="15" customHeight="1" s="131">
      <c r="A975" s="320" t="n"/>
      <c r="B975" s="323" t="n"/>
      <c r="C975" s="320" t="n"/>
      <c r="D975" s="326" t="n"/>
      <c r="E975" s="324" t="n"/>
      <c r="F975" s="320" t="n"/>
      <c r="G975" s="327" t="n"/>
      <c r="H975" s="271" t="n"/>
      <c r="I975" s="275">
        <f>IF(COUNTA(A975:F975)=0,"",IF(OR(E975&lt;0,F975&lt;0,F975&gt;10),"ERRO: valores inválidos",IF(COUNTIFS($A$5:$A$1200,A975,$B$5:$B$1200,B975,$C$5:$C$1200,C975,$D$5:$D$1200,D975)&gt;1,"ERRO: chave duplicada","OK")))</f>
        <v/>
      </c>
    </row>
    <row r="976" ht="15" customHeight="1" s="131">
      <c r="A976" s="320" t="n"/>
      <c r="B976" s="323" t="n"/>
      <c r="C976" s="320" t="n"/>
      <c r="D976" s="326" t="n"/>
      <c r="E976" s="324" t="n"/>
      <c r="F976" s="320" t="n"/>
      <c r="G976" s="327" t="n"/>
      <c r="H976" s="271" t="n"/>
      <c r="I976" s="275">
        <f>IF(COUNTA(A976:F976)=0,"",IF(OR(E976&lt;0,F976&lt;0,F976&gt;10),"ERRO: valores inválidos",IF(COUNTIFS($A$5:$A$1200,A976,$B$5:$B$1200,B976,$C$5:$C$1200,C976,$D$5:$D$1200,D976)&gt;1,"ERRO: chave duplicada","OK")))</f>
        <v/>
      </c>
    </row>
    <row r="977" ht="15" customHeight="1" s="131">
      <c r="A977" s="320" t="n"/>
      <c r="B977" s="323" t="n"/>
      <c r="C977" s="320" t="n"/>
      <c r="D977" s="326" t="n"/>
      <c r="E977" s="324" t="n"/>
      <c r="F977" s="320" t="n"/>
      <c r="G977" s="327" t="n"/>
      <c r="H977" s="271" t="n"/>
      <c r="I977" s="275">
        <f>IF(COUNTA(A977:F977)=0,"",IF(OR(E977&lt;0,F977&lt;0,F977&gt;10),"ERRO: valores inválidos",IF(COUNTIFS($A$5:$A$1200,A977,$B$5:$B$1200,B977,$C$5:$C$1200,C977,$D$5:$D$1200,D977)&gt;1,"ERRO: chave duplicada","OK")))</f>
        <v/>
      </c>
    </row>
    <row r="978" ht="15" customHeight="1" s="131">
      <c r="A978" s="320" t="n"/>
      <c r="B978" s="323" t="n"/>
      <c r="C978" s="320" t="n"/>
      <c r="D978" s="326" t="n"/>
      <c r="E978" s="324" t="n"/>
      <c r="F978" s="320" t="n"/>
      <c r="G978" s="327" t="n"/>
      <c r="H978" s="271" t="n"/>
      <c r="I978" s="275">
        <f>IF(COUNTA(A978:F978)=0,"",IF(OR(E978&lt;0,F978&lt;0,F978&gt;10),"ERRO: valores inválidos",IF(COUNTIFS($A$5:$A$1200,A978,$B$5:$B$1200,B978,$C$5:$C$1200,C978,$D$5:$D$1200,D978)&gt;1,"ERRO: chave duplicada","OK")))</f>
        <v/>
      </c>
    </row>
    <row r="979" ht="15" customHeight="1" s="131">
      <c r="A979" s="320" t="n"/>
      <c r="B979" s="323" t="n"/>
      <c r="C979" s="320" t="n"/>
      <c r="D979" s="326" t="n"/>
      <c r="E979" s="324" t="n"/>
      <c r="F979" s="320" t="n"/>
      <c r="G979" s="327" t="n"/>
      <c r="H979" s="271" t="n"/>
      <c r="I979" s="275">
        <f>IF(COUNTA(A979:F979)=0,"",IF(OR(E979&lt;0,F979&lt;0,F979&gt;10),"ERRO: valores inválidos",IF(COUNTIFS($A$5:$A$1200,A979,$B$5:$B$1200,B979,$C$5:$C$1200,C979,$D$5:$D$1200,D979)&gt;1,"ERRO: chave duplicada","OK")))</f>
        <v/>
      </c>
    </row>
    <row r="980" ht="15" customHeight="1" s="131">
      <c r="A980" s="320" t="n"/>
      <c r="B980" s="323" t="n"/>
      <c r="C980" s="320" t="n"/>
      <c r="D980" s="326" t="n"/>
      <c r="E980" s="324" t="n"/>
      <c r="F980" s="320" t="n"/>
      <c r="G980" s="327" t="n"/>
      <c r="H980" s="271" t="n"/>
      <c r="I980" s="275">
        <f>IF(COUNTA(A980:F980)=0,"",IF(OR(E980&lt;0,F980&lt;0,F980&gt;10),"ERRO: valores inválidos",IF(COUNTIFS($A$5:$A$1200,A980,$B$5:$B$1200,B980,$C$5:$C$1200,C980,$D$5:$D$1200,D980)&gt;1,"ERRO: chave duplicada","OK")))</f>
        <v/>
      </c>
    </row>
    <row r="981" ht="15" customHeight="1" s="131">
      <c r="A981" s="320" t="n"/>
      <c r="B981" s="323" t="n"/>
      <c r="C981" s="320" t="n"/>
      <c r="D981" s="326" t="n"/>
      <c r="E981" s="324" t="n"/>
      <c r="F981" s="320" t="n"/>
      <c r="G981" s="327" t="n"/>
      <c r="H981" s="271" t="n"/>
      <c r="I981" s="275">
        <f>IF(COUNTA(A981:F981)=0,"",IF(OR(E981&lt;0,F981&lt;0,F981&gt;10),"ERRO: valores inválidos",IF(COUNTIFS($A$5:$A$1200,A981,$B$5:$B$1200,B981,$C$5:$C$1200,C981,$D$5:$D$1200,D981)&gt;1,"ERRO: chave duplicada","OK")))</f>
        <v/>
      </c>
    </row>
    <row r="982" ht="15" customHeight="1" s="131">
      <c r="A982" s="320" t="n"/>
      <c r="B982" s="323" t="n"/>
      <c r="C982" s="320" t="n"/>
      <c r="D982" s="326" t="n"/>
      <c r="E982" s="324" t="n"/>
      <c r="F982" s="320" t="n"/>
      <c r="G982" s="327" t="n"/>
      <c r="H982" s="271" t="n"/>
      <c r="I982" s="275">
        <f>IF(COUNTA(A982:F982)=0,"",IF(OR(E982&lt;0,F982&lt;0,F982&gt;10),"ERRO: valores inválidos",IF(COUNTIFS($A$5:$A$1200,A982,$B$5:$B$1200,B982,$C$5:$C$1200,C982,$D$5:$D$1200,D982)&gt;1,"ERRO: chave duplicada","OK")))</f>
        <v/>
      </c>
    </row>
    <row r="983" ht="15" customHeight="1" s="131">
      <c r="A983" s="320" t="n"/>
      <c r="B983" s="323" t="n"/>
      <c r="C983" s="320" t="n"/>
      <c r="D983" s="326" t="n"/>
      <c r="E983" s="324" t="n"/>
      <c r="F983" s="320" t="n"/>
      <c r="G983" s="327" t="n"/>
      <c r="H983" s="271" t="n"/>
      <c r="I983" s="275">
        <f>IF(COUNTA(A983:F983)=0,"",IF(OR(E983&lt;0,F983&lt;0,F983&gt;10),"ERRO: valores inválidos",IF(COUNTIFS($A$5:$A$1200,A983,$B$5:$B$1200,B983,$C$5:$C$1200,C983,$D$5:$D$1200,D983)&gt;1,"ERRO: chave duplicada","OK")))</f>
        <v/>
      </c>
    </row>
    <row r="984" ht="15" customHeight="1" s="131">
      <c r="A984" s="320" t="n"/>
      <c r="B984" s="323" t="n"/>
      <c r="C984" s="320" t="n"/>
      <c r="D984" s="326" t="n"/>
      <c r="E984" s="324" t="n"/>
      <c r="F984" s="320" t="n"/>
      <c r="G984" s="327" t="n"/>
      <c r="H984" s="271" t="n"/>
      <c r="I984" s="275">
        <f>IF(COUNTA(A984:F984)=0,"",IF(OR(E984&lt;0,F984&lt;0,F984&gt;10),"ERRO: valores inválidos",IF(COUNTIFS($A$5:$A$1200,A984,$B$5:$B$1200,B984,$C$5:$C$1200,C984,$D$5:$D$1200,D984)&gt;1,"ERRO: chave duplicada","OK")))</f>
        <v/>
      </c>
    </row>
    <row r="985" ht="15" customHeight="1" s="131">
      <c r="A985" s="320" t="n"/>
      <c r="B985" s="323" t="n"/>
      <c r="C985" s="320" t="n"/>
      <c r="D985" s="326" t="n"/>
      <c r="E985" s="324" t="n"/>
      <c r="F985" s="320" t="n"/>
      <c r="G985" s="327" t="n"/>
      <c r="H985" s="271" t="n"/>
      <c r="I985" s="275">
        <f>IF(COUNTA(A985:F985)=0,"",IF(OR(E985&lt;0,F985&lt;0,F985&gt;10),"ERRO: valores inválidos",IF(COUNTIFS($A$5:$A$1200,A985,$B$5:$B$1200,B985,$C$5:$C$1200,C985,$D$5:$D$1200,D985)&gt;1,"ERRO: chave duplicada","OK")))</f>
        <v/>
      </c>
    </row>
    <row r="986" ht="15" customHeight="1" s="131">
      <c r="A986" s="320" t="n"/>
      <c r="B986" s="323" t="n"/>
      <c r="C986" s="320" t="n"/>
      <c r="D986" s="326" t="n"/>
      <c r="E986" s="324" t="n"/>
      <c r="F986" s="320" t="n"/>
      <c r="G986" s="327" t="n"/>
      <c r="H986" s="271" t="n"/>
      <c r="I986" s="275">
        <f>IF(COUNTA(A986:F986)=0,"",IF(OR(E986&lt;0,F986&lt;0,F986&gt;10),"ERRO: valores inválidos",IF(COUNTIFS($A$5:$A$1200,A986,$B$5:$B$1200,B986,$C$5:$C$1200,C986,$D$5:$D$1200,D986)&gt;1,"ERRO: chave duplicada","OK")))</f>
        <v/>
      </c>
    </row>
    <row r="987" ht="15" customHeight="1" s="131">
      <c r="A987" s="320" t="n"/>
      <c r="B987" s="323" t="n"/>
      <c r="C987" s="320" t="n"/>
      <c r="D987" s="326" t="n"/>
      <c r="E987" s="324" t="n"/>
      <c r="F987" s="320" t="n"/>
      <c r="G987" s="327" t="n"/>
      <c r="H987" s="271" t="n"/>
      <c r="I987" s="275">
        <f>IF(COUNTA(A987:F987)=0,"",IF(OR(E987&lt;0,F987&lt;0,F987&gt;10),"ERRO: valores inválidos",IF(COUNTIFS($A$5:$A$1200,A987,$B$5:$B$1200,B987,$C$5:$C$1200,C987,$D$5:$D$1200,D987)&gt;1,"ERRO: chave duplicada","OK")))</f>
        <v/>
      </c>
    </row>
    <row r="988" ht="15" customHeight="1" s="131">
      <c r="A988" s="320" t="n"/>
      <c r="B988" s="323" t="n"/>
      <c r="C988" s="320" t="n"/>
      <c r="D988" s="326" t="n"/>
      <c r="E988" s="324" t="n"/>
      <c r="F988" s="320" t="n"/>
      <c r="G988" s="327" t="n"/>
      <c r="H988" s="271" t="n"/>
      <c r="I988" s="275">
        <f>IF(COUNTA(A988:F988)=0,"",IF(OR(E988&lt;0,F988&lt;0,F988&gt;10),"ERRO: valores inválidos",IF(COUNTIFS($A$5:$A$1200,A988,$B$5:$B$1200,B988,$C$5:$C$1200,C988,$D$5:$D$1200,D988)&gt;1,"ERRO: chave duplicada","OK")))</f>
        <v/>
      </c>
    </row>
    <row r="989" ht="15" customHeight="1" s="131">
      <c r="A989" s="320" t="n"/>
      <c r="B989" s="323" t="n"/>
      <c r="C989" s="320" t="n"/>
      <c r="D989" s="326" t="n"/>
      <c r="E989" s="324" t="n"/>
      <c r="F989" s="320" t="n"/>
      <c r="G989" s="327" t="n"/>
      <c r="H989" s="271" t="n"/>
      <c r="I989" s="275">
        <f>IF(COUNTA(A989:F989)=0,"",IF(OR(E989&lt;0,F989&lt;0,F989&gt;10),"ERRO: valores inválidos",IF(COUNTIFS($A$5:$A$1200,A989,$B$5:$B$1200,B989,$C$5:$C$1200,C989,$D$5:$D$1200,D989)&gt;1,"ERRO: chave duplicada","OK")))</f>
        <v/>
      </c>
    </row>
    <row r="990" ht="15" customHeight="1" s="131">
      <c r="A990" s="320" t="n"/>
      <c r="B990" s="323" t="n"/>
      <c r="C990" s="320" t="n"/>
      <c r="D990" s="326" t="n"/>
      <c r="E990" s="324" t="n"/>
      <c r="F990" s="320" t="n"/>
      <c r="G990" s="327" t="n"/>
      <c r="H990" s="271" t="n"/>
      <c r="I990" s="275">
        <f>IF(COUNTA(A990:F990)=0,"",IF(OR(E990&lt;0,F990&lt;0,F990&gt;10),"ERRO: valores inválidos",IF(COUNTIFS($A$5:$A$1200,A990,$B$5:$B$1200,B990,$C$5:$C$1200,C990,$D$5:$D$1200,D990)&gt;1,"ERRO: chave duplicada","OK")))</f>
        <v/>
      </c>
    </row>
    <row r="991" ht="15" customHeight="1" s="131">
      <c r="A991" s="320" t="n"/>
      <c r="B991" s="323" t="n"/>
      <c r="C991" s="320" t="n"/>
      <c r="D991" s="326" t="n"/>
      <c r="E991" s="324" t="n"/>
      <c r="F991" s="320" t="n"/>
      <c r="G991" s="327" t="n"/>
      <c r="H991" s="271" t="n"/>
      <c r="I991" s="275">
        <f>IF(COUNTA(A991:F991)=0,"",IF(OR(E991&lt;0,F991&lt;0,F991&gt;10),"ERRO: valores inválidos",IF(COUNTIFS($A$5:$A$1200,A991,$B$5:$B$1200,B991,$C$5:$C$1200,C991,$D$5:$D$1200,D991)&gt;1,"ERRO: chave duplicada","OK")))</f>
        <v/>
      </c>
    </row>
    <row r="992" ht="15" customHeight="1" s="131">
      <c r="A992" s="320" t="n"/>
      <c r="B992" s="323" t="n"/>
      <c r="C992" s="320" t="n"/>
      <c r="D992" s="326" t="n"/>
      <c r="E992" s="324" t="n"/>
      <c r="F992" s="320" t="n"/>
      <c r="G992" s="327" t="n"/>
      <c r="H992" s="271" t="n"/>
      <c r="I992" s="275">
        <f>IF(COUNTA(A992:F992)=0,"",IF(OR(E992&lt;0,F992&lt;0,F992&gt;10),"ERRO: valores inválidos",IF(COUNTIFS($A$5:$A$1200,A992,$B$5:$B$1200,B992,$C$5:$C$1200,C992,$D$5:$D$1200,D992)&gt;1,"ERRO: chave duplicada","OK")))</f>
        <v/>
      </c>
    </row>
    <row r="993" ht="15" customHeight="1" s="131">
      <c r="A993" s="320" t="n"/>
      <c r="B993" s="323" t="n"/>
      <c r="C993" s="320" t="n"/>
      <c r="D993" s="326" t="n"/>
      <c r="E993" s="324" t="n"/>
      <c r="F993" s="320" t="n"/>
      <c r="G993" s="327" t="n"/>
      <c r="H993" s="271" t="n"/>
      <c r="I993" s="275">
        <f>IF(COUNTA(A993:F993)=0,"",IF(OR(E993&lt;0,F993&lt;0,F993&gt;10),"ERRO: valores inválidos",IF(COUNTIFS($A$5:$A$1200,A993,$B$5:$B$1200,B993,$C$5:$C$1200,C993,$D$5:$D$1200,D993)&gt;1,"ERRO: chave duplicada","OK")))</f>
        <v/>
      </c>
    </row>
    <row r="994" ht="15" customHeight="1" s="131">
      <c r="A994" s="320" t="n"/>
      <c r="B994" s="323" t="n"/>
      <c r="C994" s="320" t="n"/>
      <c r="D994" s="326" t="n"/>
      <c r="E994" s="324" t="n"/>
      <c r="F994" s="320" t="n"/>
      <c r="G994" s="327" t="n"/>
      <c r="H994" s="271" t="n"/>
      <c r="I994" s="275">
        <f>IF(COUNTA(A994:F994)=0,"",IF(OR(E994&lt;0,F994&lt;0,F994&gt;10),"ERRO: valores inválidos",IF(COUNTIFS($A$5:$A$1200,A994,$B$5:$B$1200,B994,$C$5:$C$1200,C994,$D$5:$D$1200,D994)&gt;1,"ERRO: chave duplicada","OK")))</f>
        <v/>
      </c>
    </row>
    <row r="995" ht="15" customHeight="1" s="131">
      <c r="A995" s="320" t="n"/>
      <c r="B995" s="323" t="n"/>
      <c r="C995" s="320" t="n"/>
      <c r="D995" s="326" t="n"/>
      <c r="E995" s="324" t="n"/>
      <c r="F995" s="320" t="n"/>
      <c r="G995" s="327" t="n"/>
      <c r="H995" s="271" t="n"/>
      <c r="I995" s="275">
        <f>IF(COUNTA(A995:F995)=0,"",IF(OR(E995&lt;0,F995&lt;0,F995&gt;10),"ERRO: valores inválidos",IF(COUNTIFS($A$5:$A$1200,A995,$B$5:$B$1200,B995,$C$5:$C$1200,C995,$D$5:$D$1200,D995)&gt;1,"ERRO: chave duplicada","OK")))</f>
        <v/>
      </c>
    </row>
    <row r="996" ht="15" customHeight="1" s="131">
      <c r="A996" s="320" t="n"/>
      <c r="B996" s="323" t="n"/>
      <c r="C996" s="320" t="n"/>
      <c r="D996" s="326" t="n"/>
      <c r="E996" s="324" t="n"/>
      <c r="F996" s="320" t="n"/>
      <c r="G996" s="327" t="n"/>
      <c r="H996" s="271" t="n"/>
      <c r="I996" s="275">
        <f>IF(COUNTA(A996:F996)=0,"",IF(OR(E996&lt;0,F996&lt;0,F996&gt;10),"ERRO: valores inválidos",IF(COUNTIFS($A$5:$A$1200,A996,$B$5:$B$1200,B996,$C$5:$C$1200,C996,$D$5:$D$1200,D996)&gt;1,"ERRO: chave duplicada","OK")))</f>
        <v/>
      </c>
    </row>
    <row r="997" ht="15" customHeight="1" s="131">
      <c r="A997" s="320" t="n"/>
      <c r="B997" s="323" t="n"/>
      <c r="C997" s="320" t="n"/>
      <c r="D997" s="326" t="n"/>
      <c r="E997" s="324" t="n"/>
      <c r="F997" s="320" t="n"/>
      <c r="G997" s="327" t="n"/>
      <c r="H997" s="271" t="n"/>
      <c r="I997" s="275">
        <f>IF(COUNTA(A997:F997)=0,"",IF(OR(E997&lt;0,F997&lt;0,F997&gt;10),"ERRO: valores inválidos",IF(COUNTIFS($A$5:$A$1200,A997,$B$5:$B$1200,B997,$C$5:$C$1200,C997,$D$5:$D$1200,D997)&gt;1,"ERRO: chave duplicada","OK")))</f>
        <v/>
      </c>
    </row>
    <row r="998" ht="15" customHeight="1" s="131">
      <c r="A998" s="320" t="n"/>
      <c r="B998" s="323" t="n"/>
      <c r="C998" s="320" t="n"/>
      <c r="D998" s="326" t="n"/>
      <c r="E998" s="324" t="n"/>
      <c r="F998" s="320" t="n"/>
      <c r="G998" s="327" t="n"/>
      <c r="H998" s="271" t="n"/>
      <c r="I998" s="275">
        <f>IF(COUNTA(A998:F998)=0,"",IF(OR(E998&lt;0,F998&lt;0,F998&gt;10),"ERRO: valores inválidos",IF(COUNTIFS($A$5:$A$1200,A998,$B$5:$B$1200,B998,$C$5:$C$1200,C998,$D$5:$D$1200,D998)&gt;1,"ERRO: chave duplicada","OK")))</f>
        <v/>
      </c>
    </row>
    <row r="999" ht="15" customHeight="1" s="131">
      <c r="A999" s="320" t="n"/>
      <c r="B999" s="323" t="n"/>
      <c r="C999" s="320" t="n"/>
      <c r="D999" s="326" t="n"/>
      <c r="E999" s="324" t="n"/>
      <c r="F999" s="320" t="n"/>
      <c r="G999" s="327" t="n"/>
      <c r="H999" s="271" t="n"/>
      <c r="I999" s="275">
        <f>IF(COUNTA(A999:F999)=0,"",IF(OR(E999&lt;0,F999&lt;0,F999&gt;10),"ERRO: valores inválidos",IF(COUNTIFS($A$5:$A$1200,A999,$B$5:$B$1200,B999,$C$5:$C$1200,C999,$D$5:$D$1200,D999)&gt;1,"ERRO: chave duplicada","OK")))</f>
        <v/>
      </c>
    </row>
    <row r="1000" ht="15" customHeight="1" s="131">
      <c r="A1000" s="320" t="n"/>
      <c r="B1000" s="323" t="n"/>
      <c r="C1000" s="320" t="n"/>
      <c r="D1000" s="326" t="n"/>
      <c r="E1000" s="324" t="n"/>
      <c r="F1000" s="320" t="n"/>
      <c r="G1000" s="327" t="n"/>
      <c r="H1000" s="271" t="n"/>
      <c r="I1000" s="275">
        <f>IF(COUNTA(A1000:F1000)=0,"",IF(OR(E1000&lt;0,F1000&lt;0,F1000&gt;10),"ERRO: valores inválidos",IF(COUNTIFS($A$5:$A$1200,A1000,$B$5:$B$1200,B1000,$C$5:$C$1200,C1000,$D$5:$D$1200,D1000)&gt;1,"ERRO: chave duplicada","OK")))</f>
        <v/>
      </c>
    </row>
    <row r="1001" ht="15" customHeight="1" s="131">
      <c r="A1001" s="320" t="n"/>
      <c r="B1001" s="323" t="n"/>
      <c r="C1001" s="320" t="n"/>
      <c r="D1001" s="326" t="n"/>
      <c r="E1001" s="324" t="n"/>
      <c r="F1001" s="320" t="n"/>
      <c r="G1001" s="327" t="n"/>
      <c r="H1001" s="271" t="n"/>
      <c r="I1001" s="275">
        <f>IF(COUNTA(A1001:F1001)=0,"",IF(OR(E1001&lt;0,F1001&lt;0,F1001&gt;10),"ERRO: valores inválidos",IF(COUNTIFS($A$5:$A$1200,A1001,$B$5:$B$1200,B1001,$C$5:$C$1200,C1001,$D$5:$D$1200,D1001)&gt;1,"ERRO: chave duplicada","OK")))</f>
        <v/>
      </c>
    </row>
    <row r="1002" ht="15" customHeight="1" s="131">
      <c r="A1002" s="320" t="n"/>
      <c r="B1002" s="323" t="n"/>
      <c r="C1002" s="320" t="n"/>
      <c r="D1002" s="326" t="n"/>
      <c r="E1002" s="324" t="n"/>
      <c r="F1002" s="320" t="n"/>
      <c r="G1002" s="327" t="n"/>
      <c r="H1002" s="271" t="n"/>
      <c r="I1002" s="275">
        <f>IF(COUNTA(A1002:F1002)=0,"",IF(OR(E1002&lt;0,F1002&lt;0,F1002&gt;10),"ERRO: valores inválidos",IF(COUNTIFS($A$5:$A$1200,A1002,$B$5:$B$1200,B1002,$C$5:$C$1200,C1002,$D$5:$D$1200,D1002)&gt;1,"ERRO: chave duplicada","OK")))</f>
        <v/>
      </c>
    </row>
    <row r="1003" ht="15" customHeight="1" s="131">
      <c r="A1003" s="320" t="n"/>
      <c r="B1003" s="323" t="n"/>
      <c r="C1003" s="320" t="n"/>
      <c r="D1003" s="326" t="n"/>
      <c r="E1003" s="324" t="n"/>
      <c r="F1003" s="320" t="n"/>
      <c r="G1003" s="327" t="n"/>
      <c r="H1003" s="271" t="n"/>
      <c r="I1003" s="275">
        <f>IF(COUNTA(A1003:F1003)=0,"",IF(OR(E1003&lt;0,F1003&lt;0,F1003&gt;10),"ERRO: valores inválidos",IF(COUNTIFS($A$5:$A$1200,A1003,$B$5:$B$1200,B1003,$C$5:$C$1200,C1003,$D$5:$D$1200,D1003)&gt;1,"ERRO: chave duplicada","OK")))</f>
        <v/>
      </c>
    </row>
    <row r="1004" ht="15" customHeight="1" s="131">
      <c r="A1004" s="320" t="n"/>
      <c r="B1004" s="323" t="n"/>
      <c r="C1004" s="320" t="n"/>
      <c r="D1004" s="326" t="n"/>
      <c r="E1004" s="324" t="n"/>
      <c r="F1004" s="320" t="n"/>
      <c r="G1004" s="327" t="n"/>
      <c r="H1004" s="271" t="n"/>
      <c r="I1004" s="275">
        <f>IF(COUNTA(A1004:F1004)=0,"",IF(OR(E1004&lt;0,F1004&lt;0,F1004&gt;10),"ERRO: valores inválidos",IF(COUNTIFS($A$5:$A$1200,A1004,$B$5:$B$1200,B1004,$C$5:$C$1200,C1004,$D$5:$D$1200,D1004)&gt;1,"ERRO: chave duplicada","OK")))</f>
        <v/>
      </c>
    </row>
    <row r="1005" ht="15" customHeight="1" s="131">
      <c r="A1005" s="320" t="n"/>
      <c r="B1005" s="323" t="n"/>
      <c r="C1005" s="320" t="n"/>
      <c r="D1005" s="326" t="n"/>
      <c r="E1005" s="324" t="n"/>
      <c r="F1005" s="320" t="n"/>
      <c r="G1005" s="327" t="n"/>
      <c r="H1005" s="271" t="n"/>
      <c r="I1005" s="275">
        <f>IF(COUNTA(A1005:F1005)=0,"",IF(OR(E1005&lt;0,F1005&lt;0,F1005&gt;10),"ERRO: valores inválidos",IF(COUNTIFS($A$5:$A$1200,A1005,$B$5:$B$1200,B1005,$C$5:$C$1200,C1005,$D$5:$D$1200,D1005)&gt;1,"ERRO: chave duplicada","OK")))</f>
        <v/>
      </c>
    </row>
    <row r="1006" ht="15" customHeight="1" s="131">
      <c r="A1006" s="320" t="n"/>
      <c r="B1006" s="323" t="n"/>
      <c r="C1006" s="320" t="n"/>
      <c r="D1006" s="326" t="n"/>
      <c r="E1006" s="324" t="n"/>
      <c r="F1006" s="320" t="n"/>
      <c r="G1006" s="327" t="n"/>
      <c r="H1006" s="271" t="n"/>
      <c r="I1006" s="275">
        <f>IF(COUNTA(A1006:F1006)=0,"",IF(OR(E1006&lt;0,F1006&lt;0,F1006&gt;10),"ERRO: valores inválidos",IF(COUNTIFS($A$5:$A$1200,A1006,$B$5:$B$1200,B1006,$C$5:$C$1200,C1006,$D$5:$D$1200,D1006)&gt;1,"ERRO: chave duplicada","OK")))</f>
        <v/>
      </c>
    </row>
    <row r="1007" ht="15" customHeight="1" s="131">
      <c r="A1007" s="320" t="n"/>
      <c r="B1007" s="323" t="n"/>
      <c r="C1007" s="320" t="n"/>
      <c r="D1007" s="326" t="n"/>
      <c r="E1007" s="324" t="n"/>
      <c r="F1007" s="320" t="n"/>
      <c r="G1007" s="327" t="n"/>
      <c r="H1007" s="271" t="n"/>
      <c r="I1007" s="275">
        <f>IF(COUNTA(A1007:F1007)=0,"",IF(OR(E1007&lt;0,F1007&lt;0,F1007&gt;10),"ERRO: valores inválidos",IF(COUNTIFS($A$5:$A$1200,A1007,$B$5:$B$1200,B1007,$C$5:$C$1200,C1007,$D$5:$D$1200,D1007)&gt;1,"ERRO: chave duplicada","OK")))</f>
        <v/>
      </c>
    </row>
    <row r="1008" ht="15" customHeight="1" s="131">
      <c r="A1008" s="320" t="n"/>
      <c r="B1008" s="323" t="n"/>
      <c r="C1008" s="320" t="n"/>
      <c r="D1008" s="326" t="n"/>
      <c r="E1008" s="324" t="n"/>
      <c r="F1008" s="320" t="n"/>
      <c r="G1008" s="327" t="n"/>
      <c r="H1008" s="271" t="n"/>
      <c r="I1008" s="275">
        <f>IF(COUNTA(A1008:F1008)=0,"",IF(OR(E1008&lt;0,F1008&lt;0,F1008&gt;10),"ERRO: valores inválidos",IF(COUNTIFS($A$5:$A$1200,A1008,$B$5:$B$1200,B1008,$C$5:$C$1200,C1008,$D$5:$D$1200,D1008)&gt;1,"ERRO: chave duplicada","OK")))</f>
        <v/>
      </c>
    </row>
    <row r="1009" ht="15" customHeight="1" s="131">
      <c r="A1009" s="320" t="n"/>
      <c r="B1009" s="323" t="n"/>
      <c r="C1009" s="320" t="n"/>
      <c r="D1009" s="326" t="n"/>
      <c r="E1009" s="324" t="n"/>
      <c r="F1009" s="320" t="n"/>
      <c r="G1009" s="327" t="n"/>
      <c r="H1009" s="271" t="n"/>
      <c r="I1009" s="275">
        <f>IF(COUNTA(A1009:F1009)=0,"",IF(OR(E1009&lt;0,F1009&lt;0,F1009&gt;10),"ERRO: valores inválidos",IF(COUNTIFS($A$5:$A$1200,A1009,$B$5:$B$1200,B1009,$C$5:$C$1200,C1009,$D$5:$D$1200,D1009)&gt;1,"ERRO: chave duplicada","OK")))</f>
        <v/>
      </c>
    </row>
    <row r="1010" ht="15" customHeight="1" s="131">
      <c r="A1010" s="320" t="n"/>
      <c r="B1010" s="323" t="n"/>
      <c r="C1010" s="320" t="n"/>
      <c r="D1010" s="326" t="n"/>
      <c r="E1010" s="324" t="n"/>
      <c r="F1010" s="320" t="n"/>
      <c r="G1010" s="327" t="n"/>
      <c r="H1010" s="271" t="n"/>
      <c r="I1010" s="275">
        <f>IF(COUNTA(A1010:F1010)=0,"",IF(OR(E1010&lt;0,F1010&lt;0,F1010&gt;10),"ERRO: valores inválidos",IF(COUNTIFS($A$5:$A$1200,A1010,$B$5:$B$1200,B1010,$C$5:$C$1200,C1010,$D$5:$D$1200,D1010)&gt;1,"ERRO: chave duplicada","OK")))</f>
        <v/>
      </c>
    </row>
    <row r="1011" ht="15" customHeight="1" s="131">
      <c r="A1011" s="320" t="n"/>
      <c r="B1011" s="323" t="n"/>
      <c r="C1011" s="320" t="n"/>
      <c r="D1011" s="326" t="n"/>
      <c r="E1011" s="324" t="n"/>
      <c r="F1011" s="320" t="n"/>
      <c r="G1011" s="327" t="n"/>
      <c r="H1011" s="271" t="n"/>
      <c r="I1011" s="275">
        <f>IF(COUNTA(A1011:F1011)=0,"",IF(OR(E1011&lt;0,F1011&lt;0,F1011&gt;10),"ERRO: valores inválidos",IF(COUNTIFS($A$5:$A$1200,A1011,$B$5:$B$1200,B1011,$C$5:$C$1200,C1011,$D$5:$D$1200,D1011)&gt;1,"ERRO: chave duplicada","OK")))</f>
        <v/>
      </c>
    </row>
    <row r="1012" ht="15" customHeight="1" s="131">
      <c r="A1012" s="320" t="n"/>
      <c r="B1012" s="323" t="n"/>
      <c r="C1012" s="320" t="n"/>
      <c r="D1012" s="326" t="n"/>
      <c r="E1012" s="324" t="n"/>
      <c r="F1012" s="320" t="n"/>
      <c r="G1012" s="327" t="n"/>
      <c r="H1012" s="271" t="n"/>
      <c r="I1012" s="275">
        <f>IF(COUNTA(A1012:F1012)=0,"",IF(OR(E1012&lt;0,F1012&lt;0,F1012&gt;10),"ERRO: valores inválidos",IF(COUNTIFS($A$5:$A$1200,A1012,$B$5:$B$1200,B1012,$C$5:$C$1200,C1012,$D$5:$D$1200,D1012)&gt;1,"ERRO: chave duplicada","OK")))</f>
        <v/>
      </c>
    </row>
    <row r="1013" ht="15" customHeight="1" s="131">
      <c r="A1013" s="320" t="n"/>
      <c r="B1013" s="323" t="n"/>
      <c r="C1013" s="320" t="n"/>
      <c r="D1013" s="326" t="n"/>
      <c r="E1013" s="324" t="n"/>
      <c r="F1013" s="320" t="n"/>
      <c r="G1013" s="327" t="n"/>
      <c r="H1013" s="271" t="n"/>
      <c r="I1013" s="275">
        <f>IF(COUNTA(A1013:F1013)=0,"",IF(OR(E1013&lt;0,F1013&lt;0,F1013&gt;10),"ERRO: valores inválidos",IF(COUNTIFS($A$5:$A$1200,A1013,$B$5:$B$1200,B1013,$C$5:$C$1200,C1013,$D$5:$D$1200,D1013)&gt;1,"ERRO: chave duplicada","OK")))</f>
        <v/>
      </c>
    </row>
    <row r="1014" ht="15" customHeight="1" s="131">
      <c r="A1014" s="320" t="n"/>
      <c r="B1014" s="323" t="n"/>
      <c r="C1014" s="320" t="n"/>
      <c r="D1014" s="326" t="n"/>
      <c r="E1014" s="324" t="n"/>
      <c r="F1014" s="320" t="n"/>
      <c r="G1014" s="327" t="n"/>
      <c r="H1014" s="271" t="n"/>
      <c r="I1014" s="275">
        <f>IF(COUNTA(A1014:F1014)=0,"",IF(OR(E1014&lt;0,F1014&lt;0,F1014&gt;10),"ERRO: valores inválidos",IF(COUNTIFS($A$5:$A$1200,A1014,$B$5:$B$1200,B1014,$C$5:$C$1200,C1014,$D$5:$D$1200,D1014)&gt;1,"ERRO: chave duplicada","OK")))</f>
        <v/>
      </c>
    </row>
    <row r="1015" ht="15" customHeight="1" s="131">
      <c r="A1015" s="320" t="n"/>
      <c r="B1015" s="323" t="n"/>
      <c r="C1015" s="320" t="n"/>
      <c r="D1015" s="326" t="n"/>
      <c r="E1015" s="324" t="n"/>
      <c r="F1015" s="320" t="n"/>
      <c r="G1015" s="327" t="n"/>
      <c r="H1015" s="271" t="n"/>
      <c r="I1015" s="275">
        <f>IF(COUNTA(A1015:F1015)=0,"",IF(OR(E1015&lt;0,F1015&lt;0,F1015&gt;10),"ERRO: valores inválidos",IF(COUNTIFS($A$5:$A$1200,A1015,$B$5:$B$1200,B1015,$C$5:$C$1200,C1015,$D$5:$D$1200,D1015)&gt;1,"ERRO: chave duplicada","OK")))</f>
        <v/>
      </c>
    </row>
    <row r="1016" ht="15" customHeight="1" s="131">
      <c r="A1016" s="320" t="n"/>
      <c r="B1016" s="323" t="n"/>
      <c r="C1016" s="320" t="n"/>
      <c r="D1016" s="326" t="n"/>
      <c r="E1016" s="324" t="n"/>
      <c r="F1016" s="320" t="n"/>
      <c r="G1016" s="327" t="n"/>
      <c r="H1016" s="271" t="n"/>
      <c r="I1016" s="275">
        <f>IF(COUNTA(A1016:F1016)=0,"",IF(OR(E1016&lt;0,F1016&lt;0,F1016&gt;10),"ERRO: valores inválidos",IF(COUNTIFS($A$5:$A$1200,A1016,$B$5:$B$1200,B1016,$C$5:$C$1200,C1016,$D$5:$D$1200,D1016)&gt;1,"ERRO: chave duplicada","OK")))</f>
        <v/>
      </c>
    </row>
    <row r="1017" ht="15" customHeight="1" s="131">
      <c r="A1017" s="320" t="n"/>
      <c r="B1017" s="323" t="n"/>
      <c r="C1017" s="320" t="n"/>
      <c r="D1017" s="326" t="n"/>
      <c r="E1017" s="324" t="n"/>
      <c r="F1017" s="320" t="n"/>
      <c r="G1017" s="327" t="n"/>
      <c r="H1017" s="271" t="n"/>
      <c r="I1017" s="275">
        <f>IF(COUNTA(A1017:F1017)=0,"",IF(OR(E1017&lt;0,F1017&lt;0,F1017&gt;10),"ERRO: valores inválidos",IF(COUNTIFS($A$5:$A$1200,A1017,$B$5:$B$1200,B1017,$C$5:$C$1200,C1017,$D$5:$D$1200,D1017)&gt;1,"ERRO: chave duplicada","OK")))</f>
        <v/>
      </c>
    </row>
    <row r="1018" ht="15" customHeight="1" s="131">
      <c r="A1018" s="320" t="n"/>
      <c r="B1018" s="323" t="n"/>
      <c r="C1018" s="320" t="n"/>
      <c r="D1018" s="326" t="n"/>
      <c r="E1018" s="324" t="n"/>
      <c r="F1018" s="320" t="n"/>
      <c r="G1018" s="327" t="n"/>
      <c r="H1018" s="271" t="n"/>
      <c r="I1018" s="275">
        <f>IF(COUNTA(A1018:F1018)=0,"",IF(OR(E1018&lt;0,F1018&lt;0,F1018&gt;10),"ERRO: valores inválidos",IF(COUNTIFS($A$5:$A$1200,A1018,$B$5:$B$1200,B1018,$C$5:$C$1200,C1018,$D$5:$D$1200,D1018)&gt;1,"ERRO: chave duplicada","OK")))</f>
        <v/>
      </c>
    </row>
    <row r="1019" ht="15" customHeight="1" s="131">
      <c r="A1019" s="320" t="n"/>
      <c r="B1019" s="323" t="n"/>
      <c r="C1019" s="320" t="n"/>
      <c r="D1019" s="326" t="n"/>
      <c r="E1019" s="324" t="n"/>
      <c r="F1019" s="320" t="n"/>
      <c r="G1019" s="327" t="n"/>
      <c r="H1019" s="271" t="n"/>
      <c r="I1019" s="275">
        <f>IF(COUNTA(A1019:F1019)=0,"",IF(OR(E1019&lt;0,F1019&lt;0,F1019&gt;10),"ERRO: valores inválidos",IF(COUNTIFS($A$5:$A$1200,A1019,$B$5:$B$1200,B1019,$C$5:$C$1200,C1019,$D$5:$D$1200,D1019)&gt;1,"ERRO: chave duplicada","OK")))</f>
        <v/>
      </c>
    </row>
    <row r="1020" ht="15" customHeight="1" s="131">
      <c r="A1020" s="320" t="n"/>
      <c r="B1020" s="323" t="n"/>
      <c r="C1020" s="320" t="n"/>
      <c r="D1020" s="326" t="n"/>
      <c r="E1020" s="324" t="n"/>
      <c r="F1020" s="320" t="n"/>
      <c r="G1020" s="327" t="n"/>
      <c r="H1020" s="271" t="n"/>
      <c r="I1020" s="275">
        <f>IF(COUNTA(A1020:F1020)=0,"",IF(OR(E1020&lt;0,F1020&lt;0,F1020&gt;10),"ERRO: valores inválidos",IF(COUNTIFS($A$5:$A$1200,A1020,$B$5:$B$1200,B1020,$C$5:$C$1200,C1020,$D$5:$D$1200,D1020)&gt;1,"ERRO: chave duplicada","OK")))</f>
        <v/>
      </c>
    </row>
    <row r="1021" ht="15" customHeight="1" s="131">
      <c r="A1021" s="320" t="n"/>
      <c r="B1021" s="323" t="n"/>
      <c r="C1021" s="320" t="n"/>
      <c r="D1021" s="326" t="n"/>
      <c r="E1021" s="324" t="n"/>
      <c r="F1021" s="320" t="n"/>
      <c r="G1021" s="327" t="n"/>
      <c r="H1021" s="271" t="n"/>
      <c r="I1021" s="275">
        <f>IF(COUNTA(A1021:F1021)=0,"",IF(OR(E1021&lt;0,F1021&lt;0,F1021&gt;10),"ERRO: valores inválidos",IF(COUNTIFS($A$5:$A$1200,A1021,$B$5:$B$1200,B1021,$C$5:$C$1200,C1021,$D$5:$D$1200,D1021)&gt;1,"ERRO: chave duplicada","OK")))</f>
        <v/>
      </c>
    </row>
    <row r="1022" ht="15" customHeight="1" s="131">
      <c r="A1022" s="320" t="n"/>
      <c r="B1022" s="323" t="n"/>
      <c r="C1022" s="320" t="n"/>
      <c r="D1022" s="326" t="n"/>
      <c r="E1022" s="324" t="n"/>
      <c r="F1022" s="320" t="n"/>
      <c r="G1022" s="327" t="n"/>
      <c r="H1022" s="271" t="n"/>
      <c r="I1022" s="275">
        <f>IF(COUNTA(A1022:F1022)=0,"",IF(OR(E1022&lt;0,F1022&lt;0,F1022&gt;10),"ERRO: valores inválidos",IF(COUNTIFS($A$5:$A$1200,A1022,$B$5:$B$1200,B1022,$C$5:$C$1200,C1022,$D$5:$D$1200,D1022)&gt;1,"ERRO: chave duplicada","OK")))</f>
        <v/>
      </c>
    </row>
    <row r="1023" ht="15" customHeight="1" s="131">
      <c r="A1023" s="320" t="n"/>
      <c r="B1023" s="323" t="n"/>
      <c r="C1023" s="320" t="n"/>
      <c r="D1023" s="326" t="n"/>
      <c r="E1023" s="324" t="n"/>
      <c r="F1023" s="320" t="n"/>
      <c r="G1023" s="327" t="n"/>
      <c r="H1023" s="271" t="n"/>
      <c r="I1023" s="275">
        <f>IF(COUNTA(A1023:F1023)=0,"",IF(OR(E1023&lt;0,F1023&lt;0,F1023&gt;10),"ERRO: valores inválidos",IF(COUNTIFS($A$5:$A$1200,A1023,$B$5:$B$1200,B1023,$C$5:$C$1200,C1023,$D$5:$D$1200,D1023)&gt;1,"ERRO: chave duplicada","OK")))</f>
        <v/>
      </c>
    </row>
    <row r="1024" ht="15" customHeight="1" s="131">
      <c r="A1024" s="320" t="n"/>
      <c r="B1024" s="323" t="n"/>
      <c r="C1024" s="320" t="n"/>
      <c r="D1024" s="326" t="n"/>
      <c r="E1024" s="324" t="n"/>
      <c r="F1024" s="320" t="n"/>
      <c r="G1024" s="327" t="n"/>
      <c r="H1024" s="271" t="n"/>
      <c r="I1024" s="275">
        <f>IF(COUNTA(A1024:F1024)=0,"",IF(OR(E1024&lt;0,F1024&lt;0,F1024&gt;10),"ERRO: valores inválidos",IF(COUNTIFS($A$5:$A$1200,A1024,$B$5:$B$1200,B1024,$C$5:$C$1200,C1024,$D$5:$D$1200,D1024)&gt;1,"ERRO: chave duplicada","OK")))</f>
        <v/>
      </c>
    </row>
    <row r="1025" ht="15" customHeight="1" s="131">
      <c r="A1025" s="320" t="n"/>
      <c r="B1025" s="323" t="n"/>
      <c r="C1025" s="320" t="n"/>
      <c r="D1025" s="326" t="n"/>
      <c r="E1025" s="324" t="n"/>
      <c r="F1025" s="320" t="n"/>
      <c r="G1025" s="327" t="n"/>
      <c r="H1025" s="271" t="n"/>
      <c r="I1025" s="275">
        <f>IF(COUNTA(A1025:F1025)=0,"",IF(OR(E1025&lt;0,F1025&lt;0,F1025&gt;10),"ERRO: valores inválidos",IF(COUNTIFS($A$5:$A$1200,A1025,$B$5:$B$1200,B1025,$C$5:$C$1200,C1025,$D$5:$D$1200,D1025)&gt;1,"ERRO: chave duplicada","OK")))</f>
        <v/>
      </c>
    </row>
    <row r="1026" ht="15" customHeight="1" s="131">
      <c r="A1026" s="320" t="n"/>
      <c r="B1026" s="323" t="n"/>
      <c r="C1026" s="320" t="n"/>
      <c r="D1026" s="326" t="n"/>
      <c r="E1026" s="324" t="n"/>
      <c r="F1026" s="320" t="n"/>
      <c r="G1026" s="327" t="n"/>
      <c r="H1026" s="271" t="n"/>
      <c r="I1026" s="275">
        <f>IF(COUNTA(A1026:F1026)=0,"",IF(OR(E1026&lt;0,F1026&lt;0,F1026&gt;10),"ERRO: valores inválidos",IF(COUNTIFS($A$5:$A$1200,A1026,$B$5:$B$1200,B1026,$C$5:$C$1200,C1026,$D$5:$D$1200,D1026)&gt;1,"ERRO: chave duplicada","OK")))</f>
        <v/>
      </c>
    </row>
    <row r="1027" ht="15" customHeight="1" s="131">
      <c r="A1027" s="320" t="n"/>
      <c r="B1027" s="323" t="n"/>
      <c r="C1027" s="320" t="n"/>
      <c r="D1027" s="326" t="n"/>
      <c r="E1027" s="324" t="n"/>
      <c r="F1027" s="320" t="n"/>
      <c r="G1027" s="327" t="n"/>
      <c r="H1027" s="271" t="n"/>
      <c r="I1027" s="275">
        <f>IF(COUNTA(A1027:F1027)=0,"",IF(OR(E1027&lt;0,F1027&lt;0,F1027&gt;10),"ERRO: valores inválidos",IF(COUNTIFS($A$5:$A$1200,A1027,$B$5:$B$1200,B1027,$C$5:$C$1200,C1027,$D$5:$D$1200,D1027)&gt;1,"ERRO: chave duplicada","OK")))</f>
        <v/>
      </c>
    </row>
    <row r="1028" ht="15" customHeight="1" s="131">
      <c r="A1028" s="320" t="n"/>
      <c r="B1028" s="323" t="n"/>
      <c r="C1028" s="320" t="n"/>
      <c r="D1028" s="326" t="n"/>
      <c r="E1028" s="324" t="n"/>
      <c r="F1028" s="320" t="n"/>
      <c r="G1028" s="327" t="n"/>
      <c r="H1028" s="271" t="n"/>
      <c r="I1028" s="275">
        <f>IF(COUNTA(A1028:F1028)=0,"",IF(OR(E1028&lt;0,F1028&lt;0,F1028&gt;10),"ERRO: valores inválidos",IF(COUNTIFS($A$5:$A$1200,A1028,$B$5:$B$1200,B1028,$C$5:$C$1200,C1028,$D$5:$D$1200,D1028)&gt;1,"ERRO: chave duplicada","OK")))</f>
        <v/>
      </c>
    </row>
    <row r="1029" ht="15" customHeight="1" s="131">
      <c r="A1029" s="320" t="n"/>
      <c r="B1029" s="323" t="n"/>
      <c r="C1029" s="320" t="n"/>
      <c r="D1029" s="326" t="n"/>
      <c r="E1029" s="324" t="n"/>
      <c r="F1029" s="320" t="n"/>
      <c r="G1029" s="327" t="n"/>
      <c r="H1029" s="271" t="n"/>
      <c r="I1029" s="275">
        <f>IF(COUNTA(A1029:F1029)=0,"",IF(OR(E1029&lt;0,F1029&lt;0,F1029&gt;10),"ERRO: valores inválidos",IF(COUNTIFS($A$5:$A$1200,A1029,$B$5:$B$1200,B1029,$C$5:$C$1200,C1029,$D$5:$D$1200,D1029)&gt;1,"ERRO: chave duplicada","OK")))</f>
        <v/>
      </c>
    </row>
    <row r="1030" ht="15" customHeight="1" s="131">
      <c r="A1030" s="320" t="n"/>
      <c r="B1030" s="323" t="n"/>
      <c r="C1030" s="320" t="n"/>
      <c r="D1030" s="326" t="n"/>
      <c r="E1030" s="324" t="n"/>
      <c r="F1030" s="320" t="n"/>
      <c r="G1030" s="327" t="n"/>
      <c r="H1030" s="271" t="n"/>
      <c r="I1030" s="275">
        <f>IF(COUNTA(A1030:F1030)=0,"",IF(OR(E1030&lt;0,F1030&lt;0,F1030&gt;10),"ERRO: valores inválidos",IF(COUNTIFS($A$5:$A$1200,A1030,$B$5:$B$1200,B1030,$C$5:$C$1200,C1030,$D$5:$D$1200,D1030)&gt;1,"ERRO: chave duplicada","OK")))</f>
        <v/>
      </c>
    </row>
    <row r="1031" ht="15" customHeight="1" s="131">
      <c r="A1031" s="320" t="n"/>
      <c r="B1031" s="323" t="n"/>
      <c r="C1031" s="320" t="n"/>
      <c r="D1031" s="326" t="n"/>
      <c r="E1031" s="324" t="n"/>
      <c r="F1031" s="320" t="n"/>
      <c r="G1031" s="327" t="n"/>
      <c r="H1031" s="271" t="n"/>
      <c r="I1031" s="275">
        <f>IF(COUNTA(A1031:F1031)=0,"",IF(OR(E1031&lt;0,F1031&lt;0,F1031&gt;10),"ERRO: valores inválidos",IF(COUNTIFS($A$5:$A$1200,A1031,$B$5:$B$1200,B1031,$C$5:$C$1200,C1031,$D$5:$D$1200,D1031)&gt;1,"ERRO: chave duplicada","OK")))</f>
        <v/>
      </c>
    </row>
    <row r="1032" ht="15" customHeight="1" s="131">
      <c r="A1032" s="320" t="n"/>
      <c r="B1032" s="323" t="n"/>
      <c r="C1032" s="320" t="n"/>
      <c r="D1032" s="326" t="n"/>
      <c r="E1032" s="324" t="n"/>
      <c r="F1032" s="320" t="n"/>
      <c r="G1032" s="327" t="n"/>
      <c r="H1032" s="271" t="n"/>
      <c r="I1032" s="275">
        <f>IF(COUNTA(A1032:F1032)=0,"",IF(OR(E1032&lt;0,F1032&lt;0,F1032&gt;10),"ERRO: valores inválidos",IF(COUNTIFS($A$5:$A$1200,A1032,$B$5:$B$1200,B1032,$C$5:$C$1200,C1032,$D$5:$D$1200,D1032)&gt;1,"ERRO: chave duplicada","OK")))</f>
        <v/>
      </c>
    </row>
    <row r="1033" ht="15" customHeight="1" s="131">
      <c r="A1033" s="320" t="n"/>
      <c r="B1033" s="323" t="n"/>
      <c r="C1033" s="320" t="n"/>
      <c r="D1033" s="326" t="n"/>
      <c r="E1033" s="324" t="n"/>
      <c r="F1033" s="320" t="n"/>
      <c r="G1033" s="327" t="n"/>
      <c r="H1033" s="271" t="n"/>
      <c r="I1033" s="275">
        <f>IF(COUNTA(A1033:F1033)=0,"",IF(OR(E1033&lt;0,F1033&lt;0,F1033&gt;10),"ERRO: valores inválidos",IF(COUNTIFS($A$5:$A$1200,A1033,$B$5:$B$1200,B1033,$C$5:$C$1200,C1033,$D$5:$D$1200,D1033)&gt;1,"ERRO: chave duplicada","OK")))</f>
        <v/>
      </c>
    </row>
    <row r="1034" ht="15" customHeight="1" s="131">
      <c r="A1034" s="320" t="n"/>
      <c r="B1034" s="323" t="n"/>
      <c r="C1034" s="320" t="n"/>
      <c r="D1034" s="326" t="n"/>
      <c r="E1034" s="324" t="n"/>
      <c r="F1034" s="320" t="n"/>
      <c r="G1034" s="327" t="n"/>
      <c r="H1034" s="271" t="n"/>
      <c r="I1034" s="275">
        <f>IF(COUNTA(A1034:F1034)=0,"",IF(OR(E1034&lt;0,F1034&lt;0,F1034&gt;10),"ERRO: valores inválidos",IF(COUNTIFS($A$5:$A$1200,A1034,$B$5:$B$1200,B1034,$C$5:$C$1200,C1034,$D$5:$D$1200,D1034)&gt;1,"ERRO: chave duplicada","OK")))</f>
        <v/>
      </c>
    </row>
    <row r="1035" ht="15" customHeight="1" s="131">
      <c r="A1035" s="320" t="n"/>
      <c r="B1035" s="323" t="n"/>
      <c r="C1035" s="320" t="n"/>
      <c r="D1035" s="326" t="n"/>
      <c r="E1035" s="324" t="n"/>
      <c r="F1035" s="320" t="n"/>
      <c r="G1035" s="327" t="n"/>
      <c r="H1035" s="271" t="n"/>
      <c r="I1035" s="275">
        <f>IF(COUNTA(A1035:F1035)=0,"",IF(OR(E1035&lt;0,F1035&lt;0,F1035&gt;10),"ERRO: valores inválidos",IF(COUNTIFS($A$5:$A$1200,A1035,$B$5:$B$1200,B1035,$C$5:$C$1200,C1035,$D$5:$D$1200,D1035)&gt;1,"ERRO: chave duplicada","OK")))</f>
        <v/>
      </c>
    </row>
    <row r="1036" ht="15" customHeight="1" s="131">
      <c r="A1036" s="320" t="n"/>
      <c r="B1036" s="323" t="n"/>
      <c r="C1036" s="320" t="n"/>
      <c r="D1036" s="326" t="n"/>
      <c r="E1036" s="324" t="n"/>
      <c r="F1036" s="320" t="n"/>
      <c r="G1036" s="327" t="n"/>
      <c r="H1036" s="271" t="n"/>
      <c r="I1036" s="275">
        <f>IF(COUNTA(A1036:F1036)=0,"",IF(OR(E1036&lt;0,F1036&lt;0,F1036&gt;10),"ERRO: valores inválidos",IF(COUNTIFS($A$5:$A$1200,A1036,$B$5:$B$1200,B1036,$C$5:$C$1200,C1036,$D$5:$D$1200,D1036)&gt;1,"ERRO: chave duplicada","OK")))</f>
        <v/>
      </c>
    </row>
    <row r="1037" ht="15" customHeight="1" s="131">
      <c r="A1037" s="320" t="n"/>
      <c r="B1037" s="323" t="n"/>
      <c r="C1037" s="320" t="n"/>
      <c r="D1037" s="326" t="n"/>
      <c r="E1037" s="324" t="n"/>
      <c r="F1037" s="320" t="n"/>
      <c r="G1037" s="327" t="n"/>
      <c r="H1037" s="271" t="n"/>
      <c r="I1037" s="275">
        <f>IF(COUNTA(A1037:F1037)=0,"",IF(OR(E1037&lt;0,F1037&lt;0,F1037&gt;10),"ERRO: valores inválidos",IF(COUNTIFS($A$5:$A$1200,A1037,$B$5:$B$1200,B1037,$C$5:$C$1200,C1037,$D$5:$D$1200,D1037)&gt;1,"ERRO: chave duplicada","OK")))</f>
        <v/>
      </c>
    </row>
    <row r="1038" ht="15" customHeight="1" s="131">
      <c r="A1038" s="320" t="n"/>
      <c r="B1038" s="323" t="n"/>
      <c r="C1038" s="320" t="n"/>
      <c r="D1038" s="326" t="n"/>
      <c r="E1038" s="324" t="n"/>
      <c r="F1038" s="320" t="n"/>
      <c r="G1038" s="327" t="n"/>
      <c r="H1038" s="271" t="n"/>
      <c r="I1038" s="275">
        <f>IF(COUNTA(A1038:F1038)=0,"",IF(OR(E1038&lt;0,F1038&lt;0,F1038&gt;10),"ERRO: valores inválidos",IF(COUNTIFS($A$5:$A$1200,A1038,$B$5:$B$1200,B1038,$C$5:$C$1200,C1038,$D$5:$D$1200,D1038)&gt;1,"ERRO: chave duplicada","OK")))</f>
        <v/>
      </c>
    </row>
    <row r="1039" ht="15" customHeight="1" s="131">
      <c r="A1039" s="320" t="n"/>
      <c r="B1039" s="323" t="n"/>
      <c r="C1039" s="320" t="n"/>
      <c r="D1039" s="326" t="n"/>
      <c r="E1039" s="324" t="n"/>
      <c r="F1039" s="320" t="n"/>
      <c r="G1039" s="327" t="n"/>
      <c r="H1039" s="271" t="n"/>
      <c r="I1039" s="275">
        <f>IF(COUNTA(A1039:F1039)=0,"",IF(OR(E1039&lt;0,F1039&lt;0,F1039&gt;10),"ERRO: valores inválidos",IF(COUNTIFS($A$5:$A$1200,A1039,$B$5:$B$1200,B1039,$C$5:$C$1200,C1039,$D$5:$D$1200,D1039)&gt;1,"ERRO: chave duplicada","OK")))</f>
        <v/>
      </c>
    </row>
    <row r="1040" ht="15" customHeight="1" s="131">
      <c r="A1040" s="320" t="n"/>
      <c r="B1040" s="323" t="n"/>
      <c r="C1040" s="320" t="n"/>
      <c r="D1040" s="326" t="n"/>
      <c r="E1040" s="324" t="n"/>
      <c r="F1040" s="320" t="n"/>
      <c r="G1040" s="327" t="n"/>
      <c r="H1040" s="271" t="n"/>
      <c r="I1040" s="275">
        <f>IF(COUNTA(A1040:F1040)=0,"",IF(OR(E1040&lt;0,F1040&lt;0,F1040&gt;10),"ERRO: valores inválidos",IF(COUNTIFS($A$5:$A$1200,A1040,$B$5:$B$1200,B1040,$C$5:$C$1200,C1040,$D$5:$D$1200,D1040)&gt;1,"ERRO: chave duplicada","OK")))</f>
        <v/>
      </c>
    </row>
    <row r="1041" ht="15" customHeight="1" s="131">
      <c r="A1041" s="320" t="n"/>
      <c r="B1041" s="323" t="n"/>
      <c r="C1041" s="320" t="n"/>
      <c r="D1041" s="326" t="n"/>
      <c r="E1041" s="324" t="n"/>
      <c r="F1041" s="320" t="n"/>
      <c r="G1041" s="327" t="n"/>
      <c r="H1041" s="271" t="n"/>
      <c r="I1041" s="275">
        <f>IF(COUNTA(A1041:F1041)=0,"",IF(OR(E1041&lt;0,F1041&lt;0,F1041&gt;10),"ERRO: valores inválidos",IF(COUNTIFS($A$5:$A$1200,A1041,$B$5:$B$1200,B1041,$C$5:$C$1200,C1041,$D$5:$D$1200,D1041)&gt;1,"ERRO: chave duplicada","OK")))</f>
        <v/>
      </c>
    </row>
    <row r="1042" ht="15" customHeight="1" s="131">
      <c r="A1042" s="320" t="n"/>
      <c r="B1042" s="323" t="n"/>
      <c r="C1042" s="320" t="n"/>
      <c r="D1042" s="326" t="n"/>
      <c r="E1042" s="324" t="n"/>
      <c r="F1042" s="320" t="n"/>
      <c r="G1042" s="327" t="n"/>
      <c r="H1042" s="271" t="n"/>
      <c r="I1042" s="275">
        <f>IF(COUNTA(A1042:F1042)=0,"",IF(OR(E1042&lt;0,F1042&lt;0,F1042&gt;10),"ERRO: valores inválidos",IF(COUNTIFS($A$5:$A$1200,A1042,$B$5:$B$1200,B1042,$C$5:$C$1200,C1042,$D$5:$D$1200,D1042)&gt;1,"ERRO: chave duplicada","OK")))</f>
        <v/>
      </c>
    </row>
    <row r="1043" ht="15" customHeight="1" s="131">
      <c r="A1043" s="320" t="n"/>
      <c r="B1043" s="323" t="n"/>
      <c r="C1043" s="320" t="n"/>
      <c r="D1043" s="326" t="n"/>
      <c r="E1043" s="324" t="n"/>
      <c r="F1043" s="320" t="n"/>
      <c r="G1043" s="327" t="n"/>
      <c r="H1043" s="271" t="n"/>
      <c r="I1043" s="275">
        <f>IF(COUNTA(A1043:F1043)=0,"",IF(OR(E1043&lt;0,F1043&lt;0,F1043&gt;10),"ERRO: valores inválidos",IF(COUNTIFS($A$5:$A$1200,A1043,$B$5:$B$1200,B1043,$C$5:$C$1200,C1043,$D$5:$D$1200,D1043)&gt;1,"ERRO: chave duplicada","OK")))</f>
        <v/>
      </c>
    </row>
    <row r="1044" ht="15" customHeight="1" s="131">
      <c r="A1044" s="320" t="n"/>
      <c r="B1044" s="323" t="n"/>
      <c r="C1044" s="320" t="n"/>
      <c r="D1044" s="326" t="n"/>
      <c r="E1044" s="324" t="n"/>
      <c r="F1044" s="320" t="n"/>
      <c r="G1044" s="327" t="n"/>
      <c r="H1044" s="271" t="n"/>
      <c r="I1044" s="275">
        <f>IF(COUNTA(A1044:F1044)=0,"",IF(OR(E1044&lt;0,F1044&lt;0,F1044&gt;10),"ERRO: valores inválidos",IF(COUNTIFS($A$5:$A$1200,A1044,$B$5:$B$1200,B1044,$C$5:$C$1200,C1044,$D$5:$D$1200,D1044)&gt;1,"ERRO: chave duplicada","OK")))</f>
        <v/>
      </c>
    </row>
    <row r="1045" ht="15" customHeight="1" s="131">
      <c r="A1045" s="320" t="n"/>
      <c r="B1045" s="323" t="n"/>
      <c r="C1045" s="320" t="n"/>
      <c r="D1045" s="326" t="n"/>
      <c r="E1045" s="324" t="n"/>
      <c r="F1045" s="320" t="n"/>
      <c r="G1045" s="327" t="n"/>
      <c r="H1045" s="271" t="n"/>
      <c r="I1045" s="275">
        <f>IF(COUNTA(A1045:F1045)=0,"",IF(OR(E1045&lt;0,F1045&lt;0,F1045&gt;10),"ERRO: valores inválidos",IF(COUNTIFS($A$5:$A$1200,A1045,$B$5:$B$1200,B1045,$C$5:$C$1200,C1045,$D$5:$D$1200,D1045)&gt;1,"ERRO: chave duplicada","OK")))</f>
        <v/>
      </c>
    </row>
    <row r="1046" ht="15" customHeight="1" s="131">
      <c r="A1046" s="320" t="n"/>
      <c r="B1046" s="323" t="n"/>
      <c r="C1046" s="320" t="n"/>
      <c r="D1046" s="326" t="n"/>
      <c r="E1046" s="324" t="n"/>
      <c r="F1046" s="320" t="n"/>
      <c r="G1046" s="327" t="n"/>
      <c r="H1046" s="271" t="n"/>
      <c r="I1046" s="275">
        <f>IF(COUNTA(A1046:F1046)=0,"",IF(OR(E1046&lt;0,F1046&lt;0,F1046&gt;10),"ERRO: valores inválidos",IF(COUNTIFS($A$5:$A$1200,A1046,$B$5:$B$1200,B1046,$C$5:$C$1200,C1046,$D$5:$D$1200,D1046)&gt;1,"ERRO: chave duplicada","OK")))</f>
        <v/>
      </c>
    </row>
    <row r="1047" ht="15" customHeight="1" s="131">
      <c r="A1047" s="320" t="n"/>
      <c r="B1047" s="323" t="n"/>
      <c r="C1047" s="320" t="n"/>
      <c r="D1047" s="326" t="n"/>
      <c r="E1047" s="324" t="n"/>
      <c r="F1047" s="320" t="n"/>
      <c r="G1047" s="327" t="n"/>
      <c r="H1047" s="271" t="n"/>
      <c r="I1047" s="275">
        <f>IF(COUNTA(A1047:F1047)=0,"",IF(OR(E1047&lt;0,F1047&lt;0,F1047&gt;10),"ERRO: valores inválidos",IF(COUNTIFS($A$5:$A$1200,A1047,$B$5:$B$1200,B1047,$C$5:$C$1200,C1047,$D$5:$D$1200,D1047)&gt;1,"ERRO: chave duplicada","OK")))</f>
        <v/>
      </c>
    </row>
    <row r="1048" ht="15" customHeight="1" s="131">
      <c r="A1048" s="320" t="n"/>
      <c r="B1048" s="323" t="n"/>
      <c r="C1048" s="320" t="n"/>
      <c r="D1048" s="326" t="n"/>
      <c r="E1048" s="324" t="n"/>
      <c r="F1048" s="320" t="n"/>
      <c r="G1048" s="327" t="n"/>
      <c r="H1048" s="271" t="n"/>
      <c r="I1048" s="275">
        <f>IF(COUNTA(A1048:F1048)=0,"",IF(OR(E1048&lt;0,F1048&lt;0,F1048&gt;10),"ERRO: valores inválidos",IF(COUNTIFS($A$5:$A$1200,A1048,$B$5:$B$1200,B1048,$C$5:$C$1200,C1048,$D$5:$D$1200,D1048)&gt;1,"ERRO: chave duplicada","OK")))</f>
        <v/>
      </c>
    </row>
    <row r="1049" ht="15" customHeight="1" s="131">
      <c r="A1049" s="320" t="n"/>
      <c r="B1049" s="323" t="n"/>
      <c r="C1049" s="320" t="n"/>
      <c r="D1049" s="326" t="n"/>
      <c r="E1049" s="324" t="n"/>
      <c r="F1049" s="320" t="n"/>
      <c r="G1049" s="327" t="n"/>
      <c r="H1049" s="271" t="n"/>
      <c r="I1049" s="275">
        <f>IF(COUNTA(A1049:F1049)=0,"",IF(OR(E1049&lt;0,F1049&lt;0,F1049&gt;10),"ERRO: valores inválidos",IF(COUNTIFS($A$5:$A$1200,A1049,$B$5:$B$1200,B1049,$C$5:$C$1200,C1049,$D$5:$D$1200,D1049)&gt;1,"ERRO: chave duplicada","OK")))</f>
        <v/>
      </c>
    </row>
    <row r="1050" ht="15" customHeight="1" s="131">
      <c r="A1050" s="320" t="n"/>
      <c r="B1050" s="323" t="n"/>
      <c r="C1050" s="320" t="n"/>
      <c r="D1050" s="326" t="n"/>
      <c r="E1050" s="324" t="n"/>
      <c r="F1050" s="320" t="n"/>
      <c r="G1050" s="327" t="n"/>
      <c r="H1050" s="271" t="n"/>
      <c r="I1050" s="275">
        <f>IF(COUNTA(A1050:F1050)=0,"",IF(OR(E1050&lt;0,F1050&lt;0,F1050&gt;10),"ERRO: valores inválidos",IF(COUNTIFS($A$5:$A$1200,A1050,$B$5:$B$1200,B1050,$C$5:$C$1200,C1050,$D$5:$D$1200,D1050)&gt;1,"ERRO: chave duplicada","OK")))</f>
        <v/>
      </c>
    </row>
    <row r="1051" ht="15" customHeight="1" s="131">
      <c r="A1051" s="320" t="n"/>
      <c r="B1051" s="323" t="n"/>
      <c r="C1051" s="320" t="n"/>
      <c r="D1051" s="326" t="n"/>
      <c r="E1051" s="324" t="n"/>
      <c r="F1051" s="320" t="n"/>
      <c r="G1051" s="327" t="n"/>
      <c r="H1051" s="271" t="n"/>
      <c r="I1051" s="275">
        <f>IF(COUNTA(A1051:F1051)=0,"",IF(OR(E1051&lt;0,F1051&lt;0,F1051&gt;10),"ERRO: valores inválidos",IF(COUNTIFS($A$5:$A$1200,A1051,$B$5:$B$1200,B1051,$C$5:$C$1200,C1051,$D$5:$D$1200,D1051)&gt;1,"ERRO: chave duplicada","OK")))</f>
        <v/>
      </c>
    </row>
    <row r="1052" ht="15" customHeight="1" s="131">
      <c r="A1052" s="320" t="n"/>
      <c r="B1052" s="323" t="n"/>
      <c r="C1052" s="320" t="n"/>
      <c r="D1052" s="326" t="n"/>
      <c r="E1052" s="324" t="n"/>
      <c r="F1052" s="320" t="n"/>
      <c r="G1052" s="327" t="n"/>
      <c r="H1052" s="271" t="n"/>
      <c r="I1052" s="275">
        <f>IF(COUNTA(A1052:F1052)=0,"",IF(OR(E1052&lt;0,F1052&lt;0,F1052&gt;10),"ERRO: valores inválidos",IF(COUNTIFS($A$5:$A$1200,A1052,$B$5:$B$1200,B1052,$C$5:$C$1200,C1052,$D$5:$D$1200,D1052)&gt;1,"ERRO: chave duplicada","OK")))</f>
        <v/>
      </c>
    </row>
    <row r="1053" ht="15" customHeight="1" s="131">
      <c r="A1053" s="320" t="n"/>
      <c r="B1053" s="323" t="n"/>
      <c r="C1053" s="320" t="n"/>
      <c r="D1053" s="326" t="n"/>
      <c r="E1053" s="324" t="n"/>
      <c r="F1053" s="320" t="n"/>
      <c r="G1053" s="327" t="n"/>
      <c r="H1053" s="271" t="n"/>
      <c r="I1053" s="275">
        <f>IF(COUNTA(A1053:F1053)=0,"",IF(OR(E1053&lt;0,F1053&lt;0,F1053&gt;10),"ERRO: valores inválidos",IF(COUNTIFS($A$5:$A$1200,A1053,$B$5:$B$1200,B1053,$C$5:$C$1200,C1053,$D$5:$D$1200,D1053)&gt;1,"ERRO: chave duplicada","OK")))</f>
        <v/>
      </c>
    </row>
    <row r="1054" ht="15" customHeight="1" s="131">
      <c r="A1054" s="320" t="n"/>
      <c r="B1054" s="323" t="n"/>
      <c r="C1054" s="320" t="n"/>
      <c r="D1054" s="326" t="n"/>
      <c r="E1054" s="324" t="n"/>
      <c r="F1054" s="320" t="n"/>
      <c r="G1054" s="327" t="n"/>
      <c r="H1054" s="271" t="n"/>
      <c r="I1054" s="275">
        <f>IF(COUNTA(A1054:F1054)=0,"",IF(OR(E1054&lt;0,F1054&lt;0,F1054&gt;10),"ERRO: valores inválidos",IF(COUNTIFS($A$5:$A$1200,A1054,$B$5:$B$1200,B1054,$C$5:$C$1200,C1054,$D$5:$D$1200,D1054)&gt;1,"ERRO: chave duplicada","OK")))</f>
        <v/>
      </c>
    </row>
    <row r="1055" ht="15" customHeight="1" s="131">
      <c r="A1055" s="320" t="n"/>
      <c r="B1055" s="323" t="n"/>
      <c r="C1055" s="320" t="n"/>
      <c r="D1055" s="326" t="n"/>
      <c r="E1055" s="324" t="n"/>
      <c r="F1055" s="320" t="n"/>
      <c r="G1055" s="327" t="n"/>
      <c r="H1055" s="271" t="n"/>
      <c r="I1055" s="275">
        <f>IF(COUNTA(A1055:F1055)=0,"",IF(OR(E1055&lt;0,F1055&lt;0,F1055&gt;10),"ERRO: valores inválidos",IF(COUNTIFS($A$5:$A$1200,A1055,$B$5:$B$1200,B1055,$C$5:$C$1200,C1055,$D$5:$D$1200,D1055)&gt;1,"ERRO: chave duplicada","OK")))</f>
        <v/>
      </c>
    </row>
    <row r="1056" ht="15" customHeight="1" s="131">
      <c r="A1056" s="320" t="n"/>
      <c r="B1056" s="323" t="n"/>
      <c r="C1056" s="320" t="n"/>
      <c r="D1056" s="326" t="n"/>
      <c r="E1056" s="324" t="n"/>
      <c r="F1056" s="320" t="n"/>
      <c r="G1056" s="327" t="n"/>
      <c r="H1056" s="271" t="n"/>
      <c r="I1056" s="275">
        <f>IF(COUNTA(A1056:F1056)=0,"",IF(OR(E1056&lt;0,F1056&lt;0,F1056&gt;10),"ERRO: valores inválidos",IF(COUNTIFS($A$5:$A$1200,A1056,$B$5:$B$1200,B1056,$C$5:$C$1200,C1056,$D$5:$D$1200,D1056)&gt;1,"ERRO: chave duplicada","OK")))</f>
        <v/>
      </c>
    </row>
    <row r="1057" ht="15" customHeight="1" s="131">
      <c r="A1057" s="320" t="n"/>
      <c r="B1057" s="323" t="n"/>
      <c r="C1057" s="320" t="n"/>
      <c r="D1057" s="326" t="n"/>
      <c r="E1057" s="324" t="n"/>
      <c r="F1057" s="320" t="n"/>
      <c r="G1057" s="327" t="n"/>
      <c r="H1057" s="271" t="n"/>
      <c r="I1057" s="275">
        <f>IF(COUNTA(A1057:F1057)=0,"",IF(OR(E1057&lt;0,F1057&lt;0,F1057&gt;10),"ERRO: valores inválidos",IF(COUNTIFS($A$5:$A$1200,A1057,$B$5:$B$1200,B1057,$C$5:$C$1200,C1057,$D$5:$D$1200,D1057)&gt;1,"ERRO: chave duplicada","OK")))</f>
        <v/>
      </c>
    </row>
    <row r="1058" ht="15" customHeight="1" s="131">
      <c r="A1058" s="320" t="n"/>
      <c r="B1058" s="323" t="n"/>
      <c r="C1058" s="320" t="n"/>
      <c r="D1058" s="326" t="n"/>
      <c r="E1058" s="324" t="n"/>
      <c r="F1058" s="320" t="n"/>
      <c r="G1058" s="327" t="n"/>
      <c r="H1058" s="271" t="n"/>
      <c r="I1058" s="275">
        <f>IF(COUNTA(A1058:F1058)=0,"",IF(OR(E1058&lt;0,F1058&lt;0,F1058&gt;10),"ERRO: valores inválidos",IF(COUNTIFS($A$5:$A$1200,A1058,$B$5:$B$1200,B1058,$C$5:$C$1200,C1058,$D$5:$D$1200,D1058)&gt;1,"ERRO: chave duplicada","OK")))</f>
        <v/>
      </c>
    </row>
    <row r="1059" ht="15" customHeight="1" s="131">
      <c r="A1059" s="320" t="n"/>
      <c r="B1059" s="323" t="n"/>
      <c r="C1059" s="320" t="n"/>
      <c r="D1059" s="326" t="n"/>
      <c r="E1059" s="324" t="n"/>
      <c r="F1059" s="320" t="n"/>
      <c r="G1059" s="327" t="n"/>
      <c r="H1059" s="271" t="n"/>
      <c r="I1059" s="275">
        <f>IF(COUNTA(A1059:F1059)=0,"",IF(OR(E1059&lt;0,F1059&lt;0,F1059&gt;10),"ERRO: valores inválidos",IF(COUNTIFS($A$5:$A$1200,A1059,$B$5:$B$1200,B1059,$C$5:$C$1200,C1059,$D$5:$D$1200,D1059)&gt;1,"ERRO: chave duplicada","OK")))</f>
        <v/>
      </c>
    </row>
    <row r="1060" ht="15" customHeight="1" s="131">
      <c r="A1060" s="320" t="n"/>
      <c r="B1060" s="323" t="n"/>
      <c r="C1060" s="320" t="n"/>
      <c r="D1060" s="326" t="n"/>
      <c r="E1060" s="324" t="n"/>
      <c r="F1060" s="320" t="n"/>
      <c r="G1060" s="327" t="n"/>
      <c r="H1060" s="271" t="n"/>
      <c r="I1060" s="275">
        <f>IF(COUNTA(A1060:F1060)=0,"",IF(OR(E1060&lt;0,F1060&lt;0,F1060&gt;10),"ERRO: valores inválidos",IF(COUNTIFS($A$5:$A$1200,A1060,$B$5:$B$1200,B1060,$C$5:$C$1200,C1060,$D$5:$D$1200,D1060)&gt;1,"ERRO: chave duplicada","OK")))</f>
        <v/>
      </c>
    </row>
    <row r="1061" ht="15" customHeight="1" s="131">
      <c r="A1061" s="320" t="n"/>
      <c r="B1061" s="323" t="n"/>
      <c r="C1061" s="320" t="n"/>
      <c r="D1061" s="326" t="n"/>
      <c r="E1061" s="324" t="n"/>
      <c r="F1061" s="320" t="n"/>
      <c r="G1061" s="327" t="n"/>
      <c r="H1061" s="271" t="n"/>
      <c r="I1061" s="275">
        <f>IF(COUNTA(A1061:F1061)=0,"",IF(OR(E1061&lt;0,F1061&lt;0,F1061&gt;10),"ERRO: valores inválidos",IF(COUNTIFS($A$5:$A$1200,A1061,$B$5:$B$1200,B1061,$C$5:$C$1200,C1061,$D$5:$D$1200,D1061)&gt;1,"ERRO: chave duplicada","OK")))</f>
        <v/>
      </c>
    </row>
    <row r="1062" ht="15" customHeight="1" s="131">
      <c r="A1062" s="320" t="n"/>
      <c r="B1062" s="323" t="n"/>
      <c r="C1062" s="320" t="n"/>
      <c r="D1062" s="326" t="n"/>
      <c r="E1062" s="324" t="n"/>
      <c r="F1062" s="320" t="n"/>
      <c r="G1062" s="327" t="n"/>
      <c r="H1062" s="271" t="n"/>
      <c r="I1062" s="275">
        <f>IF(COUNTA(A1062:F1062)=0,"",IF(OR(E1062&lt;0,F1062&lt;0,F1062&gt;10),"ERRO: valores inválidos",IF(COUNTIFS($A$5:$A$1200,A1062,$B$5:$B$1200,B1062,$C$5:$C$1200,C1062,$D$5:$D$1200,D1062)&gt;1,"ERRO: chave duplicada","OK")))</f>
        <v/>
      </c>
    </row>
    <row r="1063" ht="15" customHeight="1" s="131">
      <c r="A1063" s="320" t="n"/>
      <c r="B1063" s="323" t="n"/>
      <c r="C1063" s="320" t="n"/>
      <c r="D1063" s="326" t="n"/>
      <c r="E1063" s="324" t="n"/>
      <c r="F1063" s="320" t="n"/>
      <c r="G1063" s="327" t="n"/>
      <c r="H1063" s="271" t="n"/>
      <c r="I1063" s="275">
        <f>IF(COUNTA(A1063:F1063)=0,"",IF(OR(E1063&lt;0,F1063&lt;0,F1063&gt;10),"ERRO: valores inválidos",IF(COUNTIFS($A$5:$A$1200,A1063,$B$5:$B$1200,B1063,$C$5:$C$1200,C1063,$D$5:$D$1200,D1063)&gt;1,"ERRO: chave duplicada","OK")))</f>
        <v/>
      </c>
    </row>
    <row r="1064" ht="15" customHeight="1" s="131">
      <c r="A1064" s="320" t="n"/>
      <c r="B1064" s="323" t="n"/>
      <c r="C1064" s="320" t="n"/>
      <c r="D1064" s="326" t="n"/>
      <c r="E1064" s="324" t="n"/>
      <c r="F1064" s="320" t="n"/>
      <c r="G1064" s="327" t="n"/>
      <c r="H1064" s="271" t="n"/>
      <c r="I1064" s="275">
        <f>IF(COUNTA(A1064:F1064)=0,"",IF(OR(E1064&lt;0,F1064&lt;0,F1064&gt;10),"ERRO: valores inválidos",IF(COUNTIFS($A$5:$A$1200,A1064,$B$5:$B$1200,B1064,$C$5:$C$1200,C1064,$D$5:$D$1200,D1064)&gt;1,"ERRO: chave duplicada","OK")))</f>
        <v/>
      </c>
    </row>
    <row r="1065" ht="15" customHeight="1" s="131">
      <c r="A1065" s="320" t="n"/>
      <c r="B1065" s="323" t="n"/>
      <c r="C1065" s="320" t="n"/>
      <c r="D1065" s="326" t="n"/>
      <c r="E1065" s="324" t="n"/>
      <c r="F1065" s="320" t="n"/>
      <c r="G1065" s="327" t="n"/>
      <c r="H1065" s="271" t="n"/>
      <c r="I1065" s="275">
        <f>IF(COUNTA(A1065:F1065)=0,"",IF(OR(E1065&lt;0,F1065&lt;0,F1065&gt;10),"ERRO: valores inválidos",IF(COUNTIFS($A$5:$A$1200,A1065,$B$5:$B$1200,B1065,$C$5:$C$1200,C1065,$D$5:$D$1200,D1065)&gt;1,"ERRO: chave duplicada","OK")))</f>
        <v/>
      </c>
    </row>
    <row r="1066" ht="15" customHeight="1" s="131">
      <c r="A1066" s="320" t="n"/>
      <c r="B1066" s="323" t="n"/>
      <c r="C1066" s="320" t="n"/>
      <c r="D1066" s="326" t="n"/>
      <c r="E1066" s="324" t="n"/>
      <c r="F1066" s="320" t="n"/>
      <c r="G1066" s="327" t="n"/>
      <c r="H1066" s="271" t="n"/>
      <c r="I1066" s="275">
        <f>IF(COUNTA(A1066:F1066)=0,"",IF(OR(E1066&lt;0,F1066&lt;0,F1066&gt;10),"ERRO: valores inválidos",IF(COUNTIFS($A$5:$A$1200,A1066,$B$5:$B$1200,B1066,$C$5:$C$1200,C1066,$D$5:$D$1200,D1066)&gt;1,"ERRO: chave duplicada","OK")))</f>
        <v/>
      </c>
    </row>
    <row r="1067" ht="15" customHeight="1" s="131">
      <c r="A1067" s="320" t="n"/>
      <c r="B1067" s="323" t="n"/>
      <c r="C1067" s="320" t="n"/>
      <c r="D1067" s="326" t="n"/>
      <c r="E1067" s="324" t="n"/>
      <c r="F1067" s="320" t="n"/>
      <c r="G1067" s="327" t="n"/>
      <c r="H1067" s="271" t="n"/>
      <c r="I1067" s="275">
        <f>IF(COUNTA(A1067:F1067)=0,"",IF(OR(E1067&lt;0,F1067&lt;0,F1067&gt;10),"ERRO: valores inválidos",IF(COUNTIFS($A$5:$A$1200,A1067,$B$5:$B$1200,B1067,$C$5:$C$1200,C1067,$D$5:$D$1200,D1067)&gt;1,"ERRO: chave duplicada","OK")))</f>
        <v/>
      </c>
    </row>
    <row r="1068" ht="15" customHeight="1" s="131">
      <c r="A1068" s="320" t="n"/>
      <c r="B1068" s="323" t="n"/>
      <c r="C1068" s="320" t="n"/>
      <c r="D1068" s="326" t="n"/>
      <c r="E1068" s="324" t="n"/>
      <c r="F1068" s="320" t="n"/>
      <c r="G1068" s="327" t="n"/>
      <c r="H1068" s="271" t="n"/>
      <c r="I1068" s="275">
        <f>IF(COUNTA(A1068:F1068)=0,"",IF(OR(E1068&lt;0,F1068&lt;0,F1068&gt;10),"ERRO: valores inválidos",IF(COUNTIFS($A$5:$A$1200,A1068,$B$5:$B$1200,B1068,$C$5:$C$1200,C1068,$D$5:$D$1200,D1068)&gt;1,"ERRO: chave duplicada","OK")))</f>
        <v/>
      </c>
    </row>
    <row r="1069" ht="15" customHeight="1" s="131">
      <c r="A1069" s="320" t="n"/>
      <c r="B1069" s="323" t="n"/>
      <c r="C1069" s="320" t="n"/>
      <c r="D1069" s="326" t="n"/>
      <c r="E1069" s="324" t="n"/>
      <c r="F1069" s="320" t="n"/>
      <c r="G1069" s="327" t="n"/>
      <c r="H1069" s="271" t="n"/>
      <c r="I1069" s="275">
        <f>IF(COUNTA(A1069:F1069)=0,"",IF(OR(E1069&lt;0,F1069&lt;0,F1069&gt;10),"ERRO: valores inválidos",IF(COUNTIFS($A$5:$A$1200,A1069,$B$5:$B$1200,B1069,$C$5:$C$1200,C1069,$D$5:$D$1200,D1069)&gt;1,"ERRO: chave duplicada","OK")))</f>
        <v/>
      </c>
    </row>
    <row r="1070" ht="15" customHeight="1" s="131">
      <c r="A1070" s="320" t="n"/>
      <c r="B1070" s="323" t="n"/>
      <c r="C1070" s="320" t="n"/>
      <c r="D1070" s="326" t="n"/>
      <c r="E1070" s="324" t="n"/>
      <c r="F1070" s="320" t="n"/>
      <c r="G1070" s="327" t="n"/>
      <c r="H1070" s="271" t="n"/>
      <c r="I1070" s="275">
        <f>IF(COUNTA(A1070:F1070)=0,"",IF(OR(E1070&lt;0,F1070&lt;0,F1070&gt;10),"ERRO: valores inválidos",IF(COUNTIFS($A$5:$A$1200,A1070,$B$5:$B$1200,B1070,$C$5:$C$1200,C1070,$D$5:$D$1200,D1070)&gt;1,"ERRO: chave duplicada","OK")))</f>
        <v/>
      </c>
    </row>
    <row r="1071" ht="15" customHeight="1" s="131">
      <c r="A1071" s="320" t="n"/>
      <c r="B1071" s="323" t="n"/>
      <c r="C1071" s="320" t="n"/>
      <c r="D1071" s="326" t="n"/>
      <c r="E1071" s="324" t="n"/>
      <c r="F1071" s="320" t="n"/>
      <c r="G1071" s="327" t="n"/>
      <c r="H1071" s="271" t="n"/>
      <c r="I1071" s="275">
        <f>IF(COUNTA(A1071:F1071)=0,"",IF(OR(E1071&lt;0,F1071&lt;0,F1071&gt;10),"ERRO: valores inválidos",IF(COUNTIFS($A$5:$A$1200,A1071,$B$5:$B$1200,B1071,$C$5:$C$1200,C1071,$D$5:$D$1200,D1071)&gt;1,"ERRO: chave duplicada","OK")))</f>
        <v/>
      </c>
    </row>
    <row r="1072" ht="15" customHeight="1" s="131">
      <c r="A1072" s="320" t="n"/>
      <c r="B1072" s="323" t="n"/>
      <c r="C1072" s="320" t="n"/>
      <c r="D1072" s="326" t="n"/>
      <c r="E1072" s="324" t="n"/>
      <c r="F1072" s="320" t="n"/>
      <c r="G1072" s="327" t="n"/>
      <c r="H1072" s="271" t="n"/>
      <c r="I1072" s="275">
        <f>IF(COUNTA(A1072:F1072)=0,"",IF(OR(E1072&lt;0,F1072&lt;0,F1072&gt;10),"ERRO: valores inválidos",IF(COUNTIFS($A$5:$A$1200,A1072,$B$5:$B$1200,B1072,$C$5:$C$1200,C1072,$D$5:$D$1200,D1072)&gt;1,"ERRO: chave duplicada","OK")))</f>
        <v/>
      </c>
    </row>
    <row r="1073" ht="15" customHeight="1" s="131">
      <c r="A1073" s="320" t="n"/>
      <c r="B1073" s="323" t="n"/>
      <c r="C1073" s="320" t="n"/>
      <c r="D1073" s="326" t="n"/>
      <c r="E1073" s="324" t="n"/>
      <c r="F1073" s="320" t="n"/>
      <c r="G1073" s="327" t="n"/>
      <c r="H1073" s="271" t="n"/>
      <c r="I1073" s="275">
        <f>IF(COUNTA(A1073:F1073)=0,"",IF(OR(E1073&lt;0,F1073&lt;0,F1073&gt;10),"ERRO: valores inválidos",IF(COUNTIFS($A$5:$A$1200,A1073,$B$5:$B$1200,B1073,$C$5:$C$1200,C1073,$D$5:$D$1200,D1073)&gt;1,"ERRO: chave duplicada","OK")))</f>
        <v/>
      </c>
    </row>
    <row r="1074" ht="15" customHeight="1" s="131">
      <c r="A1074" s="320" t="n"/>
      <c r="B1074" s="323" t="n"/>
      <c r="C1074" s="320" t="n"/>
      <c r="D1074" s="326" t="n"/>
      <c r="E1074" s="324" t="n"/>
      <c r="F1074" s="320" t="n"/>
      <c r="G1074" s="327" t="n"/>
      <c r="H1074" s="271" t="n"/>
      <c r="I1074" s="275">
        <f>IF(COUNTA(A1074:F1074)=0,"",IF(OR(E1074&lt;0,F1074&lt;0,F1074&gt;10),"ERRO: valores inválidos",IF(COUNTIFS($A$5:$A$1200,A1074,$B$5:$B$1200,B1074,$C$5:$C$1200,C1074,$D$5:$D$1200,D1074)&gt;1,"ERRO: chave duplicada","OK")))</f>
        <v/>
      </c>
    </row>
    <row r="1075" ht="15" customHeight="1" s="131">
      <c r="A1075" s="320" t="n"/>
      <c r="B1075" s="323" t="n"/>
      <c r="C1075" s="320" t="n"/>
      <c r="D1075" s="326" t="n"/>
      <c r="E1075" s="324" t="n"/>
      <c r="F1075" s="320" t="n"/>
      <c r="G1075" s="327" t="n"/>
      <c r="H1075" s="271" t="n"/>
      <c r="I1075" s="275">
        <f>IF(COUNTA(A1075:F1075)=0,"",IF(OR(E1075&lt;0,F1075&lt;0,F1075&gt;10),"ERRO: valores inválidos",IF(COUNTIFS($A$5:$A$1200,A1075,$B$5:$B$1200,B1075,$C$5:$C$1200,C1075,$D$5:$D$1200,D1075)&gt;1,"ERRO: chave duplicada","OK")))</f>
        <v/>
      </c>
    </row>
    <row r="1076" ht="15" customHeight="1" s="131">
      <c r="A1076" s="320" t="n"/>
      <c r="B1076" s="323" t="n"/>
      <c r="C1076" s="320" t="n"/>
      <c r="D1076" s="326" t="n"/>
      <c r="E1076" s="324" t="n"/>
      <c r="F1076" s="320" t="n"/>
      <c r="G1076" s="327" t="n"/>
      <c r="H1076" s="271" t="n"/>
      <c r="I1076" s="275">
        <f>IF(COUNTA(A1076:F1076)=0,"",IF(OR(E1076&lt;0,F1076&lt;0,F1076&gt;10),"ERRO: valores inválidos",IF(COUNTIFS($A$5:$A$1200,A1076,$B$5:$B$1200,B1076,$C$5:$C$1200,C1076,$D$5:$D$1200,D1076)&gt;1,"ERRO: chave duplicada","OK")))</f>
        <v/>
      </c>
    </row>
    <row r="1077" ht="15" customHeight="1" s="131">
      <c r="A1077" s="320" t="n"/>
      <c r="B1077" s="323" t="n"/>
      <c r="C1077" s="320" t="n"/>
      <c r="D1077" s="326" t="n"/>
      <c r="E1077" s="324" t="n"/>
      <c r="F1077" s="320" t="n"/>
      <c r="G1077" s="327" t="n"/>
      <c r="H1077" s="271" t="n"/>
      <c r="I1077" s="275">
        <f>IF(COUNTA(A1077:F1077)=0,"",IF(OR(E1077&lt;0,F1077&lt;0,F1077&gt;10),"ERRO: valores inválidos",IF(COUNTIFS($A$5:$A$1200,A1077,$B$5:$B$1200,B1077,$C$5:$C$1200,C1077,$D$5:$D$1200,D1077)&gt;1,"ERRO: chave duplicada","OK")))</f>
        <v/>
      </c>
    </row>
    <row r="1078" ht="15" customHeight="1" s="131">
      <c r="A1078" s="320" t="n"/>
      <c r="B1078" s="323" t="n"/>
      <c r="C1078" s="320" t="n"/>
      <c r="D1078" s="326" t="n"/>
      <c r="E1078" s="324" t="n"/>
      <c r="F1078" s="320" t="n"/>
      <c r="G1078" s="327" t="n"/>
      <c r="H1078" s="271" t="n"/>
      <c r="I1078" s="275">
        <f>IF(COUNTA(A1078:F1078)=0,"",IF(OR(E1078&lt;0,F1078&lt;0,F1078&gt;10),"ERRO: valores inválidos",IF(COUNTIFS($A$5:$A$1200,A1078,$B$5:$B$1200,B1078,$C$5:$C$1200,C1078,$D$5:$D$1200,D1078)&gt;1,"ERRO: chave duplicada","OK")))</f>
        <v/>
      </c>
    </row>
    <row r="1079" ht="15" customHeight="1" s="131">
      <c r="A1079" s="320" t="n"/>
      <c r="B1079" s="323" t="n"/>
      <c r="C1079" s="320" t="n"/>
      <c r="D1079" s="326" t="n"/>
      <c r="E1079" s="324" t="n"/>
      <c r="F1079" s="320" t="n"/>
      <c r="G1079" s="327" t="n"/>
      <c r="H1079" s="271" t="n"/>
      <c r="I1079" s="275">
        <f>IF(COUNTA(A1079:F1079)=0,"",IF(OR(E1079&lt;0,F1079&lt;0,F1079&gt;10),"ERRO: valores inválidos",IF(COUNTIFS($A$5:$A$1200,A1079,$B$5:$B$1200,B1079,$C$5:$C$1200,C1079,$D$5:$D$1200,D1079)&gt;1,"ERRO: chave duplicada","OK")))</f>
        <v/>
      </c>
    </row>
    <row r="1080" ht="15" customHeight="1" s="131">
      <c r="A1080" s="320" t="n"/>
      <c r="B1080" s="323" t="n"/>
      <c r="C1080" s="320" t="n"/>
      <c r="D1080" s="326" t="n"/>
      <c r="E1080" s="324" t="n"/>
      <c r="F1080" s="320" t="n"/>
      <c r="G1080" s="327" t="n"/>
      <c r="H1080" s="271" t="n"/>
      <c r="I1080" s="275">
        <f>IF(COUNTA(A1080:F1080)=0,"",IF(OR(E1080&lt;0,F1080&lt;0,F1080&gt;10),"ERRO: valores inválidos",IF(COUNTIFS($A$5:$A$1200,A1080,$B$5:$B$1200,B1080,$C$5:$C$1200,C1080,$D$5:$D$1200,D1080)&gt;1,"ERRO: chave duplicada","OK")))</f>
        <v/>
      </c>
    </row>
    <row r="1081" ht="15" customHeight="1" s="131">
      <c r="A1081" s="320" t="n"/>
      <c r="B1081" s="323" t="n"/>
      <c r="C1081" s="320" t="n"/>
      <c r="D1081" s="326" t="n"/>
      <c r="E1081" s="324" t="n"/>
      <c r="F1081" s="320" t="n"/>
      <c r="G1081" s="327" t="n"/>
      <c r="H1081" s="271" t="n"/>
      <c r="I1081" s="275">
        <f>IF(COUNTA(A1081:F1081)=0,"",IF(OR(E1081&lt;0,F1081&lt;0,F1081&gt;10),"ERRO: valores inválidos",IF(COUNTIFS($A$5:$A$1200,A1081,$B$5:$B$1200,B1081,$C$5:$C$1200,C1081,$D$5:$D$1200,D1081)&gt;1,"ERRO: chave duplicada","OK")))</f>
        <v/>
      </c>
    </row>
    <row r="1082" ht="15" customHeight="1" s="131">
      <c r="A1082" s="320" t="n"/>
      <c r="B1082" s="323" t="n"/>
      <c r="C1082" s="320" t="n"/>
      <c r="D1082" s="326" t="n"/>
      <c r="E1082" s="324" t="n"/>
      <c r="F1082" s="320" t="n"/>
      <c r="G1082" s="327" t="n"/>
      <c r="H1082" s="271" t="n"/>
      <c r="I1082" s="275">
        <f>IF(COUNTA(A1082:F1082)=0,"",IF(OR(E1082&lt;0,F1082&lt;0,F1082&gt;10),"ERRO: valores inválidos",IF(COUNTIFS($A$5:$A$1200,A1082,$B$5:$B$1200,B1082,$C$5:$C$1200,C1082,$D$5:$D$1200,D1082)&gt;1,"ERRO: chave duplicada","OK")))</f>
        <v/>
      </c>
    </row>
    <row r="1083" ht="15" customHeight="1" s="131">
      <c r="A1083" s="320" t="n"/>
      <c r="B1083" s="323" t="n"/>
      <c r="C1083" s="320" t="n"/>
      <c r="D1083" s="326" t="n"/>
      <c r="E1083" s="324" t="n"/>
      <c r="F1083" s="320" t="n"/>
      <c r="G1083" s="327" t="n"/>
      <c r="H1083" s="271" t="n"/>
      <c r="I1083" s="275">
        <f>IF(COUNTA(A1083:F1083)=0,"",IF(OR(E1083&lt;0,F1083&lt;0,F1083&gt;10),"ERRO: valores inválidos",IF(COUNTIFS($A$5:$A$1200,A1083,$B$5:$B$1200,B1083,$C$5:$C$1200,C1083,$D$5:$D$1200,D1083)&gt;1,"ERRO: chave duplicada","OK")))</f>
        <v/>
      </c>
    </row>
    <row r="1084" ht="15" customHeight="1" s="131">
      <c r="A1084" s="320" t="n"/>
      <c r="B1084" s="323" t="n"/>
      <c r="C1084" s="320" t="n"/>
      <c r="D1084" s="326" t="n"/>
      <c r="E1084" s="324" t="n"/>
      <c r="F1084" s="320" t="n"/>
      <c r="G1084" s="327" t="n"/>
      <c r="H1084" s="271" t="n"/>
      <c r="I1084" s="275">
        <f>IF(COUNTA(A1084:F1084)=0,"",IF(OR(E1084&lt;0,F1084&lt;0,F1084&gt;10),"ERRO: valores inválidos",IF(COUNTIFS($A$5:$A$1200,A1084,$B$5:$B$1200,B1084,$C$5:$C$1200,C1084,$D$5:$D$1200,D1084)&gt;1,"ERRO: chave duplicada","OK")))</f>
        <v/>
      </c>
    </row>
    <row r="1085" ht="15" customHeight="1" s="131">
      <c r="A1085" s="320" t="n"/>
      <c r="B1085" s="323" t="n"/>
      <c r="C1085" s="320" t="n"/>
      <c r="D1085" s="326" t="n"/>
      <c r="E1085" s="324" t="n"/>
      <c r="F1085" s="320" t="n"/>
      <c r="G1085" s="327" t="n"/>
      <c r="H1085" s="271" t="n"/>
      <c r="I1085" s="275">
        <f>IF(COUNTA(A1085:F1085)=0,"",IF(OR(E1085&lt;0,F1085&lt;0,F1085&gt;10),"ERRO: valores inválidos",IF(COUNTIFS($A$5:$A$1200,A1085,$B$5:$B$1200,B1085,$C$5:$C$1200,C1085,$D$5:$D$1200,D1085)&gt;1,"ERRO: chave duplicada","OK")))</f>
        <v/>
      </c>
    </row>
    <row r="1086" ht="15" customHeight="1" s="131">
      <c r="A1086" s="320" t="n"/>
      <c r="B1086" s="323" t="n"/>
      <c r="C1086" s="320" t="n"/>
      <c r="D1086" s="326" t="n"/>
      <c r="E1086" s="324" t="n"/>
      <c r="F1086" s="320" t="n"/>
      <c r="G1086" s="327" t="n"/>
      <c r="H1086" s="271" t="n"/>
      <c r="I1086" s="275">
        <f>IF(COUNTA(A1086:F1086)=0,"",IF(OR(E1086&lt;0,F1086&lt;0,F1086&gt;10),"ERRO: valores inválidos",IF(COUNTIFS($A$5:$A$1200,A1086,$B$5:$B$1200,B1086,$C$5:$C$1200,C1086,$D$5:$D$1200,D1086)&gt;1,"ERRO: chave duplicada","OK")))</f>
        <v/>
      </c>
    </row>
    <row r="1087" ht="15" customHeight="1" s="131">
      <c r="A1087" s="320" t="n"/>
      <c r="B1087" s="323" t="n"/>
      <c r="C1087" s="320" t="n"/>
      <c r="D1087" s="326" t="n"/>
      <c r="E1087" s="324" t="n"/>
      <c r="F1087" s="320" t="n"/>
      <c r="G1087" s="327" t="n"/>
      <c r="H1087" s="271" t="n"/>
      <c r="I1087" s="275">
        <f>IF(COUNTA(A1087:F1087)=0,"",IF(OR(E1087&lt;0,F1087&lt;0,F1087&gt;10),"ERRO: valores inválidos",IF(COUNTIFS($A$5:$A$1200,A1087,$B$5:$B$1200,B1087,$C$5:$C$1200,C1087,$D$5:$D$1200,D1087)&gt;1,"ERRO: chave duplicada","OK")))</f>
        <v/>
      </c>
    </row>
    <row r="1088" ht="15" customHeight="1" s="131">
      <c r="A1088" s="320" t="n"/>
      <c r="B1088" s="323" t="n"/>
      <c r="C1088" s="320" t="n"/>
      <c r="D1088" s="326" t="n"/>
      <c r="E1088" s="324" t="n"/>
      <c r="F1088" s="320" t="n"/>
      <c r="G1088" s="327" t="n"/>
      <c r="H1088" s="271" t="n"/>
      <c r="I1088" s="275">
        <f>IF(COUNTA(A1088:F1088)=0,"",IF(OR(E1088&lt;0,F1088&lt;0,F1088&gt;10),"ERRO: valores inválidos",IF(COUNTIFS($A$5:$A$1200,A1088,$B$5:$B$1200,B1088,$C$5:$C$1200,C1088,$D$5:$D$1200,D1088)&gt;1,"ERRO: chave duplicada","OK")))</f>
        <v/>
      </c>
    </row>
    <row r="1089" ht="15" customHeight="1" s="131">
      <c r="A1089" s="320" t="n"/>
      <c r="B1089" s="323" t="n"/>
      <c r="C1089" s="320" t="n"/>
      <c r="D1089" s="326" t="n"/>
      <c r="E1089" s="324" t="n"/>
      <c r="F1089" s="320" t="n"/>
      <c r="G1089" s="327" t="n"/>
      <c r="H1089" s="271" t="n"/>
      <c r="I1089" s="275">
        <f>IF(COUNTA(A1089:F1089)=0,"",IF(OR(E1089&lt;0,F1089&lt;0,F1089&gt;10),"ERRO: valores inválidos",IF(COUNTIFS($A$5:$A$1200,A1089,$B$5:$B$1200,B1089,$C$5:$C$1200,C1089,$D$5:$D$1200,D1089)&gt;1,"ERRO: chave duplicada","OK")))</f>
        <v/>
      </c>
    </row>
    <row r="1090" ht="15" customHeight="1" s="131">
      <c r="A1090" s="320" t="n"/>
      <c r="B1090" s="323" t="n"/>
      <c r="C1090" s="320" t="n"/>
      <c r="D1090" s="326" t="n"/>
      <c r="E1090" s="324" t="n"/>
      <c r="F1090" s="320" t="n"/>
      <c r="G1090" s="327" t="n"/>
      <c r="H1090" s="271" t="n"/>
      <c r="I1090" s="275">
        <f>IF(COUNTA(A1090:F1090)=0,"",IF(OR(E1090&lt;0,F1090&lt;0,F1090&gt;10),"ERRO: valores inválidos",IF(COUNTIFS($A$5:$A$1200,A1090,$B$5:$B$1200,B1090,$C$5:$C$1200,C1090,$D$5:$D$1200,D1090)&gt;1,"ERRO: chave duplicada","OK")))</f>
        <v/>
      </c>
    </row>
    <row r="1091" ht="15" customHeight="1" s="131">
      <c r="A1091" s="320" t="n"/>
      <c r="B1091" s="323" t="n"/>
      <c r="C1091" s="320" t="n"/>
      <c r="D1091" s="326" t="n"/>
      <c r="E1091" s="324" t="n"/>
      <c r="F1091" s="320" t="n"/>
      <c r="G1091" s="327" t="n"/>
      <c r="H1091" s="271" t="n"/>
      <c r="I1091" s="275">
        <f>IF(COUNTA(A1091:F1091)=0,"",IF(OR(E1091&lt;0,F1091&lt;0,F1091&gt;10),"ERRO: valores inválidos",IF(COUNTIFS($A$5:$A$1200,A1091,$B$5:$B$1200,B1091,$C$5:$C$1200,C1091,$D$5:$D$1200,D1091)&gt;1,"ERRO: chave duplicada","OK")))</f>
        <v/>
      </c>
    </row>
    <row r="1092" ht="15" customHeight="1" s="131">
      <c r="A1092" s="320" t="n"/>
      <c r="B1092" s="323" t="n"/>
      <c r="C1092" s="320" t="n"/>
      <c r="D1092" s="326" t="n"/>
      <c r="E1092" s="324" t="n"/>
      <c r="F1092" s="320" t="n"/>
      <c r="G1092" s="327" t="n"/>
      <c r="H1092" s="271" t="n"/>
      <c r="I1092" s="275">
        <f>IF(COUNTA(A1092:F1092)=0,"",IF(OR(E1092&lt;0,F1092&lt;0,F1092&gt;10),"ERRO: valores inválidos",IF(COUNTIFS($A$5:$A$1200,A1092,$B$5:$B$1200,B1092,$C$5:$C$1200,C1092,$D$5:$D$1200,D1092)&gt;1,"ERRO: chave duplicada","OK")))</f>
        <v/>
      </c>
    </row>
    <row r="1093" ht="15" customHeight="1" s="131">
      <c r="A1093" s="320" t="n"/>
      <c r="B1093" s="323" t="n"/>
      <c r="C1093" s="320" t="n"/>
      <c r="D1093" s="326" t="n"/>
      <c r="E1093" s="324" t="n"/>
      <c r="F1093" s="320" t="n"/>
      <c r="G1093" s="327" t="n"/>
      <c r="H1093" s="271" t="n"/>
      <c r="I1093" s="275">
        <f>IF(COUNTA(A1093:F1093)=0,"",IF(OR(E1093&lt;0,F1093&lt;0,F1093&gt;10),"ERRO: valores inválidos",IF(COUNTIFS($A$5:$A$1200,A1093,$B$5:$B$1200,B1093,$C$5:$C$1200,C1093,$D$5:$D$1200,D1093)&gt;1,"ERRO: chave duplicada","OK")))</f>
        <v/>
      </c>
    </row>
    <row r="1094" ht="15" customHeight="1" s="131">
      <c r="A1094" s="320" t="n"/>
      <c r="B1094" s="323" t="n"/>
      <c r="C1094" s="320" t="n"/>
      <c r="D1094" s="326" t="n"/>
      <c r="E1094" s="324" t="n"/>
      <c r="F1094" s="320" t="n"/>
      <c r="G1094" s="327" t="n"/>
      <c r="H1094" s="271" t="n"/>
      <c r="I1094" s="275">
        <f>IF(COUNTA(A1094:F1094)=0,"",IF(OR(E1094&lt;0,F1094&lt;0,F1094&gt;10),"ERRO: valores inválidos",IF(COUNTIFS($A$5:$A$1200,A1094,$B$5:$B$1200,B1094,$C$5:$C$1200,C1094,$D$5:$D$1200,D1094)&gt;1,"ERRO: chave duplicada","OK")))</f>
        <v/>
      </c>
    </row>
    <row r="1095" ht="15" customHeight="1" s="131">
      <c r="A1095" s="320" t="n"/>
      <c r="B1095" s="323" t="n"/>
      <c r="C1095" s="320" t="n"/>
      <c r="D1095" s="326" t="n"/>
      <c r="E1095" s="324" t="n"/>
      <c r="F1095" s="320" t="n"/>
      <c r="G1095" s="327" t="n"/>
      <c r="H1095" s="271" t="n"/>
      <c r="I1095" s="275">
        <f>IF(COUNTA(A1095:F1095)=0,"",IF(OR(E1095&lt;0,F1095&lt;0,F1095&gt;10),"ERRO: valores inválidos",IF(COUNTIFS($A$5:$A$1200,A1095,$B$5:$B$1200,B1095,$C$5:$C$1200,C1095,$D$5:$D$1200,D1095)&gt;1,"ERRO: chave duplicada","OK")))</f>
        <v/>
      </c>
    </row>
    <row r="1096" ht="15" customHeight="1" s="131">
      <c r="A1096" s="320" t="n"/>
      <c r="B1096" s="323" t="n"/>
      <c r="C1096" s="320" t="n"/>
      <c r="D1096" s="326" t="n"/>
      <c r="E1096" s="324" t="n"/>
      <c r="F1096" s="320" t="n"/>
      <c r="G1096" s="327" t="n"/>
      <c r="H1096" s="271" t="n"/>
      <c r="I1096" s="275">
        <f>IF(COUNTA(A1096:F1096)=0,"",IF(OR(E1096&lt;0,F1096&lt;0,F1096&gt;10),"ERRO: valores inválidos",IF(COUNTIFS($A$5:$A$1200,A1096,$B$5:$B$1200,B1096,$C$5:$C$1200,C1096,$D$5:$D$1200,D1096)&gt;1,"ERRO: chave duplicada","OK")))</f>
        <v/>
      </c>
    </row>
    <row r="1097" ht="15" customHeight="1" s="131">
      <c r="A1097" s="320" t="n"/>
      <c r="B1097" s="323" t="n"/>
      <c r="C1097" s="320" t="n"/>
      <c r="D1097" s="326" t="n"/>
      <c r="E1097" s="324" t="n"/>
      <c r="F1097" s="320" t="n"/>
      <c r="G1097" s="327" t="n"/>
      <c r="H1097" s="271" t="n"/>
      <c r="I1097" s="275">
        <f>IF(COUNTA(A1097:F1097)=0,"",IF(OR(E1097&lt;0,F1097&lt;0,F1097&gt;10),"ERRO: valores inválidos",IF(COUNTIFS($A$5:$A$1200,A1097,$B$5:$B$1200,B1097,$C$5:$C$1200,C1097,$D$5:$D$1200,D1097)&gt;1,"ERRO: chave duplicada","OK")))</f>
        <v/>
      </c>
    </row>
    <row r="1098" ht="15" customHeight="1" s="131">
      <c r="A1098" s="320" t="n"/>
      <c r="B1098" s="323" t="n"/>
      <c r="C1098" s="320" t="n"/>
      <c r="D1098" s="326" t="n"/>
      <c r="E1098" s="324" t="n"/>
      <c r="F1098" s="320" t="n"/>
      <c r="G1098" s="327" t="n"/>
      <c r="H1098" s="271" t="n"/>
      <c r="I1098" s="275">
        <f>IF(COUNTA(A1098:F1098)=0,"",IF(OR(E1098&lt;0,F1098&lt;0,F1098&gt;10),"ERRO: valores inválidos",IF(COUNTIFS($A$5:$A$1200,A1098,$B$5:$B$1200,B1098,$C$5:$C$1200,C1098,$D$5:$D$1200,D1098)&gt;1,"ERRO: chave duplicada","OK")))</f>
        <v/>
      </c>
    </row>
    <row r="1099" ht="15" customHeight="1" s="131">
      <c r="A1099" s="320" t="n"/>
      <c r="B1099" s="323" t="n"/>
      <c r="C1099" s="320" t="n"/>
      <c r="D1099" s="326" t="n"/>
      <c r="E1099" s="324" t="n"/>
      <c r="F1099" s="320" t="n"/>
      <c r="G1099" s="327" t="n"/>
      <c r="H1099" s="271" t="n"/>
      <c r="I1099" s="275">
        <f>IF(COUNTA(A1099:F1099)=0,"",IF(OR(E1099&lt;0,F1099&lt;0,F1099&gt;10),"ERRO: valores inválidos",IF(COUNTIFS($A$5:$A$1200,A1099,$B$5:$B$1200,B1099,$C$5:$C$1200,C1099,$D$5:$D$1200,D1099)&gt;1,"ERRO: chave duplicada","OK")))</f>
        <v/>
      </c>
    </row>
    <row r="1100" ht="15" customHeight="1" s="131">
      <c r="A1100" s="320" t="n"/>
      <c r="B1100" s="323" t="n"/>
      <c r="C1100" s="320" t="n"/>
      <c r="D1100" s="326" t="n"/>
      <c r="E1100" s="324" t="n"/>
      <c r="F1100" s="320" t="n"/>
      <c r="G1100" s="327" t="n"/>
      <c r="H1100" s="271" t="n"/>
      <c r="I1100" s="275">
        <f>IF(COUNTA(A1100:F1100)=0,"",IF(OR(E1100&lt;0,F1100&lt;0,F1100&gt;10),"ERRO: valores inválidos",IF(COUNTIFS($A$5:$A$1200,A1100,$B$5:$B$1200,B1100,$C$5:$C$1200,C1100,$D$5:$D$1200,D1100)&gt;1,"ERRO: chave duplicada","OK")))</f>
        <v/>
      </c>
    </row>
    <row r="1101" ht="15" customHeight="1" s="131">
      <c r="A1101" s="320" t="n"/>
      <c r="B1101" s="323" t="n"/>
      <c r="C1101" s="320" t="n"/>
      <c r="D1101" s="326" t="n"/>
      <c r="E1101" s="324" t="n"/>
      <c r="F1101" s="320" t="n"/>
      <c r="G1101" s="327" t="n"/>
      <c r="H1101" s="271" t="n"/>
      <c r="I1101" s="275">
        <f>IF(COUNTA(A1101:F1101)=0,"",IF(OR(E1101&lt;0,F1101&lt;0,F1101&gt;10),"ERRO: valores inválidos",IF(COUNTIFS($A$5:$A$1200,A1101,$B$5:$B$1200,B1101,$C$5:$C$1200,C1101,$D$5:$D$1200,D1101)&gt;1,"ERRO: chave duplicada","OK")))</f>
        <v/>
      </c>
    </row>
    <row r="1102" ht="15" customHeight="1" s="131">
      <c r="A1102" s="320" t="n"/>
      <c r="B1102" s="323" t="n"/>
      <c r="C1102" s="320" t="n"/>
      <c r="D1102" s="326" t="n"/>
      <c r="E1102" s="324" t="n"/>
      <c r="F1102" s="320" t="n"/>
      <c r="G1102" s="327" t="n"/>
      <c r="H1102" s="271" t="n"/>
      <c r="I1102" s="275">
        <f>IF(COUNTA(A1102:F1102)=0,"",IF(OR(E1102&lt;0,F1102&lt;0,F1102&gt;10),"ERRO: valores inválidos",IF(COUNTIFS($A$5:$A$1200,A1102,$B$5:$B$1200,B1102,$C$5:$C$1200,C1102,$D$5:$D$1200,D1102)&gt;1,"ERRO: chave duplicada","OK")))</f>
        <v/>
      </c>
    </row>
    <row r="1103" ht="15" customHeight="1" s="131">
      <c r="A1103" s="320" t="n"/>
      <c r="B1103" s="323" t="n"/>
      <c r="C1103" s="320" t="n"/>
      <c r="D1103" s="326" t="n"/>
      <c r="E1103" s="324" t="n"/>
      <c r="F1103" s="320" t="n"/>
      <c r="G1103" s="327" t="n"/>
      <c r="H1103" s="271" t="n"/>
      <c r="I1103" s="275">
        <f>IF(COUNTA(A1103:F1103)=0,"",IF(OR(E1103&lt;0,F1103&lt;0,F1103&gt;10),"ERRO: valores inválidos",IF(COUNTIFS($A$5:$A$1200,A1103,$B$5:$B$1200,B1103,$C$5:$C$1200,C1103,$D$5:$D$1200,D1103)&gt;1,"ERRO: chave duplicada","OK")))</f>
        <v/>
      </c>
    </row>
    <row r="1104" ht="15" customHeight="1" s="131">
      <c r="A1104" s="320" t="n"/>
      <c r="B1104" s="323" t="n"/>
      <c r="C1104" s="320" t="n"/>
      <c r="D1104" s="326" t="n"/>
      <c r="E1104" s="324" t="n"/>
      <c r="F1104" s="320" t="n"/>
      <c r="G1104" s="327" t="n"/>
      <c r="H1104" s="271" t="n"/>
      <c r="I1104" s="275">
        <f>IF(COUNTA(A1104:F1104)=0,"",IF(OR(E1104&lt;0,F1104&lt;0,F1104&gt;10),"ERRO: valores inválidos",IF(COUNTIFS($A$5:$A$1200,A1104,$B$5:$B$1200,B1104,$C$5:$C$1200,C1104,$D$5:$D$1200,D1104)&gt;1,"ERRO: chave duplicada","OK")))</f>
        <v/>
      </c>
    </row>
    <row r="1105" ht="15" customHeight="1" s="131">
      <c r="A1105" s="320" t="n"/>
      <c r="B1105" s="323" t="n"/>
      <c r="C1105" s="320" t="n"/>
      <c r="D1105" s="326" t="n"/>
      <c r="E1105" s="324" t="n"/>
      <c r="F1105" s="320" t="n"/>
      <c r="G1105" s="327" t="n"/>
      <c r="H1105" s="271" t="n"/>
      <c r="I1105" s="275">
        <f>IF(COUNTA(A1105:F1105)=0,"",IF(OR(E1105&lt;0,F1105&lt;0,F1105&gt;10),"ERRO: valores inválidos",IF(COUNTIFS($A$5:$A$1200,A1105,$B$5:$B$1200,B1105,$C$5:$C$1200,C1105,$D$5:$D$1200,D1105)&gt;1,"ERRO: chave duplicada","OK")))</f>
        <v/>
      </c>
    </row>
    <row r="1106" ht="15" customHeight="1" s="131">
      <c r="A1106" s="320" t="n"/>
      <c r="B1106" s="323" t="n"/>
      <c r="C1106" s="320" t="n"/>
      <c r="D1106" s="326" t="n"/>
      <c r="E1106" s="324" t="n"/>
      <c r="F1106" s="320" t="n"/>
      <c r="G1106" s="327" t="n"/>
      <c r="H1106" s="271" t="n"/>
      <c r="I1106" s="275">
        <f>IF(COUNTA(A1106:F1106)=0,"",IF(OR(E1106&lt;0,F1106&lt;0,F1106&gt;10),"ERRO: valores inválidos",IF(COUNTIFS($A$5:$A$1200,A1106,$B$5:$B$1200,B1106,$C$5:$C$1200,C1106,$D$5:$D$1200,D1106)&gt;1,"ERRO: chave duplicada","OK")))</f>
        <v/>
      </c>
    </row>
    <row r="1107" ht="15" customHeight="1" s="131">
      <c r="A1107" s="320" t="n"/>
      <c r="B1107" s="323" t="n"/>
      <c r="C1107" s="320" t="n"/>
      <c r="D1107" s="326" t="n"/>
      <c r="E1107" s="324" t="n"/>
      <c r="F1107" s="320" t="n"/>
      <c r="G1107" s="327" t="n"/>
      <c r="H1107" s="271" t="n"/>
      <c r="I1107" s="275">
        <f>IF(COUNTA(A1107:F1107)=0,"",IF(OR(E1107&lt;0,F1107&lt;0,F1107&gt;10),"ERRO: valores inválidos",IF(COUNTIFS($A$5:$A$1200,A1107,$B$5:$B$1200,B1107,$C$5:$C$1200,C1107,$D$5:$D$1200,D1107)&gt;1,"ERRO: chave duplicada","OK")))</f>
        <v/>
      </c>
    </row>
    <row r="1108" ht="15" customHeight="1" s="131">
      <c r="A1108" s="320" t="n"/>
      <c r="B1108" s="323" t="n"/>
      <c r="C1108" s="320" t="n"/>
      <c r="D1108" s="326" t="n"/>
      <c r="E1108" s="324" t="n"/>
      <c r="F1108" s="320" t="n"/>
      <c r="G1108" s="327" t="n"/>
      <c r="H1108" s="271" t="n"/>
      <c r="I1108" s="275">
        <f>IF(COUNTA(A1108:F1108)=0,"",IF(OR(E1108&lt;0,F1108&lt;0,F1108&gt;10),"ERRO: valores inválidos",IF(COUNTIFS($A$5:$A$1200,A1108,$B$5:$B$1200,B1108,$C$5:$C$1200,C1108,$D$5:$D$1200,D1108)&gt;1,"ERRO: chave duplicada","OK")))</f>
        <v/>
      </c>
    </row>
    <row r="1109" ht="15" customHeight="1" s="131">
      <c r="A1109" s="320" t="n"/>
      <c r="B1109" s="323" t="n"/>
      <c r="C1109" s="320" t="n"/>
      <c r="D1109" s="326" t="n"/>
      <c r="E1109" s="324" t="n"/>
      <c r="F1109" s="320" t="n"/>
      <c r="G1109" s="327" t="n"/>
      <c r="H1109" s="271" t="n"/>
      <c r="I1109" s="275">
        <f>IF(COUNTA(A1109:F1109)=0,"",IF(OR(E1109&lt;0,F1109&lt;0,F1109&gt;10),"ERRO: valores inválidos",IF(COUNTIFS($A$5:$A$1200,A1109,$B$5:$B$1200,B1109,$C$5:$C$1200,C1109,$D$5:$D$1200,D1109)&gt;1,"ERRO: chave duplicada","OK")))</f>
        <v/>
      </c>
    </row>
    <row r="1110" ht="15" customHeight="1" s="131">
      <c r="A1110" s="320" t="n"/>
      <c r="B1110" s="323" t="n"/>
      <c r="C1110" s="320" t="n"/>
      <c r="D1110" s="326" t="n"/>
      <c r="E1110" s="324" t="n"/>
      <c r="F1110" s="320" t="n"/>
      <c r="G1110" s="327" t="n"/>
      <c r="H1110" s="271" t="n"/>
      <c r="I1110" s="275">
        <f>IF(COUNTA(A1110:F1110)=0,"",IF(OR(E1110&lt;0,F1110&lt;0,F1110&gt;10),"ERRO: valores inválidos",IF(COUNTIFS($A$5:$A$1200,A1110,$B$5:$B$1200,B1110,$C$5:$C$1200,C1110,$D$5:$D$1200,D1110)&gt;1,"ERRO: chave duplicada","OK")))</f>
        <v/>
      </c>
    </row>
    <row r="1111" ht="15" customHeight="1" s="131">
      <c r="A1111" s="320" t="n"/>
      <c r="B1111" s="323" t="n"/>
      <c r="C1111" s="320" t="n"/>
      <c r="D1111" s="326" t="n"/>
      <c r="E1111" s="324" t="n"/>
      <c r="F1111" s="320" t="n"/>
      <c r="G1111" s="327" t="n"/>
      <c r="H1111" s="271" t="n"/>
      <c r="I1111" s="275">
        <f>IF(COUNTA(A1111:F1111)=0,"",IF(OR(E1111&lt;0,F1111&lt;0,F1111&gt;10),"ERRO: valores inválidos",IF(COUNTIFS($A$5:$A$1200,A1111,$B$5:$B$1200,B1111,$C$5:$C$1200,C1111,$D$5:$D$1200,D1111)&gt;1,"ERRO: chave duplicada","OK")))</f>
        <v/>
      </c>
    </row>
    <row r="1112" ht="15" customHeight="1" s="131">
      <c r="A1112" s="320" t="n"/>
      <c r="B1112" s="323" t="n"/>
      <c r="C1112" s="320" t="n"/>
      <c r="D1112" s="326" t="n"/>
      <c r="E1112" s="324" t="n"/>
      <c r="F1112" s="320" t="n"/>
      <c r="G1112" s="327" t="n"/>
      <c r="H1112" s="271" t="n"/>
      <c r="I1112" s="275">
        <f>IF(COUNTA(A1112:F1112)=0,"",IF(OR(E1112&lt;0,F1112&lt;0,F1112&gt;10),"ERRO: valores inválidos",IF(COUNTIFS($A$5:$A$1200,A1112,$B$5:$B$1200,B1112,$C$5:$C$1200,C1112,$D$5:$D$1200,D1112)&gt;1,"ERRO: chave duplicada","OK")))</f>
        <v/>
      </c>
    </row>
    <row r="1113" ht="15" customHeight="1" s="131">
      <c r="A1113" s="320" t="n"/>
      <c r="B1113" s="323" t="n"/>
      <c r="C1113" s="320" t="n"/>
      <c r="D1113" s="326" t="n"/>
      <c r="E1113" s="324" t="n"/>
      <c r="F1113" s="320" t="n"/>
      <c r="G1113" s="327" t="n"/>
      <c r="H1113" s="271" t="n"/>
      <c r="I1113" s="275">
        <f>IF(COUNTA(A1113:F1113)=0,"",IF(OR(E1113&lt;0,F1113&lt;0,F1113&gt;10),"ERRO: valores inválidos",IF(COUNTIFS($A$5:$A$1200,A1113,$B$5:$B$1200,B1113,$C$5:$C$1200,C1113,$D$5:$D$1200,D1113)&gt;1,"ERRO: chave duplicada","OK")))</f>
        <v/>
      </c>
    </row>
    <row r="1114" ht="15" customHeight="1" s="131">
      <c r="A1114" s="320" t="n"/>
      <c r="B1114" s="323" t="n"/>
      <c r="C1114" s="320" t="n"/>
      <c r="D1114" s="326" t="n"/>
      <c r="E1114" s="324" t="n"/>
      <c r="F1114" s="320" t="n"/>
      <c r="G1114" s="327" t="n"/>
      <c r="H1114" s="271" t="n"/>
      <c r="I1114" s="275">
        <f>IF(COUNTA(A1114:F1114)=0,"",IF(OR(E1114&lt;0,F1114&lt;0,F1114&gt;10),"ERRO: valores inválidos",IF(COUNTIFS($A$5:$A$1200,A1114,$B$5:$B$1200,B1114,$C$5:$C$1200,C1114,$D$5:$D$1200,D1114)&gt;1,"ERRO: chave duplicada","OK")))</f>
        <v/>
      </c>
    </row>
    <row r="1115" ht="15" customHeight="1" s="131">
      <c r="A1115" s="320" t="n"/>
      <c r="B1115" s="323" t="n"/>
      <c r="C1115" s="320" t="n"/>
      <c r="D1115" s="326" t="n"/>
      <c r="E1115" s="324" t="n"/>
      <c r="F1115" s="320" t="n"/>
      <c r="G1115" s="327" t="n"/>
      <c r="H1115" s="271" t="n"/>
      <c r="I1115" s="275">
        <f>IF(COUNTA(A1115:F1115)=0,"",IF(OR(E1115&lt;0,F1115&lt;0,F1115&gt;10),"ERRO: valores inválidos",IF(COUNTIFS($A$5:$A$1200,A1115,$B$5:$B$1200,B1115,$C$5:$C$1200,C1115,$D$5:$D$1200,D1115)&gt;1,"ERRO: chave duplicada","OK")))</f>
        <v/>
      </c>
    </row>
    <row r="1116" ht="15" customHeight="1" s="131">
      <c r="A1116" s="320" t="n"/>
      <c r="B1116" s="323" t="n"/>
      <c r="C1116" s="320" t="n"/>
      <c r="D1116" s="326" t="n"/>
      <c r="E1116" s="324" t="n"/>
      <c r="F1116" s="320" t="n"/>
      <c r="G1116" s="327" t="n"/>
      <c r="H1116" s="271" t="n"/>
      <c r="I1116" s="275">
        <f>IF(COUNTA(A1116:F1116)=0,"",IF(OR(E1116&lt;0,F1116&lt;0,F1116&gt;10),"ERRO: valores inválidos",IF(COUNTIFS($A$5:$A$1200,A1116,$B$5:$B$1200,B1116,$C$5:$C$1200,C1116,$D$5:$D$1200,D1116)&gt;1,"ERRO: chave duplicada","OK")))</f>
        <v/>
      </c>
    </row>
    <row r="1117" ht="15" customHeight="1" s="131">
      <c r="A1117" s="320" t="n"/>
      <c r="B1117" s="323" t="n"/>
      <c r="C1117" s="320" t="n"/>
      <c r="D1117" s="326" t="n"/>
      <c r="E1117" s="324" t="n"/>
      <c r="F1117" s="320" t="n"/>
      <c r="G1117" s="327" t="n"/>
      <c r="H1117" s="271" t="n"/>
      <c r="I1117" s="275">
        <f>IF(COUNTA(A1117:F1117)=0,"",IF(OR(E1117&lt;0,F1117&lt;0,F1117&gt;10),"ERRO: valores inválidos",IF(COUNTIFS($A$5:$A$1200,A1117,$B$5:$B$1200,B1117,$C$5:$C$1200,C1117,$D$5:$D$1200,D1117)&gt;1,"ERRO: chave duplicada","OK")))</f>
        <v/>
      </c>
    </row>
    <row r="1118" ht="15" customHeight="1" s="131">
      <c r="A1118" s="320" t="n"/>
      <c r="B1118" s="323" t="n"/>
      <c r="C1118" s="320" t="n"/>
      <c r="D1118" s="326" t="n"/>
      <c r="E1118" s="324" t="n"/>
      <c r="F1118" s="320" t="n"/>
      <c r="G1118" s="327" t="n"/>
      <c r="H1118" s="271" t="n"/>
      <c r="I1118" s="275">
        <f>IF(COUNTA(A1118:F1118)=0,"",IF(OR(E1118&lt;0,F1118&lt;0,F1118&gt;10),"ERRO: valores inválidos",IF(COUNTIFS($A$5:$A$1200,A1118,$B$5:$B$1200,B1118,$C$5:$C$1200,C1118,$D$5:$D$1200,D1118)&gt;1,"ERRO: chave duplicada","OK")))</f>
        <v/>
      </c>
    </row>
    <row r="1119" ht="15" customHeight="1" s="131">
      <c r="A1119" s="320" t="n"/>
      <c r="B1119" s="323" t="n"/>
      <c r="C1119" s="320" t="n"/>
      <c r="D1119" s="326" t="n"/>
      <c r="E1119" s="324" t="n"/>
      <c r="F1119" s="320" t="n"/>
      <c r="G1119" s="327" t="n"/>
      <c r="H1119" s="271" t="n"/>
      <c r="I1119" s="275">
        <f>IF(COUNTA(A1119:F1119)=0,"",IF(OR(E1119&lt;0,F1119&lt;0,F1119&gt;10),"ERRO: valores inválidos",IF(COUNTIFS($A$5:$A$1200,A1119,$B$5:$B$1200,B1119,$C$5:$C$1200,C1119,$D$5:$D$1200,D1119)&gt;1,"ERRO: chave duplicada","OK")))</f>
        <v/>
      </c>
    </row>
    <row r="1120" ht="15" customHeight="1" s="131">
      <c r="A1120" s="320" t="n"/>
      <c r="B1120" s="323" t="n"/>
      <c r="C1120" s="320" t="n"/>
      <c r="D1120" s="326" t="n"/>
      <c r="E1120" s="324" t="n"/>
      <c r="F1120" s="320" t="n"/>
      <c r="G1120" s="327" t="n"/>
      <c r="H1120" s="271" t="n"/>
      <c r="I1120" s="275">
        <f>IF(COUNTA(A1120:F1120)=0,"",IF(OR(E1120&lt;0,F1120&lt;0,F1120&gt;10),"ERRO: valores inválidos",IF(COUNTIFS($A$5:$A$1200,A1120,$B$5:$B$1200,B1120,$C$5:$C$1200,C1120,$D$5:$D$1200,D1120)&gt;1,"ERRO: chave duplicada","OK")))</f>
        <v/>
      </c>
    </row>
    <row r="1121" ht="15" customHeight="1" s="131">
      <c r="A1121" s="320" t="n"/>
      <c r="B1121" s="323" t="n"/>
      <c r="C1121" s="320" t="n"/>
      <c r="D1121" s="326" t="n"/>
      <c r="E1121" s="324" t="n"/>
      <c r="F1121" s="320" t="n"/>
      <c r="G1121" s="327" t="n"/>
      <c r="H1121" s="271" t="n"/>
      <c r="I1121" s="275">
        <f>IF(COUNTA(A1121:F1121)=0,"",IF(OR(E1121&lt;0,F1121&lt;0,F1121&gt;10),"ERRO: valores inválidos",IF(COUNTIFS($A$5:$A$1200,A1121,$B$5:$B$1200,B1121,$C$5:$C$1200,C1121,$D$5:$D$1200,D1121)&gt;1,"ERRO: chave duplicada","OK")))</f>
        <v/>
      </c>
    </row>
    <row r="1122" ht="15" customHeight="1" s="131">
      <c r="A1122" s="320" t="n"/>
      <c r="B1122" s="323" t="n"/>
      <c r="C1122" s="320" t="n"/>
      <c r="D1122" s="326" t="n"/>
      <c r="E1122" s="324" t="n"/>
      <c r="F1122" s="320" t="n"/>
      <c r="G1122" s="327" t="n"/>
      <c r="H1122" s="271" t="n"/>
      <c r="I1122" s="275">
        <f>IF(COUNTA(A1122:F1122)=0,"",IF(OR(E1122&lt;0,F1122&lt;0,F1122&gt;10),"ERRO: valores inválidos",IF(COUNTIFS($A$5:$A$1200,A1122,$B$5:$B$1200,B1122,$C$5:$C$1200,C1122,$D$5:$D$1200,D1122)&gt;1,"ERRO: chave duplicada","OK")))</f>
        <v/>
      </c>
    </row>
    <row r="1123" ht="15" customHeight="1" s="131">
      <c r="A1123" s="320" t="n"/>
      <c r="B1123" s="323" t="n"/>
      <c r="C1123" s="320" t="n"/>
      <c r="D1123" s="326" t="n"/>
      <c r="E1123" s="324" t="n"/>
      <c r="F1123" s="320" t="n"/>
      <c r="G1123" s="327" t="n"/>
      <c r="H1123" s="271" t="n"/>
      <c r="I1123" s="275">
        <f>IF(COUNTA(A1123:F1123)=0,"",IF(OR(E1123&lt;0,F1123&lt;0,F1123&gt;10),"ERRO: valores inválidos",IF(COUNTIFS($A$5:$A$1200,A1123,$B$5:$B$1200,B1123,$C$5:$C$1200,C1123,$D$5:$D$1200,D1123)&gt;1,"ERRO: chave duplicada","OK")))</f>
        <v/>
      </c>
    </row>
    <row r="1124" ht="15" customHeight="1" s="131">
      <c r="A1124" s="320" t="n"/>
      <c r="B1124" s="323" t="n"/>
      <c r="C1124" s="320" t="n"/>
      <c r="D1124" s="326" t="n"/>
      <c r="E1124" s="324" t="n"/>
      <c r="F1124" s="320" t="n"/>
      <c r="G1124" s="327" t="n"/>
      <c r="H1124" s="271" t="n"/>
      <c r="I1124" s="275">
        <f>IF(COUNTA(A1124:F1124)=0,"",IF(OR(E1124&lt;0,F1124&lt;0,F1124&gt;10),"ERRO: valores inválidos",IF(COUNTIFS($A$5:$A$1200,A1124,$B$5:$B$1200,B1124,$C$5:$C$1200,C1124,$D$5:$D$1200,D1124)&gt;1,"ERRO: chave duplicada","OK")))</f>
        <v/>
      </c>
    </row>
    <row r="1125" ht="15" customHeight="1" s="131">
      <c r="A1125" s="320" t="n"/>
      <c r="B1125" s="323" t="n"/>
      <c r="C1125" s="320" t="n"/>
      <c r="D1125" s="326" t="n"/>
      <c r="E1125" s="324" t="n"/>
      <c r="F1125" s="320" t="n"/>
      <c r="G1125" s="327" t="n"/>
      <c r="H1125" s="271" t="n"/>
      <c r="I1125" s="275">
        <f>IF(COUNTA(A1125:F1125)=0,"",IF(OR(E1125&lt;0,F1125&lt;0,F1125&gt;10),"ERRO: valores inválidos",IF(COUNTIFS($A$5:$A$1200,A1125,$B$5:$B$1200,B1125,$C$5:$C$1200,C1125,$D$5:$D$1200,D1125)&gt;1,"ERRO: chave duplicada","OK")))</f>
        <v/>
      </c>
    </row>
    <row r="1126" ht="15" customHeight="1" s="131">
      <c r="A1126" s="320" t="n"/>
      <c r="B1126" s="323" t="n"/>
      <c r="C1126" s="320" t="n"/>
      <c r="D1126" s="326" t="n"/>
      <c r="E1126" s="324" t="n"/>
      <c r="F1126" s="320" t="n"/>
      <c r="G1126" s="327" t="n"/>
      <c r="H1126" s="271" t="n"/>
      <c r="I1126" s="275">
        <f>IF(COUNTA(A1126:F1126)=0,"",IF(OR(E1126&lt;0,F1126&lt;0,F1126&gt;10),"ERRO: valores inválidos",IF(COUNTIFS($A$5:$A$1200,A1126,$B$5:$B$1200,B1126,$C$5:$C$1200,C1126,$D$5:$D$1200,D1126)&gt;1,"ERRO: chave duplicada","OK")))</f>
        <v/>
      </c>
    </row>
    <row r="1127" ht="15" customHeight="1" s="131">
      <c r="A1127" s="320" t="n"/>
      <c r="B1127" s="323" t="n"/>
      <c r="C1127" s="320" t="n"/>
      <c r="D1127" s="326" t="n"/>
      <c r="E1127" s="324" t="n"/>
      <c r="F1127" s="320" t="n"/>
      <c r="G1127" s="327" t="n"/>
      <c r="H1127" s="271" t="n"/>
      <c r="I1127" s="275">
        <f>IF(COUNTA(A1127:F1127)=0,"",IF(OR(E1127&lt;0,F1127&lt;0,F1127&gt;10),"ERRO: valores inválidos",IF(COUNTIFS($A$5:$A$1200,A1127,$B$5:$B$1200,B1127,$C$5:$C$1200,C1127,$D$5:$D$1200,D1127)&gt;1,"ERRO: chave duplicada","OK")))</f>
        <v/>
      </c>
    </row>
    <row r="1128" ht="15" customHeight="1" s="131">
      <c r="A1128" s="320" t="n"/>
      <c r="B1128" s="323" t="n"/>
      <c r="C1128" s="320" t="n"/>
      <c r="D1128" s="326" t="n"/>
      <c r="E1128" s="324" t="n"/>
      <c r="F1128" s="320" t="n"/>
      <c r="G1128" s="327" t="n"/>
      <c r="H1128" s="271" t="n"/>
      <c r="I1128" s="275">
        <f>IF(COUNTA(A1128:F1128)=0,"",IF(OR(E1128&lt;0,F1128&lt;0,F1128&gt;10),"ERRO: valores inválidos",IF(COUNTIFS($A$5:$A$1200,A1128,$B$5:$B$1200,B1128,$C$5:$C$1200,C1128,$D$5:$D$1200,D1128)&gt;1,"ERRO: chave duplicada","OK")))</f>
        <v/>
      </c>
    </row>
    <row r="1129" ht="15" customHeight="1" s="131">
      <c r="A1129" s="320" t="n"/>
      <c r="B1129" s="323" t="n"/>
      <c r="C1129" s="320" t="n"/>
      <c r="D1129" s="326" t="n"/>
      <c r="E1129" s="324" t="n"/>
      <c r="F1129" s="320" t="n"/>
      <c r="G1129" s="327" t="n"/>
      <c r="H1129" s="271" t="n"/>
      <c r="I1129" s="275">
        <f>IF(COUNTA(A1129:F1129)=0,"",IF(OR(E1129&lt;0,F1129&lt;0,F1129&gt;10),"ERRO: valores inválidos",IF(COUNTIFS($A$5:$A$1200,A1129,$B$5:$B$1200,B1129,$C$5:$C$1200,C1129,$D$5:$D$1200,D1129)&gt;1,"ERRO: chave duplicada","OK")))</f>
        <v/>
      </c>
    </row>
    <row r="1130" ht="15" customHeight="1" s="131">
      <c r="A1130" s="320" t="n"/>
      <c r="B1130" s="323" t="n"/>
      <c r="C1130" s="320" t="n"/>
      <c r="D1130" s="326" t="n"/>
      <c r="E1130" s="324" t="n"/>
      <c r="F1130" s="320" t="n"/>
      <c r="G1130" s="327" t="n"/>
      <c r="H1130" s="271" t="n"/>
      <c r="I1130" s="275">
        <f>IF(COUNTA(A1130:F1130)=0,"",IF(OR(E1130&lt;0,F1130&lt;0,F1130&gt;10),"ERRO: valores inválidos",IF(COUNTIFS($A$5:$A$1200,A1130,$B$5:$B$1200,B1130,$C$5:$C$1200,C1130,$D$5:$D$1200,D1130)&gt;1,"ERRO: chave duplicada","OK")))</f>
        <v/>
      </c>
    </row>
    <row r="1131" ht="15" customHeight="1" s="131">
      <c r="A1131" s="320" t="n"/>
      <c r="B1131" s="323" t="n"/>
      <c r="C1131" s="320" t="n"/>
      <c r="D1131" s="326" t="n"/>
      <c r="E1131" s="324" t="n"/>
      <c r="F1131" s="320" t="n"/>
      <c r="G1131" s="327" t="n"/>
      <c r="H1131" s="271" t="n"/>
      <c r="I1131" s="275">
        <f>IF(COUNTA(A1131:F1131)=0,"",IF(OR(E1131&lt;0,F1131&lt;0,F1131&gt;10),"ERRO: valores inválidos",IF(COUNTIFS($A$5:$A$1200,A1131,$B$5:$B$1200,B1131,$C$5:$C$1200,C1131,$D$5:$D$1200,D1131)&gt;1,"ERRO: chave duplicada","OK")))</f>
        <v/>
      </c>
    </row>
    <row r="1132" ht="15" customHeight="1" s="131">
      <c r="A1132" s="320" t="n"/>
      <c r="B1132" s="323" t="n"/>
      <c r="C1132" s="320" t="n"/>
      <c r="D1132" s="326" t="n"/>
      <c r="E1132" s="324" t="n"/>
      <c r="F1132" s="320" t="n"/>
      <c r="G1132" s="327" t="n"/>
      <c r="H1132" s="271" t="n"/>
      <c r="I1132" s="275">
        <f>IF(COUNTA(A1132:F1132)=0,"",IF(OR(E1132&lt;0,F1132&lt;0,F1132&gt;10),"ERRO: valores inválidos",IF(COUNTIFS($A$5:$A$1200,A1132,$B$5:$B$1200,B1132,$C$5:$C$1200,C1132,$D$5:$D$1200,D1132)&gt;1,"ERRO: chave duplicada","OK")))</f>
        <v/>
      </c>
    </row>
    <row r="1133" ht="15" customHeight="1" s="131">
      <c r="A1133" s="320" t="n"/>
      <c r="B1133" s="323" t="n"/>
      <c r="C1133" s="320" t="n"/>
      <c r="D1133" s="326" t="n"/>
      <c r="E1133" s="324" t="n"/>
      <c r="F1133" s="320" t="n"/>
      <c r="G1133" s="327" t="n"/>
      <c r="H1133" s="271" t="n"/>
      <c r="I1133" s="275">
        <f>IF(COUNTA(A1133:F1133)=0,"",IF(OR(E1133&lt;0,F1133&lt;0,F1133&gt;10),"ERRO: valores inválidos",IF(COUNTIFS($A$5:$A$1200,A1133,$B$5:$B$1200,B1133,$C$5:$C$1200,C1133,$D$5:$D$1200,D1133)&gt;1,"ERRO: chave duplicada","OK")))</f>
        <v/>
      </c>
    </row>
    <row r="1134" ht="15" customHeight="1" s="131">
      <c r="A1134" s="320" t="n"/>
      <c r="B1134" s="323" t="n"/>
      <c r="C1134" s="320" t="n"/>
      <c r="D1134" s="326" t="n"/>
      <c r="E1134" s="324" t="n"/>
      <c r="F1134" s="320" t="n"/>
      <c r="G1134" s="327" t="n"/>
      <c r="H1134" s="271" t="n"/>
      <c r="I1134" s="275">
        <f>IF(COUNTA(A1134:F1134)=0,"",IF(OR(E1134&lt;0,F1134&lt;0,F1134&gt;10),"ERRO: valores inválidos",IF(COUNTIFS($A$5:$A$1200,A1134,$B$5:$B$1200,B1134,$C$5:$C$1200,C1134,$D$5:$D$1200,D1134)&gt;1,"ERRO: chave duplicada","OK")))</f>
        <v/>
      </c>
    </row>
    <row r="1135" ht="15" customHeight="1" s="131">
      <c r="A1135" s="320" t="n"/>
      <c r="B1135" s="323" t="n"/>
      <c r="C1135" s="320" t="n"/>
      <c r="D1135" s="326" t="n"/>
      <c r="E1135" s="324" t="n"/>
      <c r="F1135" s="320" t="n"/>
      <c r="G1135" s="327" t="n"/>
      <c r="H1135" s="271" t="n"/>
      <c r="I1135" s="275">
        <f>IF(COUNTA(A1135:F1135)=0,"",IF(OR(E1135&lt;0,F1135&lt;0,F1135&gt;10),"ERRO: valores inválidos",IF(COUNTIFS($A$5:$A$1200,A1135,$B$5:$B$1200,B1135,$C$5:$C$1200,C1135,$D$5:$D$1200,D1135)&gt;1,"ERRO: chave duplicada","OK")))</f>
        <v/>
      </c>
    </row>
    <row r="1136" ht="15" customHeight="1" s="131">
      <c r="A1136" s="320" t="n"/>
      <c r="B1136" s="323" t="n"/>
      <c r="C1136" s="320" t="n"/>
      <c r="D1136" s="326" t="n"/>
      <c r="E1136" s="324" t="n"/>
      <c r="F1136" s="320" t="n"/>
      <c r="G1136" s="327" t="n"/>
      <c r="H1136" s="271" t="n"/>
      <c r="I1136" s="275">
        <f>IF(COUNTA(A1136:F1136)=0,"",IF(OR(E1136&lt;0,F1136&lt;0,F1136&gt;10),"ERRO: valores inválidos",IF(COUNTIFS($A$5:$A$1200,A1136,$B$5:$B$1200,B1136,$C$5:$C$1200,C1136,$D$5:$D$1200,D1136)&gt;1,"ERRO: chave duplicada","OK")))</f>
        <v/>
      </c>
    </row>
    <row r="1137" ht="15" customHeight="1" s="131">
      <c r="A1137" s="320" t="n"/>
      <c r="B1137" s="323" t="n"/>
      <c r="C1137" s="320" t="n"/>
      <c r="D1137" s="326" t="n"/>
      <c r="E1137" s="324" t="n"/>
      <c r="F1137" s="320" t="n"/>
      <c r="G1137" s="327" t="n"/>
      <c r="H1137" s="271" t="n"/>
      <c r="I1137" s="275">
        <f>IF(COUNTA(A1137:F1137)=0,"",IF(OR(E1137&lt;0,F1137&lt;0,F1137&gt;10),"ERRO: valores inválidos",IF(COUNTIFS($A$5:$A$1200,A1137,$B$5:$B$1200,B1137,$C$5:$C$1200,C1137,$D$5:$D$1200,D1137)&gt;1,"ERRO: chave duplicada","OK")))</f>
        <v/>
      </c>
    </row>
    <row r="1138" ht="15" customHeight="1" s="131">
      <c r="A1138" s="320" t="n"/>
      <c r="B1138" s="323" t="n"/>
      <c r="C1138" s="320" t="n"/>
      <c r="D1138" s="326" t="n"/>
      <c r="E1138" s="324" t="n"/>
      <c r="F1138" s="320" t="n"/>
      <c r="G1138" s="327" t="n"/>
      <c r="H1138" s="271" t="n"/>
      <c r="I1138" s="275">
        <f>IF(COUNTA(A1138:F1138)=0,"",IF(OR(E1138&lt;0,F1138&lt;0,F1138&gt;10),"ERRO: valores inválidos",IF(COUNTIFS($A$5:$A$1200,A1138,$B$5:$B$1200,B1138,$C$5:$C$1200,C1138,$D$5:$D$1200,D1138)&gt;1,"ERRO: chave duplicada","OK")))</f>
        <v/>
      </c>
    </row>
    <row r="1139" ht="15" customHeight="1" s="131">
      <c r="A1139" s="320" t="n"/>
      <c r="B1139" s="323" t="n"/>
      <c r="C1139" s="320" t="n"/>
      <c r="D1139" s="326" t="n"/>
      <c r="E1139" s="324" t="n"/>
      <c r="F1139" s="320" t="n"/>
      <c r="G1139" s="327" t="n"/>
      <c r="H1139" s="271" t="n"/>
      <c r="I1139" s="275">
        <f>IF(COUNTA(A1139:F1139)=0,"",IF(OR(E1139&lt;0,F1139&lt;0,F1139&gt;10),"ERRO: valores inválidos",IF(COUNTIFS($A$5:$A$1200,A1139,$B$5:$B$1200,B1139,$C$5:$C$1200,C1139,$D$5:$D$1200,D1139)&gt;1,"ERRO: chave duplicada","OK")))</f>
        <v/>
      </c>
    </row>
    <row r="1140" ht="15" customHeight="1" s="131">
      <c r="A1140" s="320" t="n"/>
      <c r="B1140" s="323" t="n"/>
      <c r="C1140" s="320" t="n"/>
      <c r="D1140" s="326" t="n"/>
      <c r="E1140" s="324" t="n"/>
      <c r="F1140" s="320" t="n"/>
      <c r="G1140" s="327" t="n"/>
      <c r="H1140" s="271" t="n"/>
      <c r="I1140" s="275">
        <f>IF(COUNTA(A1140:F1140)=0,"",IF(OR(E1140&lt;0,F1140&lt;0,F1140&gt;10),"ERRO: valores inválidos",IF(COUNTIFS($A$5:$A$1200,A1140,$B$5:$B$1200,B1140,$C$5:$C$1200,C1140,$D$5:$D$1200,D1140)&gt;1,"ERRO: chave duplicada","OK")))</f>
        <v/>
      </c>
    </row>
    <row r="1141" ht="15" customHeight="1" s="131">
      <c r="A1141" s="320" t="n"/>
      <c r="B1141" s="323" t="n"/>
      <c r="C1141" s="320" t="n"/>
      <c r="D1141" s="326" t="n"/>
      <c r="E1141" s="324" t="n"/>
      <c r="F1141" s="320" t="n"/>
      <c r="G1141" s="327" t="n"/>
      <c r="H1141" s="271" t="n"/>
      <c r="I1141" s="275">
        <f>IF(COUNTA(A1141:F1141)=0,"",IF(OR(E1141&lt;0,F1141&lt;0,F1141&gt;10),"ERRO: valores inválidos",IF(COUNTIFS($A$5:$A$1200,A1141,$B$5:$B$1200,B1141,$C$5:$C$1200,C1141,$D$5:$D$1200,D1141)&gt;1,"ERRO: chave duplicada","OK")))</f>
        <v/>
      </c>
    </row>
    <row r="1142" ht="15" customHeight="1" s="131">
      <c r="A1142" s="320" t="n"/>
      <c r="B1142" s="323" t="n"/>
      <c r="C1142" s="320" t="n"/>
      <c r="D1142" s="326" t="n"/>
      <c r="E1142" s="324" t="n"/>
      <c r="F1142" s="320" t="n"/>
      <c r="G1142" s="327" t="n"/>
      <c r="H1142" s="271" t="n"/>
      <c r="I1142" s="275">
        <f>IF(COUNTA(A1142:F1142)=0,"",IF(OR(E1142&lt;0,F1142&lt;0,F1142&gt;10),"ERRO: valores inválidos",IF(COUNTIFS($A$5:$A$1200,A1142,$B$5:$B$1200,B1142,$C$5:$C$1200,C1142,$D$5:$D$1200,D1142)&gt;1,"ERRO: chave duplicada","OK")))</f>
        <v/>
      </c>
    </row>
    <row r="1143" ht="15" customHeight="1" s="131">
      <c r="A1143" s="320" t="n"/>
      <c r="B1143" s="323" t="n"/>
      <c r="C1143" s="320" t="n"/>
      <c r="D1143" s="326" t="n"/>
      <c r="E1143" s="324" t="n"/>
      <c r="F1143" s="320" t="n"/>
      <c r="G1143" s="327" t="n"/>
      <c r="H1143" s="271" t="n"/>
      <c r="I1143" s="275">
        <f>IF(COUNTA(A1143:F1143)=0,"",IF(OR(E1143&lt;0,F1143&lt;0,F1143&gt;10),"ERRO: valores inválidos",IF(COUNTIFS($A$5:$A$1200,A1143,$B$5:$B$1200,B1143,$C$5:$C$1200,C1143,$D$5:$D$1200,D1143)&gt;1,"ERRO: chave duplicada","OK")))</f>
        <v/>
      </c>
    </row>
    <row r="1144" ht="15" customHeight="1" s="131">
      <c r="A1144" s="320" t="n"/>
      <c r="B1144" s="323" t="n"/>
      <c r="C1144" s="320" t="n"/>
      <c r="D1144" s="326" t="n"/>
      <c r="E1144" s="324" t="n"/>
      <c r="F1144" s="320" t="n"/>
      <c r="G1144" s="327" t="n"/>
      <c r="H1144" s="271" t="n"/>
      <c r="I1144" s="275">
        <f>IF(COUNTA(A1144:F1144)=0,"",IF(OR(E1144&lt;0,F1144&lt;0,F1144&gt;10),"ERRO: valores inválidos",IF(COUNTIFS($A$5:$A$1200,A1144,$B$5:$B$1200,B1144,$C$5:$C$1200,C1144,$D$5:$D$1200,D1144)&gt;1,"ERRO: chave duplicada","OK")))</f>
        <v/>
      </c>
    </row>
    <row r="1145" ht="15" customHeight="1" s="131">
      <c r="A1145" s="320" t="n"/>
      <c r="B1145" s="323" t="n"/>
      <c r="C1145" s="320" t="n"/>
      <c r="D1145" s="326" t="n"/>
      <c r="E1145" s="324" t="n"/>
      <c r="F1145" s="320" t="n"/>
      <c r="G1145" s="327" t="n"/>
      <c r="H1145" s="271" t="n"/>
      <c r="I1145" s="275">
        <f>IF(COUNTA(A1145:F1145)=0,"",IF(OR(E1145&lt;0,F1145&lt;0,F1145&gt;10),"ERRO: valores inválidos",IF(COUNTIFS($A$5:$A$1200,A1145,$B$5:$B$1200,B1145,$C$5:$C$1200,C1145,$D$5:$D$1200,D1145)&gt;1,"ERRO: chave duplicada","OK")))</f>
        <v/>
      </c>
    </row>
    <row r="1146" ht="15" customHeight="1" s="131">
      <c r="A1146" s="320" t="n"/>
      <c r="B1146" s="323" t="n"/>
      <c r="C1146" s="320" t="n"/>
      <c r="D1146" s="326" t="n"/>
      <c r="E1146" s="324" t="n"/>
      <c r="F1146" s="320" t="n"/>
      <c r="G1146" s="327" t="n"/>
      <c r="H1146" s="271" t="n"/>
      <c r="I1146" s="275">
        <f>IF(COUNTA(A1146:F1146)=0,"",IF(OR(E1146&lt;0,F1146&lt;0,F1146&gt;10),"ERRO: valores inválidos",IF(COUNTIFS($A$5:$A$1200,A1146,$B$5:$B$1200,B1146,$C$5:$C$1200,C1146,$D$5:$D$1200,D1146)&gt;1,"ERRO: chave duplicada","OK")))</f>
        <v/>
      </c>
    </row>
    <row r="1147" ht="15" customHeight="1" s="131">
      <c r="A1147" s="320" t="n"/>
      <c r="B1147" s="323" t="n"/>
      <c r="C1147" s="320" t="n"/>
      <c r="D1147" s="326" t="n"/>
      <c r="E1147" s="324" t="n"/>
      <c r="F1147" s="320" t="n"/>
      <c r="G1147" s="327" t="n"/>
      <c r="H1147" s="271" t="n"/>
      <c r="I1147" s="275">
        <f>IF(COUNTA(A1147:F1147)=0,"",IF(OR(E1147&lt;0,F1147&lt;0,F1147&gt;10),"ERRO: valores inválidos",IF(COUNTIFS($A$5:$A$1200,A1147,$B$5:$B$1200,B1147,$C$5:$C$1200,C1147,$D$5:$D$1200,D1147)&gt;1,"ERRO: chave duplicada","OK")))</f>
        <v/>
      </c>
    </row>
    <row r="1148" ht="15" customHeight="1" s="131">
      <c r="A1148" s="320" t="n"/>
      <c r="B1148" s="323" t="n"/>
      <c r="C1148" s="320" t="n"/>
      <c r="D1148" s="326" t="n"/>
      <c r="E1148" s="324" t="n"/>
      <c r="F1148" s="320" t="n"/>
      <c r="G1148" s="327" t="n"/>
      <c r="H1148" s="271" t="n"/>
      <c r="I1148" s="275">
        <f>IF(COUNTA(A1148:F1148)=0,"",IF(OR(E1148&lt;0,F1148&lt;0,F1148&gt;10),"ERRO: valores inválidos",IF(COUNTIFS($A$5:$A$1200,A1148,$B$5:$B$1200,B1148,$C$5:$C$1200,C1148,$D$5:$D$1200,D1148)&gt;1,"ERRO: chave duplicada","OK")))</f>
        <v/>
      </c>
    </row>
    <row r="1149" ht="15" customHeight="1" s="131">
      <c r="A1149" s="320" t="n"/>
      <c r="B1149" s="323" t="n"/>
      <c r="C1149" s="320" t="n"/>
      <c r="D1149" s="326" t="n"/>
      <c r="E1149" s="324" t="n"/>
      <c r="F1149" s="320" t="n"/>
      <c r="G1149" s="327" t="n"/>
      <c r="H1149" s="271" t="n"/>
      <c r="I1149" s="275">
        <f>IF(COUNTA(A1149:F1149)=0,"",IF(OR(E1149&lt;0,F1149&lt;0,F1149&gt;10),"ERRO: valores inválidos",IF(COUNTIFS($A$5:$A$1200,A1149,$B$5:$B$1200,B1149,$C$5:$C$1200,C1149,$D$5:$D$1200,D1149)&gt;1,"ERRO: chave duplicada","OK")))</f>
        <v/>
      </c>
    </row>
    <row r="1150" ht="15" customHeight="1" s="131">
      <c r="A1150" s="320" t="n"/>
      <c r="B1150" s="323" t="n"/>
      <c r="C1150" s="320" t="n"/>
      <c r="D1150" s="326" t="n"/>
      <c r="E1150" s="324" t="n"/>
      <c r="F1150" s="320" t="n"/>
      <c r="G1150" s="327" t="n"/>
      <c r="H1150" s="271" t="n"/>
      <c r="I1150" s="275">
        <f>IF(COUNTA(A1150:F1150)=0,"",IF(OR(E1150&lt;0,F1150&lt;0,F1150&gt;10),"ERRO: valores inválidos",IF(COUNTIFS($A$5:$A$1200,A1150,$B$5:$B$1200,B1150,$C$5:$C$1200,C1150,$D$5:$D$1200,D1150)&gt;1,"ERRO: chave duplicada","OK")))</f>
        <v/>
      </c>
    </row>
    <row r="1151" ht="15" customHeight="1" s="131">
      <c r="A1151" s="320" t="n"/>
      <c r="B1151" s="323" t="n"/>
      <c r="C1151" s="320" t="n"/>
      <c r="D1151" s="326" t="n"/>
      <c r="E1151" s="324" t="n"/>
      <c r="F1151" s="320" t="n"/>
      <c r="G1151" s="327" t="n"/>
      <c r="H1151" s="271" t="n"/>
      <c r="I1151" s="275">
        <f>IF(COUNTA(A1151:F1151)=0,"",IF(OR(E1151&lt;0,F1151&lt;0,F1151&gt;10),"ERRO: valores inválidos",IF(COUNTIFS($A$5:$A$1200,A1151,$B$5:$B$1200,B1151,$C$5:$C$1200,C1151,$D$5:$D$1200,D1151)&gt;1,"ERRO: chave duplicada","OK")))</f>
        <v/>
      </c>
    </row>
    <row r="1152" ht="15" customHeight="1" s="131">
      <c r="A1152" s="320" t="n"/>
      <c r="B1152" s="323" t="n"/>
      <c r="C1152" s="320" t="n"/>
      <c r="D1152" s="326" t="n"/>
      <c r="E1152" s="324" t="n"/>
      <c r="F1152" s="320" t="n"/>
      <c r="G1152" s="327" t="n"/>
      <c r="H1152" s="271" t="n"/>
      <c r="I1152" s="275">
        <f>IF(COUNTA(A1152:F1152)=0,"",IF(OR(E1152&lt;0,F1152&lt;0,F1152&gt;10),"ERRO: valores inválidos",IF(COUNTIFS($A$5:$A$1200,A1152,$B$5:$B$1200,B1152,$C$5:$C$1200,C1152,$D$5:$D$1200,D1152)&gt;1,"ERRO: chave duplicada","OK")))</f>
        <v/>
      </c>
    </row>
    <row r="1153" ht="15" customHeight="1" s="131">
      <c r="A1153" s="320" t="n"/>
      <c r="B1153" s="323" t="n"/>
      <c r="C1153" s="320" t="n"/>
      <c r="D1153" s="326" t="n"/>
      <c r="E1153" s="324" t="n"/>
      <c r="F1153" s="320" t="n"/>
      <c r="G1153" s="327" t="n"/>
      <c r="H1153" s="271" t="n"/>
      <c r="I1153" s="275">
        <f>IF(COUNTA(A1153:F1153)=0,"",IF(OR(E1153&lt;0,F1153&lt;0,F1153&gt;10),"ERRO: valores inválidos",IF(COUNTIFS($A$5:$A$1200,A1153,$B$5:$B$1200,B1153,$C$5:$C$1200,C1153,$D$5:$D$1200,D1153)&gt;1,"ERRO: chave duplicada","OK")))</f>
        <v/>
      </c>
    </row>
    <row r="1154" ht="15" customHeight="1" s="131">
      <c r="A1154" s="320" t="n"/>
      <c r="B1154" s="323" t="n"/>
      <c r="C1154" s="320" t="n"/>
      <c r="D1154" s="326" t="n"/>
      <c r="E1154" s="324" t="n"/>
      <c r="F1154" s="320" t="n"/>
      <c r="G1154" s="327" t="n"/>
      <c r="H1154" s="271" t="n"/>
      <c r="I1154" s="275">
        <f>IF(COUNTA(A1154:F1154)=0,"",IF(OR(E1154&lt;0,F1154&lt;0,F1154&gt;10),"ERRO: valores inválidos",IF(COUNTIFS($A$5:$A$1200,A1154,$B$5:$B$1200,B1154,$C$5:$C$1200,C1154,$D$5:$D$1200,D1154)&gt;1,"ERRO: chave duplicada","OK")))</f>
        <v/>
      </c>
    </row>
    <row r="1155" ht="15" customHeight="1" s="131">
      <c r="A1155" s="320" t="n"/>
      <c r="B1155" s="323" t="n"/>
      <c r="C1155" s="320" t="n"/>
      <c r="D1155" s="326" t="n"/>
      <c r="E1155" s="324" t="n"/>
      <c r="F1155" s="320" t="n"/>
      <c r="G1155" s="327" t="n"/>
      <c r="H1155" s="271" t="n"/>
      <c r="I1155" s="275">
        <f>IF(COUNTA(A1155:F1155)=0,"",IF(OR(E1155&lt;0,F1155&lt;0,F1155&gt;10),"ERRO: valores inválidos",IF(COUNTIFS($A$5:$A$1200,A1155,$B$5:$B$1200,B1155,$C$5:$C$1200,C1155,$D$5:$D$1200,D1155)&gt;1,"ERRO: chave duplicada","OK")))</f>
        <v/>
      </c>
    </row>
    <row r="1156" ht="15" customHeight="1" s="131">
      <c r="A1156" s="320" t="n"/>
      <c r="B1156" s="323" t="n"/>
      <c r="C1156" s="320" t="n"/>
      <c r="D1156" s="326" t="n"/>
      <c r="E1156" s="324" t="n"/>
      <c r="F1156" s="320" t="n"/>
      <c r="G1156" s="327" t="n"/>
      <c r="H1156" s="271" t="n"/>
      <c r="I1156" s="275">
        <f>IF(COUNTA(A1156:F1156)=0,"",IF(OR(E1156&lt;0,F1156&lt;0,F1156&gt;10),"ERRO: valores inválidos",IF(COUNTIFS($A$5:$A$1200,A1156,$B$5:$B$1200,B1156,$C$5:$C$1200,C1156,$D$5:$D$1200,D1156)&gt;1,"ERRO: chave duplicada","OK")))</f>
        <v/>
      </c>
    </row>
    <row r="1157" ht="15" customHeight="1" s="131">
      <c r="A1157" s="320" t="n"/>
      <c r="B1157" s="323" t="n"/>
      <c r="C1157" s="320" t="n"/>
      <c r="D1157" s="326" t="n"/>
      <c r="E1157" s="324" t="n"/>
      <c r="F1157" s="320" t="n"/>
      <c r="G1157" s="327" t="n"/>
      <c r="H1157" s="271" t="n"/>
      <c r="I1157" s="275">
        <f>IF(COUNTA(A1157:F1157)=0,"",IF(OR(E1157&lt;0,F1157&lt;0,F1157&gt;10),"ERRO: valores inválidos",IF(COUNTIFS($A$5:$A$1200,A1157,$B$5:$B$1200,B1157,$C$5:$C$1200,C1157,$D$5:$D$1200,D1157)&gt;1,"ERRO: chave duplicada","OK")))</f>
        <v/>
      </c>
    </row>
    <row r="1158" ht="15" customHeight="1" s="131">
      <c r="A1158" s="320" t="n"/>
      <c r="B1158" s="323" t="n"/>
      <c r="C1158" s="320" t="n"/>
      <c r="D1158" s="326" t="n"/>
      <c r="E1158" s="324" t="n"/>
      <c r="F1158" s="320" t="n"/>
      <c r="G1158" s="327" t="n"/>
      <c r="H1158" s="271" t="n"/>
      <c r="I1158" s="275">
        <f>IF(COUNTA(A1158:F1158)=0,"",IF(OR(E1158&lt;0,F1158&lt;0,F1158&gt;10),"ERRO: valores inválidos",IF(COUNTIFS($A$5:$A$1200,A1158,$B$5:$B$1200,B1158,$C$5:$C$1200,C1158,$D$5:$D$1200,D1158)&gt;1,"ERRO: chave duplicada","OK")))</f>
        <v/>
      </c>
    </row>
    <row r="1159" ht="15" customHeight="1" s="131">
      <c r="A1159" s="320" t="n"/>
      <c r="B1159" s="323" t="n"/>
      <c r="C1159" s="320" t="n"/>
      <c r="D1159" s="326" t="n"/>
      <c r="E1159" s="324" t="n"/>
      <c r="F1159" s="320" t="n"/>
      <c r="G1159" s="327" t="n"/>
      <c r="H1159" s="271" t="n"/>
      <c r="I1159" s="275">
        <f>IF(COUNTA(A1159:F1159)=0,"",IF(OR(E1159&lt;0,F1159&lt;0,F1159&gt;10),"ERRO: valores inválidos",IF(COUNTIFS($A$5:$A$1200,A1159,$B$5:$B$1200,B1159,$C$5:$C$1200,C1159,$D$5:$D$1200,D1159)&gt;1,"ERRO: chave duplicada","OK")))</f>
        <v/>
      </c>
    </row>
    <row r="1160" ht="15" customHeight="1" s="131">
      <c r="A1160" s="320" t="n"/>
      <c r="B1160" s="323" t="n"/>
      <c r="C1160" s="320" t="n"/>
      <c r="D1160" s="326" t="n"/>
      <c r="E1160" s="324" t="n"/>
      <c r="F1160" s="320" t="n"/>
      <c r="G1160" s="327" t="n"/>
      <c r="H1160" s="271" t="n"/>
      <c r="I1160" s="275">
        <f>IF(COUNTA(A1160:F1160)=0,"",IF(OR(E1160&lt;0,F1160&lt;0,F1160&gt;10),"ERRO: valores inválidos",IF(COUNTIFS($A$5:$A$1200,A1160,$B$5:$B$1200,B1160,$C$5:$C$1200,C1160,$D$5:$D$1200,D1160)&gt;1,"ERRO: chave duplicada","OK")))</f>
        <v/>
      </c>
    </row>
    <row r="1161" ht="15" customHeight="1" s="131">
      <c r="A1161" s="320" t="n"/>
      <c r="B1161" s="323" t="n"/>
      <c r="C1161" s="320" t="n"/>
      <c r="D1161" s="326" t="n"/>
      <c r="E1161" s="324" t="n"/>
      <c r="F1161" s="320" t="n"/>
      <c r="G1161" s="327" t="n"/>
      <c r="H1161" s="271" t="n"/>
      <c r="I1161" s="275">
        <f>IF(COUNTA(A1161:F1161)=0,"",IF(OR(E1161&lt;0,F1161&lt;0,F1161&gt;10),"ERRO: valores inválidos",IF(COUNTIFS($A$5:$A$1200,A1161,$B$5:$B$1200,B1161,$C$5:$C$1200,C1161,$D$5:$D$1200,D1161)&gt;1,"ERRO: chave duplicada","OK")))</f>
        <v/>
      </c>
    </row>
    <row r="1162" ht="15" customHeight="1" s="131">
      <c r="A1162" s="320" t="n"/>
      <c r="B1162" s="323" t="n"/>
      <c r="C1162" s="320" t="n"/>
      <c r="D1162" s="326" t="n"/>
      <c r="E1162" s="324" t="n"/>
      <c r="F1162" s="320" t="n"/>
      <c r="G1162" s="327" t="n"/>
      <c r="H1162" s="271" t="n"/>
      <c r="I1162" s="275">
        <f>IF(COUNTA(A1162:F1162)=0,"",IF(OR(E1162&lt;0,F1162&lt;0,F1162&gt;10),"ERRO: valores inválidos",IF(COUNTIFS($A$5:$A$1200,A1162,$B$5:$B$1200,B1162,$C$5:$C$1200,C1162,$D$5:$D$1200,D1162)&gt;1,"ERRO: chave duplicada","OK")))</f>
        <v/>
      </c>
    </row>
    <row r="1163" ht="15" customHeight="1" s="131">
      <c r="A1163" s="320" t="n"/>
      <c r="B1163" s="323" t="n"/>
      <c r="C1163" s="320" t="n"/>
      <c r="D1163" s="326" t="n"/>
      <c r="E1163" s="324" t="n"/>
      <c r="F1163" s="320" t="n"/>
      <c r="G1163" s="327" t="n"/>
      <c r="H1163" s="271" t="n"/>
      <c r="I1163" s="275">
        <f>IF(COUNTA(A1163:F1163)=0,"",IF(OR(E1163&lt;0,F1163&lt;0,F1163&gt;10),"ERRO: valores inválidos",IF(COUNTIFS($A$5:$A$1200,A1163,$B$5:$B$1200,B1163,$C$5:$C$1200,C1163,$D$5:$D$1200,D1163)&gt;1,"ERRO: chave duplicada","OK")))</f>
        <v/>
      </c>
    </row>
    <row r="1164" ht="15" customHeight="1" s="131">
      <c r="A1164" s="320" t="n"/>
      <c r="B1164" s="323" t="n"/>
      <c r="C1164" s="320" t="n"/>
      <c r="D1164" s="326" t="n"/>
      <c r="E1164" s="324" t="n"/>
      <c r="F1164" s="320" t="n"/>
      <c r="G1164" s="327" t="n"/>
      <c r="H1164" s="271" t="n"/>
      <c r="I1164" s="275">
        <f>IF(COUNTA(A1164:F1164)=0,"",IF(OR(E1164&lt;0,F1164&lt;0,F1164&gt;10),"ERRO: valores inválidos",IF(COUNTIFS($A$5:$A$1200,A1164,$B$5:$B$1200,B1164,$C$5:$C$1200,C1164,$D$5:$D$1200,D1164)&gt;1,"ERRO: chave duplicada","OK")))</f>
        <v/>
      </c>
    </row>
    <row r="1165" ht="15" customHeight="1" s="131">
      <c r="A1165" s="320" t="n"/>
      <c r="B1165" s="323" t="n"/>
      <c r="C1165" s="320" t="n"/>
      <c r="D1165" s="326" t="n"/>
      <c r="E1165" s="324" t="n"/>
      <c r="F1165" s="320" t="n"/>
      <c r="G1165" s="327" t="n"/>
      <c r="H1165" s="271" t="n"/>
      <c r="I1165" s="275">
        <f>IF(COUNTA(A1165:F1165)=0,"",IF(OR(E1165&lt;0,F1165&lt;0,F1165&gt;10),"ERRO: valores inválidos",IF(COUNTIFS($A$5:$A$1200,A1165,$B$5:$B$1200,B1165,$C$5:$C$1200,C1165,$D$5:$D$1200,D1165)&gt;1,"ERRO: chave duplicada","OK")))</f>
        <v/>
      </c>
    </row>
    <row r="1166" ht="15" customHeight="1" s="131">
      <c r="A1166" s="320" t="n"/>
      <c r="B1166" s="323" t="n"/>
      <c r="C1166" s="320" t="n"/>
      <c r="D1166" s="326" t="n"/>
      <c r="E1166" s="324" t="n"/>
      <c r="F1166" s="320" t="n"/>
      <c r="G1166" s="327" t="n"/>
      <c r="H1166" s="271" t="n"/>
      <c r="I1166" s="275">
        <f>IF(COUNTA(A1166:F1166)=0,"",IF(OR(E1166&lt;0,F1166&lt;0,F1166&gt;10),"ERRO: valores inválidos",IF(COUNTIFS($A$5:$A$1200,A1166,$B$5:$B$1200,B1166,$C$5:$C$1200,C1166,$D$5:$D$1200,D1166)&gt;1,"ERRO: chave duplicada","OK")))</f>
        <v/>
      </c>
    </row>
    <row r="1167" ht="15" customHeight="1" s="131">
      <c r="A1167" s="320" t="n"/>
      <c r="B1167" s="323" t="n"/>
      <c r="C1167" s="320" t="n"/>
      <c r="D1167" s="326" t="n"/>
      <c r="E1167" s="324" t="n"/>
      <c r="F1167" s="320" t="n"/>
      <c r="G1167" s="327" t="n"/>
      <c r="H1167" s="271" t="n"/>
      <c r="I1167" s="275">
        <f>IF(COUNTA(A1167:F1167)=0,"",IF(OR(E1167&lt;0,F1167&lt;0,F1167&gt;10),"ERRO: valores inválidos",IF(COUNTIFS($A$5:$A$1200,A1167,$B$5:$B$1200,B1167,$C$5:$C$1200,C1167,$D$5:$D$1200,D1167)&gt;1,"ERRO: chave duplicada","OK")))</f>
        <v/>
      </c>
    </row>
    <row r="1168" ht="15" customHeight="1" s="131">
      <c r="A1168" s="320" t="n"/>
      <c r="B1168" s="323" t="n"/>
      <c r="C1168" s="320" t="n"/>
      <c r="D1168" s="326" t="n"/>
      <c r="E1168" s="324" t="n"/>
      <c r="F1168" s="320" t="n"/>
      <c r="G1168" s="327" t="n"/>
      <c r="H1168" s="271" t="n"/>
      <c r="I1168" s="275">
        <f>IF(COUNTA(A1168:F1168)=0,"",IF(OR(E1168&lt;0,F1168&lt;0,F1168&gt;10),"ERRO: valores inválidos",IF(COUNTIFS($A$5:$A$1200,A1168,$B$5:$B$1200,B1168,$C$5:$C$1200,C1168,$D$5:$D$1200,D1168)&gt;1,"ERRO: chave duplicada","OK")))</f>
        <v/>
      </c>
    </row>
    <row r="1169" ht="15" customHeight="1" s="131">
      <c r="A1169" s="320" t="n"/>
      <c r="B1169" s="323" t="n"/>
      <c r="C1169" s="320" t="n"/>
      <c r="D1169" s="326" t="n"/>
      <c r="E1169" s="324" t="n"/>
      <c r="F1169" s="320" t="n"/>
      <c r="G1169" s="327" t="n"/>
      <c r="H1169" s="271" t="n"/>
      <c r="I1169" s="275">
        <f>IF(COUNTA(A1169:F1169)=0,"",IF(OR(E1169&lt;0,F1169&lt;0,F1169&gt;10),"ERRO: valores inválidos",IF(COUNTIFS($A$5:$A$1200,A1169,$B$5:$B$1200,B1169,$C$5:$C$1200,C1169,$D$5:$D$1200,D1169)&gt;1,"ERRO: chave duplicada","OK")))</f>
        <v/>
      </c>
    </row>
    <row r="1170" ht="15" customHeight="1" s="131">
      <c r="A1170" s="320" t="n"/>
      <c r="B1170" s="323" t="n"/>
      <c r="C1170" s="320" t="n"/>
      <c r="D1170" s="326" t="n"/>
      <c r="E1170" s="324" t="n"/>
      <c r="F1170" s="320" t="n"/>
      <c r="G1170" s="327" t="n"/>
      <c r="H1170" s="271" t="n"/>
      <c r="I1170" s="275">
        <f>IF(COUNTA(A1170:F1170)=0,"",IF(OR(E1170&lt;0,F1170&lt;0,F1170&gt;10),"ERRO: valores inválidos",IF(COUNTIFS($A$5:$A$1200,A1170,$B$5:$B$1200,B1170,$C$5:$C$1200,C1170,$D$5:$D$1200,D1170)&gt;1,"ERRO: chave duplicada","OK")))</f>
        <v/>
      </c>
    </row>
    <row r="1171" ht="15" customHeight="1" s="131">
      <c r="A1171" s="320" t="n"/>
      <c r="B1171" s="323" t="n"/>
      <c r="C1171" s="320" t="n"/>
      <c r="D1171" s="326" t="n"/>
      <c r="E1171" s="324" t="n"/>
      <c r="F1171" s="320" t="n"/>
      <c r="G1171" s="327" t="n"/>
      <c r="H1171" s="271" t="n"/>
      <c r="I1171" s="275">
        <f>IF(COUNTA(A1171:F1171)=0,"",IF(OR(E1171&lt;0,F1171&lt;0,F1171&gt;10),"ERRO: valores inválidos",IF(COUNTIFS($A$5:$A$1200,A1171,$B$5:$B$1200,B1171,$C$5:$C$1200,C1171,$D$5:$D$1200,D1171)&gt;1,"ERRO: chave duplicada","OK")))</f>
        <v/>
      </c>
    </row>
    <row r="1172" ht="15" customHeight="1" s="131">
      <c r="A1172" s="320" t="n"/>
      <c r="B1172" s="323" t="n"/>
      <c r="C1172" s="320" t="n"/>
      <c r="D1172" s="326" t="n"/>
      <c r="E1172" s="324" t="n"/>
      <c r="F1172" s="320" t="n"/>
      <c r="G1172" s="327" t="n"/>
      <c r="H1172" s="271" t="n"/>
      <c r="I1172" s="275">
        <f>IF(COUNTA(A1172:F1172)=0,"",IF(OR(E1172&lt;0,F1172&lt;0,F1172&gt;10),"ERRO: valores inválidos",IF(COUNTIFS($A$5:$A$1200,A1172,$B$5:$B$1200,B1172,$C$5:$C$1200,C1172,$D$5:$D$1200,D1172)&gt;1,"ERRO: chave duplicada","OK")))</f>
        <v/>
      </c>
    </row>
    <row r="1173" ht="15" customHeight="1" s="131">
      <c r="A1173" s="320" t="n"/>
      <c r="B1173" s="323" t="n"/>
      <c r="C1173" s="320" t="n"/>
      <c r="D1173" s="326" t="n"/>
      <c r="E1173" s="324" t="n"/>
      <c r="F1173" s="320" t="n"/>
      <c r="G1173" s="327" t="n"/>
      <c r="H1173" s="271" t="n"/>
      <c r="I1173" s="275">
        <f>IF(COUNTA(A1173:F1173)=0,"",IF(OR(E1173&lt;0,F1173&lt;0,F1173&gt;10),"ERRO: valores inválidos",IF(COUNTIFS($A$5:$A$1200,A1173,$B$5:$B$1200,B1173,$C$5:$C$1200,C1173,$D$5:$D$1200,D1173)&gt;1,"ERRO: chave duplicada","OK")))</f>
        <v/>
      </c>
    </row>
    <row r="1174" ht="15" customHeight="1" s="131">
      <c r="A1174" s="320" t="n"/>
      <c r="B1174" s="323" t="n"/>
      <c r="C1174" s="320" t="n"/>
      <c r="D1174" s="326" t="n"/>
      <c r="E1174" s="324" t="n"/>
      <c r="F1174" s="320" t="n"/>
      <c r="G1174" s="327" t="n"/>
      <c r="H1174" s="271" t="n"/>
      <c r="I1174" s="275">
        <f>IF(COUNTA(A1174:F1174)=0,"",IF(OR(E1174&lt;0,F1174&lt;0,F1174&gt;10),"ERRO: valores inválidos",IF(COUNTIFS($A$5:$A$1200,A1174,$B$5:$B$1200,B1174,$C$5:$C$1200,C1174,$D$5:$D$1200,D1174)&gt;1,"ERRO: chave duplicada","OK")))</f>
        <v/>
      </c>
    </row>
    <row r="1175" ht="15" customHeight="1" s="131">
      <c r="A1175" s="320" t="n"/>
      <c r="B1175" s="323" t="n"/>
      <c r="C1175" s="320" t="n"/>
      <c r="D1175" s="326" t="n"/>
      <c r="E1175" s="324" t="n"/>
      <c r="F1175" s="320" t="n"/>
      <c r="G1175" s="327" t="n"/>
      <c r="H1175" s="271" t="n"/>
      <c r="I1175" s="275">
        <f>IF(COUNTA(A1175:F1175)=0,"",IF(OR(E1175&lt;0,F1175&lt;0,F1175&gt;10),"ERRO: valores inválidos",IF(COUNTIFS($A$5:$A$1200,A1175,$B$5:$B$1200,B1175,$C$5:$C$1200,C1175,$D$5:$D$1200,D1175)&gt;1,"ERRO: chave duplicada","OK")))</f>
        <v/>
      </c>
    </row>
    <row r="1176" ht="15" customHeight="1" s="131">
      <c r="A1176" s="320" t="n"/>
      <c r="B1176" s="323" t="n"/>
      <c r="C1176" s="320" t="n"/>
      <c r="D1176" s="326" t="n"/>
      <c r="E1176" s="324" t="n"/>
      <c r="F1176" s="320" t="n"/>
      <c r="G1176" s="327" t="n"/>
      <c r="H1176" s="271" t="n"/>
      <c r="I1176" s="275">
        <f>IF(COUNTA(A1176:F1176)=0,"",IF(OR(E1176&lt;0,F1176&lt;0,F1176&gt;10),"ERRO: valores inválidos",IF(COUNTIFS($A$5:$A$1200,A1176,$B$5:$B$1200,B1176,$C$5:$C$1200,C1176,$D$5:$D$1200,D1176)&gt;1,"ERRO: chave duplicada","OK")))</f>
        <v/>
      </c>
    </row>
    <row r="1177" ht="15" customHeight="1" s="131">
      <c r="A1177" s="320" t="n"/>
      <c r="B1177" s="323" t="n"/>
      <c r="C1177" s="320" t="n"/>
      <c r="D1177" s="326" t="n"/>
      <c r="E1177" s="324" t="n"/>
      <c r="F1177" s="320" t="n"/>
      <c r="G1177" s="327" t="n"/>
      <c r="H1177" s="271" t="n"/>
      <c r="I1177" s="275">
        <f>IF(COUNTA(A1177:F1177)=0,"",IF(OR(E1177&lt;0,F1177&lt;0,F1177&gt;10),"ERRO: valores inválidos",IF(COUNTIFS($A$5:$A$1200,A1177,$B$5:$B$1200,B1177,$C$5:$C$1200,C1177,$D$5:$D$1200,D1177)&gt;1,"ERRO: chave duplicada","OK")))</f>
        <v/>
      </c>
    </row>
    <row r="1178" ht="15" customHeight="1" s="131">
      <c r="A1178" s="320" t="n"/>
      <c r="B1178" s="323" t="n"/>
      <c r="C1178" s="320" t="n"/>
      <c r="D1178" s="326" t="n"/>
      <c r="E1178" s="324" t="n"/>
      <c r="F1178" s="320" t="n"/>
      <c r="G1178" s="327" t="n"/>
      <c r="H1178" s="271" t="n"/>
      <c r="I1178" s="275">
        <f>IF(COUNTA(A1178:F1178)=0,"",IF(OR(E1178&lt;0,F1178&lt;0,F1178&gt;10),"ERRO: valores inválidos",IF(COUNTIFS($A$5:$A$1200,A1178,$B$5:$B$1200,B1178,$C$5:$C$1200,C1178,$D$5:$D$1200,D1178)&gt;1,"ERRO: chave duplicada","OK")))</f>
        <v/>
      </c>
    </row>
    <row r="1179" ht="15" customHeight="1" s="131">
      <c r="A1179" s="320" t="n"/>
      <c r="B1179" s="323" t="n"/>
      <c r="C1179" s="320" t="n"/>
      <c r="D1179" s="326" t="n"/>
      <c r="E1179" s="324" t="n"/>
      <c r="F1179" s="320" t="n"/>
      <c r="G1179" s="327" t="n"/>
      <c r="H1179" s="271" t="n"/>
      <c r="I1179" s="275">
        <f>IF(COUNTA(A1179:F1179)=0,"",IF(OR(E1179&lt;0,F1179&lt;0,F1179&gt;10),"ERRO: valores inválidos",IF(COUNTIFS($A$5:$A$1200,A1179,$B$5:$B$1200,B1179,$C$5:$C$1200,C1179,$D$5:$D$1200,D1179)&gt;1,"ERRO: chave duplicada","OK")))</f>
        <v/>
      </c>
    </row>
    <row r="1180" ht="15" customHeight="1" s="131">
      <c r="A1180" s="320" t="n"/>
      <c r="B1180" s="323" t="n"/>
      <c r="C1180" s="320" t="n"/>
      <c r="D1180" s="326" t="n"/>
      <c r="E1180" s="324" t="n"/>
      <c r="F1180" s="320" t="n"/>
      <c r="G1180" s="327" t="n"/>
      <c r="H1180" s="271" t="n"/>
      <c r="I1180" s="275">
        <f>IF(COUNTA(A1180:F1180)=0,"",IF(OR(E1180&lt;0,F1180&lt;0,F1180&gt;10),"ERRO: valores inválidos",IF(COUNTIFS($A$5:$A$1200,A1180,$B$5:$B$1200,B1180,$C$5:$C$1200,C1180,$D$5:$D$1200,D1180)&gt;1,"ERRO: chave duplicada","OK")))</f>
        <v/>
      </c>
    </row>
    <row r="1181" ht="15" customHeight="1" s="131">
      <c r="A1181" s="320" t="n"/>
      <c r="B1181" s="323" t="n"/>
      <c r="C1181" s="320" t="n"/>
      <c r="D1181" s="326" t="n"/>
      <c r="E1181" s="324" t="n"/>
      <c r="F1181" s="320" t="n"/>
      <c r="G1181" s="327" t="n"/>
      <c r="H1181" s="271" t="n"/>
      <c r="I1181" s="275">
        <f>IF(COUNTA(A1181:F1181)=0,"",IF(OR(E1181&lt;0,F1181&lt;0,F1181&gt;10),"ERRO: valores inválidos",IF(COUNTIFS($A$5:$A$1200,A1181,$B$5:$B$1200,B1181,$C$5:$C$1200,C1181,$D$5:$D$1200,D1181)&gt;1,"ERRO: chave duplicada","OK")))</f>
        <v/>
      </c>
    </row>
    <row r="1182" ht="15" customHeight="1" s="131">
      <c r="A1182" s="320" t="n"/>
      <c r="B1182" s="323" t="n"/>
      <c r="C1182" s="320" t="n"/>
      <c r="D1182" s="326" t="n"/>
      <c r="E1182" s="324" t="n"/>
      <c r="F1182" s="320" t="n"/>
      <c r="G1182" s="327" t="n"/>
      <c r="H1182" s="271" t="n"/>
      <c r="I1182" s="275">
        <f>IF(COUNTA(A1182:F1182)=0,"",IF(OR(E1182&lt;0,F1182&lt;0,F1182&gt;10),"ERRO: valores inválidos",IF(COUNTIFS($A$5:$A$1200,A1182,$B$5:$B$1200,B1182,$C$5:$C$1200,C1182,$D$5:$D$1200,D1182)&gt;1,"ERRO: chave duplicada","OK")))</f>
        <v/>
      </c>
    </row>
    <row r="1183" ht="15" customHeight="1" s="131">
      <c r="A1183" s="320" t="n"/>
      <c r="B1183" s="323" t="n"/>
      <c r="C1183" s="320" t="n"/>
      <c r="D1183" s="326" t="n"/>
      <c r="E1183" s="324" t="n"/>
      <c r="F1183" s="320" t="n"/>
      <c r="G1183" s="327" t="n"/>
      <c r="H1183" s="271" t="n"/>
      <c r="I1183" s="275">
        <f>IF(COUNTA(A1183:F1183)=0,"",IF(OR(E1183&lt;0,F1183&lt;0,F1183&gt;10),"ERRO: valores inválidos",IF(COUNTIFS($A$5:$A$1200,A1183,$B$5:$B$1200,B1183,$C$5:$C$1200,C1183,$D$5:$D$1200,D1183)&gt;1,"ERRO: chave duplicada","OK")))</f>
        <v/>
      </c>
    </row>
    <row r="1184" ht="15" customHeight="1" s="131">
      <c r="A1184" s="320" t="n"/>
      <c r="B1184" s="323" t="n"/>
      <c r="C1184" s="320" t="n"/>
      <c r="D1184" s="326" t="n"/>
      <c r="E1184" s="324" t="n"/>
      <c r="F1184" s="320" t="n"/>
      <c r="G1184" s="327" t="n"/>
      <c r="H1184" s="271" t="n"/>
      <c r="I1184" s="275">
        <f>IF(COUNTA(A1184:F1184)=0,"",IF(OR(E1184&lt;0,F1184&lt;0,F1184&gt;10),"ERRO: valores inválidos",IF(COUNTIFS($A$5:$A$1200,A1184,$B$5:$B$1200,B1184,$C$5:$C$1200,C1184,$D$5:$D$1200,D1184)&gt;1,"ERRO: chave duplicada","OK")))</f>
        <v/>
      </c>
    </row>
    <row r="1185" ht="15" customHeight="1" s="131">
      <c r="A1185" s="320" t="n"/>
      <c r="B1185" s="323" t="n"/>
      <c r="C1185" s="320" t="n"/>
      <c r="D1185" s="326" t="n"/>
      <c r="E1185" s="324" t="n"/>
      <c r="F1185" s="320" t="n"/>
      <c r="G1185" s="327" t="n"/>
      <c r="H1185" s="271" t="n"/>
      <c r="I1185" s="275">
        <f>IF(COUNTA(A1185:F1185)=0,"",IF(OR(E1185&lt;0,F1185&lt;0,F1185&gt;10),"ERRO: valores inválidos",IF(COUNTIFS($A$5:$A$1200,A1185,$B$5:$B$1200,B1185,$C$5:$C$1200,C1185,$D$5:$D$1200,D1185)&gt;1,"ERRO: chave duplicada","OK")))</f>
        <v/>
      </c>
    </row>
    <row r="1186" ht="15" customHeight="1" s="131">
      <c r="A1186" s="320" t="n"/>
      <c r="B1186" s="323" t="n"/>
      <c r="C1186" s="320" t="n"/>
      <c r="D1186" s="326" t="n"/>
      <c r="E1186" s="324" t="n"/>
      <c r="F1186" s="320" t="n"/>
      <c r="G1186" s="327" t="n"/>
      <c r="H1186" s="271" t="n"/>
      <c r="I1186" s="275">
        <f>IF(COUNTA(A1186:F1186)=0,"",IF(OR(E1186&lt;0,F1186&lt;0,F1186&gt;10),"ERRO: valores inválidos",IF(COUNTIFS($A$5:$A$1200,A1186,$B$5:$B$1200,B1186,$C$5:$C$1200,C1186,$D$5:$D$1200,D1186)&gt;1,"ERRO: chave duplicada","OK")))</f>
        <v/>
      </c>
    </row>
    <row r="1187" ht="15" customHeight="1" s="131">
      <c r="A1187" s="320" t="n"/>
      <c r="B1187" s="323" t="n"/>
      <c r="C1187" s="320" t="n"/>
      <c r="D1187" s="326" t="n"/>
      <c r="E1187" s="324" t="n"/>
      <c r="F1187" s="320" t="n"/>
      <c r="G1187" s="327" t="n"/>
      <c r="H1187" s="271" t="n"/>
      <c r="I1187" s="275">
        <f>IF(COUNTA(A1187:F1187)=0,"",IF(OR(E1187&lt;0,F1187&lt;0,F1187&gt;10),"ERRO: valores inválidos",IF(COUNTIFS($A$5:$A$1200,A1187,$B$5:$B$1200,B1187,$C$5:$C$1200,C1187,$D$5:$D$1200,D1187)&gt;1,"ERRO: chave duplicada","OK")))</f>
        <v/>
      </c>
    </row>
    <row r="1188" ht="15" customHeight="1" s="131">
      <c r="A1188" s="320" t="n"/>
      <c r="B1188" s="323" t="n"/>
      <c r="C1188" s="320" t="n"/>
      <c r="D1188" s="326" t="n"/>
      <c r="E1188" s="324" t="n"/>
      <c r="F1188" s="320" t="n"/>
      <c r="G1188" s="327" t="n"/>
      <c r="H1188" s="271" t="n"/>
      <c r="I1188" s="275">
        <f>IF(COUNTA(A1188:F1188)=0,"",IF(OR(E1188&lt;0,F1188&lt;0,F1188&gt;10),"ERRO: valores inválidos",IF(COUNTIFS($A$5:$A$1200,A1188,$B$5:$B$1200,B1188,$C$5:$C$1200,C1188,$D$5:$D$1200,D1188)&gt;1,"ERRO: chave duplicada","OK")))</f>
        <v/>
      </c>
    </row>
    <row r="1189" ht="15" customHeight="1" s="131">
      <c r="A1189" s="320" t="n"/>
      <c r="B1189" s="323" t="n"/>
      <c r="C1189" s="320" t="n"/>
      <c r="D1189" s="326" t="n"/>
      <c r="E1189" s="324" t="n"/>
      <c r="F1189" s="320" t="n"/>
      <c r="G1189" s="327" t="n"/>
      <c r="H1189" s="271" t="n"/>
      <c r="I1189" s="275">
        <f>IF(COUNTA(A1189:F1189)=0,"",IF(OR(E1189&lt;0,F1189&lt;0,F1189&gt;10),"ERRO: valores inválidos",IF(COUNTIFS($A$5:$A$1200,A1189,$B$5:$B$1200,B1189,$C$5:$C$1200,C1189,$D$5:$D$1200,D1189)&gt;1,"ERRO: chave duplicada","OK")))</f>
        <v/>
      </c>
    </row>
    <row r="1190" ht="15" customHeight="1" s="131">
      <c r="A1190" s="320" t="n"/>
      <c r="B1190" s="323" t="n"/>
      <c r="C1190" s="320" t="n"/>
      <c r="D1190" s="326" t="n"/>
      <c r="E1190" s="324" t="n"/>
      <c r="F1190" s="320" t="n"/>
      <c r="G1190" s="327" t="n"/>
      <c r="H1190" s="271" t="n"/>
      <c r="I1190" s="275">
        <f>IF(COUNTA(A1190:F1190)=0,"",IF(OR(E1190&lt;0,F1190&lt;0,F1190&gt;10),"ERRO: valores inválidos",IF(COUNTIFS($A$5:$A$1200,A1190,$B$5:$B$1200,B1190,$C$5:$C$1200,C1190,$D$5:$D$1200,D1190)&gt;1,"ERRO: chave duplicada","OK")))</f>
        <v/>
      </c>
    </row>
    <row r="1191" ht="15" customHeight="1" s="131">
      <c r="A1191" s="320" t="n"/>
      <c r="B1191" s="323" t="n"/>
      <c r="C1191" s="320" t="n"/>
      <c r="D1191" s="326" t="n"/>
      <c r="E1191" s="324" t="n"/>
      <c r="F1191" s="320" t="n"/>
      <c r="G1191" s="327" t="n"/>
      <c r="H1191" s="271" t="n"/>
      <c r="I1191" s="275">
        <f>IF(COUNTA(A1191:F1191)=0,"",IF(OR(E1191&lt;0,F1191&lt;0,F1191&gt;10),"ERRO: valores inválidos",IF(COUNTIFS($A$5:$A$1200,A1191,$B$5:$B$1200,B1191,$C$5:$C$1200,C1191,$D$5:$D$1200,D1191)&gt;1,"ERRO: chave duplicada","OK")))</f>
        <v/>
      </c>
    </row>
    <row r="1192" ht="15" customHeight="1" s="131">
      <c r="A1192" s="320" t="n"/>
      <c r="B1192" s="323" t="n"/>
      <c r="C1192" s="320" t="n"/>
      <c r="D1192" s="326" t="n"/>
      <c r="E1192" s="324" t="n"/>
      <c r="F1192" s="320" t="n"/>
      <c r="G1192" s="327" t="n"/>
      <c r="H1192" s="271" t="n"/>
      <c r="I1192" s="275">
        <f>IF(COUNTA(A1192:F1192)=0,"",IF(OR(E1192&lt;0,F1192&lt;0,F1192&gt;10),"ERRO: valores inválidos",IF(COUNTIFS($A$5:$A$1200,A1192,$B$5:$B$1200,B1192,$C$5:$C$1200,C1192,$D$5:$D$1200,D1192)&gt;1,"ERRO: chave duplicada","OK")))</f>
        <v/>
      </c>
    </row>
    <row r="1193" ht="15" customHeight="1" s="131">
      <c r="A1193" s="320" t="n"/>
      <c r="B1193" s="323" t="n"/>
      <c r="C1193" s="320" t="n"/>
      <c r="D1193" s="326" t="n"/>
      <c r="E1193" s="324" t="n"/>
      <c r="F1193" s="320" t="n"/>
      <c r="G1193" s="327" t="n"/>
      <c r="H1193" s="271" t="n"/>
      <c r="I1193" s="275">
        <f>IF(COUNTA(A1193:F1193)=0,"",IF(OR(E1193&lt;0,F1193&lt;0,F1193&gt;10),"ERRO: valores inválidos",IF(COUNTIFS($A$5:$A$1200,A1193,$B$5:$B$1200,B1193,$C$5:$C$1200,C1193,$D$5:$D$1200,D1193)&gt;1,"ERRO: chave duplicada","OK")))</f>
        <v/>
      </c>
    </row>
    <row r="1194" ht="15" customHeight="1" s="131">
      <c r="A1194" s="320" t="n"/>
      <c r="B1194" s="323" t="n"/>
      <c r="C1194" s="320" t="n"/>
      <c r="D1194" s="326" t="n"/>
      <c r="E1194" s="324" t="n"/>
      <c r="F1194" s="320" t="n"/>
      <c r="G1194" s="327" t="n"/>
      <c r="H1194" s="271" t="n"/>
      <c r="I1194" s="275">
        <f>IF(COUNTA(A1194:F1194)=0,"",IF(OR(E1194&lt;0,F1194&lt;0,F1194&gt;10),"ERRO: valores inválidos",IF(COUNTIFS($A$5:$A$1200,A1194,$B$5:$B$1200,B1194,$C$5:$C$1200,C1194,$D$5:$D$1200,D1194)&gt;1,"ERRO: chave duplicada","OK")))</f>
        <v/>
      </c>
    </row>
    <row r="1195" ht="15" customHeight="1" s="131">
      <c r="A1195" s="320" t="n"/>
      <c r="B1195" s="323" t="n"/>
      <c r="C1195" s="320" t="n"/>
      <c r="D1195" s="326" t="n"/>
      <c r="E1195" s="324" t="n"/>
      <c r="F1195" s="320" t="n"/>
      <c r="G1195" s="327" t="n"/>
      <c r="H1195" s="271" t="n"/>
      <c r="I1195" s="275">
        <f>IF(COUNTA(A1195:F1195)=0,"",IF(OR(E1195&lt;0,F1195&lt;0,F1195&gt;10),"ERRO: valores inválidos",IF(COUNTIFS($A$5:$A$1200,A1195,$B$5:$B$1200,B1195,$C$5:$C$1200,C1195,$D$5:$D$1200,D1195)&gt;1,"ERRO: chave duplicada","OK")))</f>
        <v/>
      </c>
    </row>
    <row r="1196" ht="15" customHeight="1" s="131">
      <c r="A1196" s="320" t="n"/>
      <c r="B1196" s="323" t="n"/>
      <c r="C1196" s="320" t="n"/>
      <c r="D1196" s="326" t="n"/>
      <c r="E1196" s="324" t="n"/>
      <c r="F1196" s="320" t="n"/>
      <c r="G1196" s="327" t="n"/>
      <c r="H1196" s="271" t="n"/>
      <c r="I1196" s="275">
        <f>IF(COUNTA(A1196:F1196)=0,"",IF(OR(E1196&lt;0,F1196&lt;0,F1196&gt;10),"ERRO: valores inválidos",IF(COUNTIFS($A$5:$A$1200,A1196,$B$5:$B$1200,B1196,$C$5:$C$1200,C1196,$D$5:$D$1200,D1196)&gt;1,"ERRO: chave duplicada","OK")))</f>
        <v/>
      </c>
    </row>
    <row r="1197" ht="15" customHeight="1" s="131">
      <c r="A1197" s="320" t="n"/>
      <c r="B1197" s="323" t="n"/>
      <c r="C1197" s="320" t="n"/>
      <c r="D1197" s="326" t="n"/>
      <c r="E1197" s="324" t="n"/>
      <c r="F1197" s="320" t="n"/>
      <c r="G1197" s="327" t="n"/>
      <c r="H1197" s="271" t="n"/>
      <c r="I1197" s="275">
        <f>IF(COUNTA(A1197:F1197)=0,"",IF(OR(E1197&lt;0,F1197&lt;0,F1197&gt;10),"ERRO: valores inválidos",IF(COUNTIFS($A$5:$A$1200,A1197,$B$5:$B$1200,B1197,$C$5:$C$1200,C1197,$D$5:$D$1200,D1197)&gt;1,"ERRO: chave duplicada","OK")))</f>
        <v/>
      </c>
    </row>
    <row r="1198" ht="15" customHeight="1" s="131">
      <c r="A1198" s="320" t="n"/>
      <c r="B1198" s="323" t="n"/>
      <c r="C1198" s="320" t="n"/>
      <c r="D1198" s="326" t="n"/>
      <c r="E1198" s="324" t="n"/>
      <c r="F1198" s="320" t="n"/>
      <c r="G1198" s="327" t="n"/>
      <c r="H1198" s="271" t="n"/>
      <c r="I1198" s="275">
        <f>IF(COUNTA(A1198:F1198)=0,"",IF(OR(E1198&lt;0,F1198&lt;0,F1198&gt;10),"ERRO: valores inválidos",IF(COUNTIFS($A$5:$A$1200,A1198,$B$5:$B$1200,B1198,$C$5:$C$1200,C1198,$D$5:$D$1200,D1198)&gt;1,"ERRO: chave duplicada","OK")))</f>
        <v/>
      </c>
    </row>
    <row r="1199" ht="15" customHeight="1" s="131">
      <c r="A1199" s="320" t="n"/>
      <c r="B1199" s="323" t="n"/>
      <c r="C1199" s="320" t="n"/>
      <c r="D1199" s="326" t="n"/>
      <c r="E1199" s="324" t="n"/>
      <c r="F1199" s="320" t="n"/>
      <c r="G1199" s="327" t="n"/>
      <c r="H1199" s="271" t="n"/>
      <c r="I1199" s="275">
        <f>IF(COUNTA(A1199:F1199)=0,"",IF(OR(E1199&lt;0,F1199&lt;0,F1199&gt;10),"ERRO: valores inválidos",IF(COUNTIFS($A$5:$A$1200,A1199,$B$5:$B$1200,B1199,$C$5:$C$1200,C1199,$D$5:$D$1200,D1199)&gt;1,"ERRO: chave duplicada","OK")))</f>
        <v/>
      </c>
    </row>
    <row r="1200" ht="15" customHeight="1" s="131">
      <c r="A1200" s="320" t="n"/>
      <c r="B1200" s="323" t="n"/>
      <c r="C1200" s="320" t="n"/>
      <c r="D1200" s="326" t="n"/>
      <c r="E1200" s="324" t="n"/>
      <c r="F1200" s="320" t="n"/>
      <c r="G1200" s="327" t="n"/>
      <c r="H1200" s="271" t="n"/>
      <c r="I1200" s="275">
        <f>IF(COUNTA(A1200:F1200)=0,"",IF(OR(E1200&lt;0,F1200&lt;0,F1200&gt;10),"ERRO: valores inválidos",IF(COUNTIFS($A$5:$A$1200,A1200,$B$5:$B$1200,B1200,$C$5:$C$1200,C1200,$D$5:$D$1200,D1200)&gt;1,"ERRO: chave duplicada","OK")))</f>
        <v/>
      </c>
    </row>
  </sheetData>
  <mergeCells count="2">
    <mergeCell ref="A1:I1"/>
    <mergeCell ref="A2:I2"/>
  </mergeCells>
  <conditionalFormatting sqref="I5:I1200">
    <cfRule type="expression" priority="2" dxfId="16">
      <formula>LEFT(I5,4)="ERRO"</formula>
    </cfRule>
    <cfRule type="expression" priority="3" dxfId="17">
      <formula>I5="OK"</formula>
    </cfRule>
  </conditionalFormatting>
  <dataValidations count="3">
    <dataValidation sqref="A5:A1200" showDropDown="0" showInputMessage="0" showErrorMessage="0" allowBlank="1" type="list">
      <formula1>LST_SEMESTRES</formula1>
    </dataValidation>
    <dataValidation sqref="B5:B1200" showDropDown="0" showInputMessage="0" showErrorMessage="0" allowBlank="1" type="list">
      <formula1>LST_CURSOS</formula1>
    </dataValidation>
    <dataValidation sqref="F5:F1200" showDropDown="0" showInputMessage="0" showErrorMessage="0" allowBlank="1" type="decimal" operator="between">
      <formula1>0</formula1>
      <formula2>10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P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8" customWidth="1" style="130" min="2" max="3"/>
    <col width="44" customWidth="1" style="131" min="3" max="3"/>
    <col width="14" customWidth="1" style="130" min="4" max="5"/>
    <col width="14" customWidth="1" style="131" min="5" max="5"/>
    <col width="14" customWidth="1" style="130" min="6" max="6"/>
    <col width="14" customWidth="1" style="130" min="7" max="7"/>
    <col width="18" customWidth="1" style="130" min="8" max="8"/>
    <col width="18" customWidth="1" style="130" min="9" max="9"/>
    <col width="18" customWidth="1" style="131" min="10" max="10"/>
    <col width="15" customWidth="1" style="131" min="11" max="11"/>
    <col width="18" customWidth="1" style="131" min="12" max="12"/>
    <col width="18" customWidth="1" style="131" min="13" max="13"/>
    <col width="14" customWidth="1" style="131" min="14" max="14"/>
    <col width="18" customWidth="1" style="131" min="15" max="15"/>
    <col width="30" customWidth="1" style="131" min="16" max="16"/>
  </cols>
  <sheetData>
    <row r="1" ht="24" customHeight="1" s="131">
      <c r="A1" s="262" t="inlineStr">
        <is>
          <t>BASE AGREGADA — DTNH-03 · Resultados Acadêmicos</t>
        </is>
      </c>
    </row>
    <row r="2" ht="30" customHeight="1" s="131">
      <c r="A2" s="263" t="inlineStr">
        <is>
          <t>Uma linha por semestre, curso e disciplina. O painel não exporta nomes, matrículas nem registros aluno a aluno.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Disciplina</t>
        </is>
      </c>
      <c r="D4" s="282" t="inlineStr">
        <is>
          <t>Total</t>
        </is>
      </c>
      <c r="E4" s="282" t="inlineStr">
        <is>
          <t>Finalizados</t>
        </is>
      </c>
      <c r="F4" s="282" t="inlineStr">
        <is>
          <t>Aprovados</t>
        </is>
      </c>
      <c r="G4" s="282" t="inlineStr">
        <is>
          <t>Reprovados</t>
        </is>
      </c>
      <c r="H4" s="282" t="inlineStr">
        <is>
          <t>Reprovados por nota</t>
        </is>
      </c>
      <c r="I4" s="282" t="inlineStr">
        <is>
          <t>Reprovados por falta</t>
        </is>
      </c>
      <c r="J4" s="282" t="inlineStr">
        <is>
          <t>Reprovados outros</t>
        </is>
      </c>
      <c r="K4" s="282" t="inlineStr">
        <is>
          <t>Em andamento</t>
        </is>
      </c>
      <c r="L4" s="282" t="inlineStr">
        <is>
          <t>Quantidade de notas</t>
        </is>
      </c>
      <c r="M4" s="282" t="inlineStr">
        <is>
          <t>Soma das notas</t>
        </is>
      </c>
      <c r="N4" s="282" t="inlineStr">
        <is>
          <t>Média</t>
        </is>
      </c>
      <c r="O4" s="282" t="inlineStr">
        <is>
          <t>Taxa de aprovação</t>
        </is>
      </c>
      <c r="P4" s="282" t="inlineStr">
        <is>
          <t>Validação da linha</t>
        </is>
      </c>
    </row>
    <row r="5" ht="15" customHeight="1" s="131">
      <c r="A5" s="320" t="n"/>
      <c r="B5" s="323" t="n"/>
      <c r="C5" s="323" t="n"/>
      <c r="D5" s="328" t="n"/>
      <c r="E5" s="328" t="n"/>
      <c r="F5" s="328" t="n"/>
      <c r="G5" s="329">
        <f>IF(COUNTA(A5:C5)=0,"",SUM(H5:J5))</f>
        <v/>
      </c>
      <c r="H5" s="328" t="n"/>
      <c r="I5" s="330" t="n"/>
      <c r="J5" s="331" t="n"/>
      <c r="K5" s="331" t="n"/>
      <c r="L5" s="331" t="n"/>
      <c r="M5" s="332" t="n"/>
      <c r="N5" s="302">
        <f>IF(L5&gt;0,M5/L5,"")</f>
        <v/>
      </c>
      <c r="O5" s="317">
        <f>IF(E5&gt;0,F5/E5*100,"")</f>
        <v/>
      </c>
      <c r="P5" s="275">
        <f>IF(COUNTA(A5:C5)=0,"",IF(OR(A5="",B5="",C5="",D5&lt;0,E5&lt;0,F5&lt;0,H5&lt;0,I5&lt;0,J5&lt;0,K5&lt;0,L5&lt;0),"ERRO: valores inválidos",IF(D5&lt;&gt;E5+K5,"ERRO: total inconsistente",IF(E5&lt;&gt;F5+G5,"ERRO: finalizados inconsistentes",IF(G5&lt;&gt;SUM(H5:J5),"ERRO: reprovações inconsistentes","OK")))))</f>
        <v/>
      </c>
    </row>
    <row r="6" ht="15" customHeight="1" s="131">
      <c r="A6" s="320" t="n"/>
      <c r="B6" s="323" t="n"/>
      <c r="C6" s="323" t="n"/>
      <c r="D6" s="328" t="n"/>
      <c r="E6" s="328" t="n"/>
      <c r="F6" s="328" t="n"/>
      <c r="G6" s="329">
        <f>IF(COUNTA(A6:C6)=0,"",SUM(H6:J6))</f>
        <v/>
      </c>
      <c r="H6" s="328" t="n"/>
      <c r="I6" s="330" t="n"/>
      <c r="J6" s="331" t="n"/>
      <c r="K6" s="331" t="n"/>
      <c r="L6" s="331" t="n"/>
      <c r="M6" s="332" t="n"/>
      <c r="N6" s="302">
        <f>IF(L6&gt;0,M6/L6,"")</f>
        <v/>
      </c>
      <c r="O6" s="317">
        <f>IF(E6&gt;0,F6/E6*100,"")</f>
        <v/>
      </c>
      <c r="P6" s="275">
        <f>IF(COUNTA(A6:C6)=0,"",IF(OR(A6="",B6="",C6="",D6&lt;0,E6&lt;0,F6&lt;0,H6&lt;0,I6&lt;0,J6&lt;0,K6&lt;0,L6&lt;0),"ERRO: valores inválidos",IF(D6&lt;&gt;E6+K6,"ERRO: total inconsistente",IF(E6&lt;&gt;F6+G6,"ERRO: finalizados inconsistentes",IF(G6&lt;&gt;SUM(H6:J6),"ERRO: reprovações inconsistentes","OK")))))</f>
        <v/>
      </c>
    </row>
    <row r="7" ht="15" customHeight="1" s="131">
      <c r="A7" s="320" t="n"/>
      <c r="B7" s="323" t="n"/>
      <c r="C7" s="323" t="n"/>
      <c r="D7" s="328" t="n"/>
      <c r="E7" s="328" t="n"/>
      <c r="F7" s="328" t="n"/>
      <c r="G7" s="329">
        <f>IF(COUNTA(A7:C7)=0,"",SUM(H7:J7))</f>
        <v/>
      </c>
      <c r="H7" s="328" t="n"/>
      <c r="I7" s="330" t="n"/>
      <c r="J7" s="331" t="n"/>
      <c r="K7" s="331" t="n"/>
      <c r="L7" s="331" t="n"/>
      <c r="M7" s="332" t="n"/>
      <c r="N7" s="302">
        <f>IF(L7&gt;0,M7/L7,"")</f>
        <v/>
      </c>
      <c r="O7" s="317">
        <f>IF(E7&gt;0,F7/E7*100,"")</f>
        <v/>
      </c>
      <c r="P7" s="275">
        <f>IF(COUNTA(A7:C7)=0,"",IF(OR(A7="",B7="",C7="",D7&lt;0,E7&lt;0,F7&lt;0,H7&lt;0,I7&lt;0,J7&lt;0,K7&lt;0,L7&lt;0),"ERRO: valores inválidos",IF(D7&lt;&gt;E7+K7,"ERRO: total inconsistente",IF(E7&lt;&gt;F7+G7,"ERRO: finalizados inconsistentes",IF(G7&lt;&gt;SUM(H7:J7),"ERRO: reprovações inconsistentes","OK")))))</f>
        <v/>
      </c>
    </row>
    <row r="8" ht="15" customHeight="1" s="131">
      <c r="A8" s="320" t="n"/>
      <c r="B8" s="323" t="n"/>
      <c r="C8" s="323" t="n"/>
      <c r="D8" s="328" t="n"/>
      <c r="E8" s="328" t="n"/>
      <c r="F8" s="328" t="n"/>
      <c r="G8" s="329">
        <f>IF(COUNTA(A8:C8)=0,"",SUM(H8:J8))</f>
        <v/>
      </c>
      <c r="H8" s="328" t="n"/>
      <c r="I8" s="330" t="n"/>
      <c r="J8" s="331" t="n"/>
      <c r="K8" s="331" t="n"/>
      <c r="L8" s="331" t="n"/>
      <c r="M8" s="332" t="n"/>
      <c r="N8" s="302">
        <f>IF(L8&gt;0,M8/L8,"")</f>
        <v/>
      </c>
      <c r="O8" s="317">
        <f>IF(E8&gt;0,F8/E8*100,"")</f>
        <v/>
      </c>
      <c r="P8" s="275">
        <f>IF(COUNTA(A8:C8)=0,"",IF(OR(A8="",B8="",C8="",D8&lt;0,E8&lt;0,F8&lt;0,H8&lt;0,I8&lt;0,J8&lt;0,K8&lt;0,L8&lt;0),"ERRO: valores inválidos",IF(D8&lt;&gt;E8+K8,"ERRO: total inconsistente",IF(E8&lt;&gt;F8+G8,"ERRO: finalizados inconsistentes",IF(G8&lt;&gt;SUM(H8:J8),"ERRO: reprovações inconsistentes","OK")))))</f>
        <v/>
      </c>
    </row>
    <row r="9" ht="15" customHeight="1" s="131">
      <c r="A9" s="320" t="n"/>
      <c r="B9" s="323" t="n"/>
      <c r="C9" s="323" t="n"/>
      <c r="D9" s="328" t="n"/>
      <c r="E9" s="328" t="n"/>
      <c r="F9" s="328" t="n"/>
      <c r="G9" s="329">
        <f>IF(COUNTA(A9:C9)=0,"",SUM(H9:J9))</f>
        <v/>
      </c>
      <c r="H9" s="328" t="n"/>
      <c r="I9" s="330" t="n"/>
      <c r="J9" s="331" t="n"/>
      <c r="K9" s="331" t="n"/>
      <c r="L9" s="331" t="n"/>
      <c r="M9" s="332" t="n"/>
      <c r="N9" s="302">
        <f>IF(L9&gt;0,M9/L9,"")</f>
        <v/>
      </c>
      <c r="O9" s="317">
        <f>IF(E9&gt;0,F9/E9*100,"")</f>
        <v/>
      </c>
      <c r="P9" s="275">
        <f>IF(COUNTA(A9:C9)=0,"",IF(OR(A9="",B9="",C9="",D9&lt;0,E9&lt;0,F9&lt;0,H9&lt;0,I9&lt;0,J9&lt;0,K9&lt;0,L9&lt;0),"ERRO: valores inválidos",IF(D9&lt;&gt;E9+K9,"ERRO: total inconsistente",IF(E9&lt;&gt;F9+G9,"ERRO: finalizados inconsistentes",IF(G9&lt;&gt;SUM(H9:J9),"ERRO: reprovações inconsistentes","OK")))))</f>
        <v/>
      </c>
    </row>
    <row r="10" ht="15" customHeight="1" s="131">
      <c r="A10" s="320" t="n"/>
      <c r="B10" s="323" t="n"/>
      <c r="C10" s="323" t="n"/>
      <c r="D10" s="328" t="n"/>
      <c r="E10" s="328" t="n"/>
      <c r="F10" s="328" t="n"/>
      <c r="G10" s="329">
        <f>IF(COUNTA(A10:C10)=0,"",SUM(H10:J10))</f>
        <v/>
      </c>
      <c r="H10" s="328" t="n"/>
      <c r="I10" s="330" t="n"/>
      <c r="J10" s="331" t="n"/>
      <c r="K10" s="331" t="n"/>
      <c r="L10" s="331" t="n"/>
      <c r="M10" s="332" t="n"/>
      <c r="N10" s="302">
        <f>IF(L10&gt;0,M10/L10,"")</f>
        <v/>
      </c>
      <c r="O10" s="317">
        <f>IF(E10&gt;0,F10/E10*100,"")</f>
        <v/>
      </c>
      <c r="P10" s="275">
        <f>IF(COUNTA(A10:C10)=0,"",IF(OR(A10="",B10="",C10="",D10&lt;0,E10&lt;0,F10&lt;0,H10&lt;0,I10&lt;0,J10&lt;0,K10&lt;0,L10&lt;0),"ERRO: valores inválidos",IF(D10&lt;&gt;E10+K10,"ERRO: total inconsistente",IF(E10&lt;&gt;F10+G10,"ERRO: finalizados inconsistentes",IF(G10&lt;&gt;SUM(H10:J10),"ERRO: reprovações inconsistentes","OK")))))</f>
        <v/>
      </c>
    </row>
    <row r="11" ht="15" customHeight="1" s="131">
      <c r="A11" s="320" t="n"/>
      <c r="B11" s="323" t="n"/>
      <c r="C11" s="323" t="n"/>
      <c r="D11" s="328" t="n"/>
      <c r="E11" s="328" t="n"/>
      <c r="F11" s="328" t="n"/>
      <c r="G11" s="329">
        <f>IF(COUNTA(A11:C11)=0,"",SUM(H11:J11))</f>
        <v/>
      </c>
      <c r="H11" s="328" t="n"/>
      <c r="I11" s="330" t="n"/>
      <c r="J11" s="331" t="n"/>
      <c r="K11" s="331" t="n"/>
      <c r="L11" s="331" t="n"/>
      <c r="M11" s="332" t="n"/>
      <c r="N11" s="302">
        <f>IF(L11&gt;0,M11/L11,"")</f>
        <v/>
      </c>
      <c r="O11" s="317">
        <f>IF(E11&gt;0,F11/E11*100,"")</f>
        <v/>
      </c>
      <c r="P11" s="275">
        <f>IF(COUNTA(A11:C11)=0,"",IF(OR(A11="",B11="",C11="",D11&lt;0,E11&lt;0,F11&lt;0,H11&lt;0,I11&lt;0,J11&lt;0,K11&lt;0,L11&lt;0),"ERRO: valores inválidos",IF(D11&lt;&gt;E11+K11,"ERRO: total inconsistente",IF(E11&lt;&gt;F11+G11,"ERRO: finalizados inconsistentes",IF(G11&lt;&gt;SUM(H11:J11),"ERRO: reprovações inconsistentes","OK")))))</f>
        <v/>
      </c>
    </row>
    <row r="12" ht="15" customHeight="1" s="131">
      <c r="A12" s="320" t="n"/>
      <c r="B12" s="323" t="n"/>
      <c r="C12" s="323" t="n"/>
      <c r="D12" s="328" t="n"/>
      <c r="E12" s="328" t="n"/>
      <c r="F12" s="328" t="n"/>
      <c r="G12" s="329">
        <f>IF(COUNTA(A12:C12)=0,"",SUM(H12:J12))</f>
        <v/>
      </c>
      <c r="H12" s="328" t="n"/>
      <c r="I12" s="330" t="n"/>
      <c r="J12" s="331" t="n"/>
      <c r="K12" s="331" t="n"/>
      <c r="L12" s="331" t="n"/>
      <c r="M12" s="332" t="n"/>
      <c r="N12" s="302">
        <f>IF(L12&gt;0,M12/L12,"")</f>
        <v/>
      </c>
      <c r="O12" s="317">
        <f>IF(E12&gt;0,F12/E12*100,"")</f>
        <v/>
      </c>
      <c r="P12" s="275">
        <f>IF(COUNTA(A12:C12)=0,"",IF(OR(A12="",B12="",C12="",D12&lt;0,E12&lt;0,F12&lt;0,H12&lt;0,I12&lt;0,J12&lt;0,K12&lt;0,L12&lt;0),"ERRO: valores inválidos",IF(D12&lt;&gt;E12+K12,"ERRO: total inconsistente",IF(E12&lt;&gt;F12+G12,"ERRO: finalizados inconsistentes",IF(G12&lt;&gt;SUM(H12:J12),"ERRO: reprovações inconsistentes","OK")))))</f>
        <v/>
      </c>
    </row>
    <row r="13" ht="15" customHeight="1" s="131">
      <c r="A13" s="320" t="n"/>
      <c r="B13" s="323" t="n"/>
      <c r="C13" s="323" t="n"/>
      <c r="D13" s="328" t="n"/>
      <c r="E13" s="328" t="n"/>
      <c r="F13" s="328" t="n"/>
      <c r="G13" s="329">
        <f>IF(COUNTA(A13:C13)=0,"",SUM(H13:J13))</f>
        <v/>
      </c>
      <c r="H13" s="328" t="n"/>
      <c r="I13" s="330" t="n"/>
      <c r="J13" s="331" t="n"/>
      <c r="K13" s="331" t="n"/>
      <c r="L13" s="331" t="n"/>
      <c r="M13" s="332" t="n"/>
      <c r="N13" s="302">
        <f>IF(L13&gt;0,M13/L13,"")</f>
        <v/>
      </c>
      <c r="O13" s="317">
        <f>IF(E13&gt;0,F13/E13*100,"")</f>
        <v/>
      </c>
      <c r="P13" s="275">
        <f>IF(COUNTA(A13:C13)=0,"",IF(OR(A13="",B13="",C13="",D13&lt;0,E13&lt;0,F13&lt;0,H13&lt;0,I13&lt;0,J13&lt;0,K13&lt;0,L13&lt;0),"ERRO: valores inválidos",IF(D13&lt;&gt;E13+K13,"ERRO: total inconsistente",IF(E13&lt;&gt;F13+G13,"ERRO: finalizados inconsistentes",IF(G13&lt;&gt;SUM(H13:J13),"ERRO: reprovações inconsistentes","OK")))))</f>
        <v/>
      </c>
    </row>
    <row r="14" ht="15" customHeight="1" s="131">
      <c r="A14" s="320" t="n"/>
      <c r="B14" s="323" t="n"/>
      <c r="C14" s="323" t="n"/>
      <c r="D14" s="328" t="n"/>
      <c r="E14" s="328" t="n"/>
      <c r="F14" s="328" t="n"/>
      <c r="G14" s="329">
        <f>IF(COUNTA(A14:C14)=0,"",SUM(H14:J14))</f>
        <v/>
      </c>
      <c r="H14" s="328" t="n"/>
      <c r="I14" s="330" t="n"/>
      <c r="J14" s="331" t="n"/>
      <c r="K14" s="331" t="n"/>
      <c r="L14" s="331" t="n"/>
      <c r="M14" s="332" t="n"/>
      <c r="N14" s="302">
        <f>IF(L14&gt;0,M14/L14,"")</f>
        <v/>
      </c>
      <c r="O14" s="317">
        <f>IF(E14&gt;0,F14/E14*100,"")</f>
        <v/>
      </c>
      <c r="P14" s="275">
        <f>IF(COUNTA(A14:C14)=0,"",IF(OR(A14="",B14="",C14="",D14&lt;0,E14&lt;0,F14&lt;0,H14&lt;0,I14&lt;0,J14&lt;0,K14&lt;0,L14&lt;0),"ERRO: valores inválidos",IF(D14&lt;&gt;E14+K14,"ERRO: total inconsistente",IF(E14&lt;&gt;F14+G14,"ERRO: finalizados inconsistentes",IF(G14&lt;&gt;SUM(H14:J14),"ERRO: reprovações inconsistentes","OK")))))</f>
        <v/>
      </c>
    </row>
    <row r="15" ht="15" customHeight="1" s="131">
      <c r="A15" s="320" t="n"/>
      <c r="B15" s="323" t="n"/>
      <c r="C15" s="323" t="n"/>
      <c r="D15" s="328" t="n"/>
      <c r="E15" s="328" t="n"/>
      <c r="F15" s="328" t="n"/>
      <c r="G15" s="329">
        <f>IF(COUNTA(A15:C15)=0,"",SUM(H15:J15))</f>
        <v/>
      </c>
      <c r="H15" s="328" t="n"/>
      <c r="I15" s="330" t="n"/>
      <c r="J15" s="331" t="n"/>
      <c r="K15" s="331" t="n"/>
      <c r="L15" s="331" t="n"/>
      <c r="M15" s="332" t="n"/>
      <c r="N15" s="302">
        <f>IF(L15&gt;0,M15/L15,"")</f>
        <v/>
      </c>
      <c r="O15" s="317">
        <f>IF(E15&gt;0,F15/E15*100,"")</f>
        <v/>
      </c>
      <c r="P15" s="275">
        <f>IF(COUNTA(A15:C15)=0,"",IF(OR(A15="",B15="",C15="",D15&lt;0,E15&lt;0,F15&lt;0,H15&lt;0,I15&lt;0,J15&lt;0,K15&lt;0,L15&lt;0),"ERRO: valores inválidos",IF(D15&lt;&gt;E15+K15,"ERRO: total inconsistente",IF(E15&lt;&gt;F15+G15,"ERRO: finalizados inconsistentes",IF(G15&lt;&gt;SUM(H15:J15),"ERRO: reprovações inconsistentes","OK")))))</f>
        <v/>
      </c>
    </row>
    <row r="16" ht="15" customHeight="1" s="131">
      <c r="A16" s="320" t="n"/>
      <c r="B16" s="323" t="n"/>
      <c r="C16" s="323" t="n"/>
      <c r="D16" s="328" t="n"/>
      <c r="E16" s="328" t="n"/>
      <c r="F16" s="328" t="n"/>
      <c r="G16" s="329">
        <f>IF(COUNTA(A16:C16)=0,"",SUM(H16:J16))</f>
        <v/>
      </c>
      <c r="H16" s="328" t="n"/>
      <c r="I16" s="330" t="n"/>
      <c r="J16" s="331" t="n"/>
      <c r="K16" s="331" t="n"/>
      <c r="L16" s="331" t="n"/>
      <c r="M16" s="332" t="n"/>
      <c r="N16" s="302">
        <f>IF(L16&gt;0,M16/L16,"")</f>
        <v/>
      </c>
      <c r="O16" s="317">
        <f>IF(E16&gt;0,F16/E16*100,"")</f>
        <v/>
      </c>
      <c r="P16" s="275">
        <f>IF(COUNTA(A16:C16)=0,"",IF(OR(A16="",B16="",C16="",D16&lt;0,E16&lt;0,F16&lt;0,H16&lt;0,I16&lt;0,J16&lt;0,K16&lt;0,L16&lt;0),"ERRO: valores inválidos",IF(D16&lt;&gt;E16+K16,"ERRO: total inconsistente",IF(E16&lt;&gt;F16+G16,"ERRO: finalizados inconsistentes",IF(G16&lt;&gt;SUM(H16:J16),"ERRO: reprovações inconsistentes","OK")))))</f>
        <v/>
      </c>
    </row>
    <row r="17" ht="15" customHeight="1" s="131">
      <c r="A17" s="320" t="n"/>
      <c r="B17" s="323" t="n"/>
      <c r="C17" s="323" t="n"/>
      <c r="D17" s="328" t="n"/>
      <c r="E17" s="328" t="n"/>
      <c r="F17" s="328" t="n"/>
      <c r="G17" s="329">
        <f>IF(COUNTA(A17:C17)=0,"",SUM(H17:J17))</f>
        <v/>
      </c>
      <c r="H17" s="328" t="n"/>
      <c r="I17" s="330" t="n"/>
      <c r="J17" s="331" t="n"/>
      <c r="K17" s="331" t="n"/>
      <c r="L17" s="331" t="n"/>
      <c r="M17" s="332" t="n"/>
      <c r="N17" s="302">
        <f>IF(L17&gt;0,M17/L17,"")</f>
        <v/>
      </c>
      <c r="O17" s="317">
        <f>IF(E17&gt;0,F17/E17*100,"")</f>
        <v/>
      </c>
      <c r="P17" s="275">
        <f>IF(COUNTA(A17:C17)=0,"",IF(OR(A17="",B17="",C17="",D17&lt;0,E17&lt;0,F17&lt;0,H17&lt;0,I17&lt;0,J17&lt;0,K17&lt;0,L17&lt;0),"ERRO: valores inválidos",IF(D17&lt;&gt;E17+K17,"ERRO: total inconsistente",IF(E17&lt;&gt;F17+G17,"ERRO: finalizados inconsistentes",IF(G17&lt;&gt;SUM(H17:J17),"ERRO: reprovações inconsistentes","OK")))))</f>
        <v/>
      </c>
    </row>
    <row r="18" ht="15" customHeight="1" s="131">
      <c r="A18" s="320" t="n"/>
      <c r="B18" s="323" t="n"/>
      <c r="C18" s="323" t="n"/>
      <c r="D18" s="328" t="n"/>
      <c r="E18" s="328" t="n"/>
      <c r="F18" s="328" t="n"/>
      <c r="G18" s="329">
        <f>IF(COUNTA(A18:C18)=0,"",SUM(H18:J18))</f>
        <v/>
      </c>
      <c r="H18" s="328" t="n"/>
      <c r="I18" s="330" t="n"/>
      <c r="J18" s="331" t="n"/>
      <c r="K18" s="331" t="n"/>
      <c r="L18" s="331" t="n"/>
      <c r="M18" s="332" t="n"/>
      <c r="N18" s="302">
        <f>IF(L18&gt;0,M18/L18,"")</f>
        <v/>
      </c>
      <c r="O18" s="317">
        <f>IF(E18&gt;0,F18/E18*100,"")</f>
        <v/>
      </c>
      <c r="P18" s="275">
        <f>IF(COUNTA(A18:C18)=0,"",IF(OR(A18="",B18="",C18="",D18&lt;0,E18&lt;0,F18&lt;0,H18&lt;0,I18&lt;0,J18&lt;0,K18&lt;0,L18&lt;0),"ERRO: valores inválidos",IF(D18&lt;&gt;E18+K18,"ERRO: total inconsistente",IF(E18&lt;&gt;F18+G18,"ERRO: finalizados inconsistentes",IF(G18&lt;&gt;SUM(H18:J18),"ERRO: reprovações inconsistentes","OK")))))</f>
        <v/>
      </c>
    </row>
    <row r="19" ht="15" customHeight="1" s="131">
      <c r="A19" s="320" t="n"/>
      <c r="B19" s="323" t="n"/>
      <c r="C19" s="323" t="n"/>
      <c r="D19" s="328" t="n"/>
      <c r="E19" s="328" t="n"/>
      <c r="F19" s="328" t="n"/>
      <c r="G19" s="329">
        <f>IF(COUNTA(A19:C19)=0,"",SUM(H19:J19))</f>
        <v/>
      </c>
      <c r="H19" s="328" t="n"/>
      <c r="I19" s="330" t="n"/>
      <c r="J19" s="331" t="n"/>
      <c r="K19" s="331" t="n"/>
      <c r="L19" s="331" t="n"/>
      <c r="M19" s="332" t="n"/>
      <c r="N19" s="302">
        <f>IF(L19&gt;0,M19/L19,"")</f>
        <v/>
      </c>
      <c r="O19" s="317">
        <f>IF(E19&gt;0,F19/E19*100,"")</f>
        <v/>
      </c>
      <c r="P19" s="275">
        <f>IF(COUNTA(A19:C19)=0,"",IF(OR(A19="",B19="",C19="",D19&lt;0,E19&lt;0,F19&lt;0,H19&lt;0,I19&lt;0,J19&lt;0,K19&lt;0,L19&lt;0),"ERRO: valores inválidos",IF(D19&lt;&gt;E19+K19,"ERRO: total inconsistente",IF(E19&lt;&gt;F19+G19,"ERRO: finalizados inconsistentes",IF(G19&lt;&gt;SUM(H19:J19),"ERRO: reprovações inconsistentes","OK")))))</f>
        <v/>
      </c>
    </row>
    <row r="20" ht="15" customHeight="1" s="131">
      <c r="A20" s="320" t="n"/>
      <c r="B20" s="323" t="n"/>
      <c r="C20" s="323" t="n"/>
      <c r="D20" s="328" t="n"/>
      <c r="E20" s="328" t="n"/>
      <c r="F20" s="328" t="n"/>
      <c r="G20" s="329">
        <f>IF(COUNTA(A20:C20)=0,"",SUM(H20:J20))</f>
        <v/>
      </c>
      <c r="H20" s="328" t="n"/>
      <c r="I20" s="330" t="n"/>
      <c r="J20" s="331" t="n"/>
      <c r="K20" s="331" t="n"/>
      <c r="L20" s="331" t="n"/>
      <c r="M20" s="332" t="n"/>
      <c r="N20" s="302">
        <f>IF(L20&gt;0,M20/L20,"")</f>
        <v/>
      </c>
      <c r="O20" s="317">
        <f>IF(E20&gt;0,F20/E20*100,"")</f>
        <v/>
      </c>
      <c r="P20" s="275">
        <f>IF(COUNTA(A20:C20)=0,"",IF(OR(A20="",B20="",C20="",D20&lt;0,E20&lt;0,F20&lt;0,H20&lt;0,I20&lt;0,J20&lt;0,K20&lt;0,L20&lt;0),"ERRO: valores inválidos",IF(D20&lt;&gt;E20+K20,"ERRO: total inconsistente",IF(E20&lt;&gt;F20+G20,"ERRO: finalizados inconsistentes",IF(G20&lt;&gt;SUM(H20:J20),"ERRO: reprovações inconsistentes","OK")))))</f>
        <v/>
      </c>
    </row>
    <row r="21" ht="15" customHeight="1" s="131">
      <c r="A21" s="320" t="n"/>
      <c r="B21" s="323" t="n"/>
      <c r="C21" s="323" t="n"/>
      <c r="D21" s="328" t="n"/>
      <c r="E21" s="328" t="n"/>
      <c r="F21" s="328" t="n"/>
      <c r="G21" s="329">
        <f>IF(COUNTA(A21:C21)=0,"",SUM(H21:J21))</f>
        <v/>
      </c>
      <c r="H21" s="328" t="n"/>
      <c r="I21" s="330" t="n"/>
      <c r="J21" s="331" t="n"/>
      <c r="K21" s="331" t="n"/>
      <c r="L21" s="331" t="n"/>
      <c r="M21" s="332" t="n"/>
      <c r="N21" s="302">
        <f>IF(L21&gt;0,M21/L21,"")</f>
        <v/>
      </c>
      <c r="O21" s="317">
        <f>IF(E21&gt;0,F21/E21*100,"")</f>
        <v/>
      </c>
      <c r="P21" s="275">
        <f>IF(COUNTA(A21:C21)=0,"",IF(OR(A21="",B21="",C21="",D21&lt;0,E21&lt;0,F21&lt;0,H21&lt;0,I21&lt;0,J21&lt;0,K21&lt;0,L21&lt;0),"ERRO: valores inválidos",IF(D21&lt;&gt;E21+K21,"ERRO: total inconsistente",IF(E21&lt;&gt;F21+G21,"ERRO: finalizados inconsistentes",IF(G21&lt;&gt;SUM(H21:J21),"ERRO: reprovações inconsistentes","OK")))))</f>
        <v/>
      </c>
    </row>
    <row r="22" ht="15" customHeight="1" s="131">
      <c r="A22" s="320" t="n"/>
      <c r="B22" s="323" t="n"/>
      <c r="C22" s="323" t="n"/>
      <c r="D22" s="328" t="n"/>
      <c r="E22" s="328" t="n"/>
      <c r="F22" s="328" t="n"/>
      <c r="G22" s="329">
        <f>IF(COUNTA(A22:C22)=0,"",SUM(H22:J22))</f>
        <v/>
      </c>
      <c r="H22" s="328" t="n"/>
      <c r="I22" s="330" t="n"/>
      <c r="J22" s="331" t="n"/>
      <c r="K22" s="331" t="n"/>
      <c r="L22" s="331" t="n"/>
      <c r="M22" s="332" t="n"/>
      <c r="N22" s="302">
        <f>IF(L22&gt;0,M22/L22,"")</f>
        <v/>
      </c>
      <c r="O22" s="317">
        <f>IF(E22&gt;0,F22/E22*100,"")</f>
        <v/>
      </c>
      <c r="P22" s="275">
        <f>IF(COUNTA(A22:C22)=0,"",IF(OR(A22="",B22="",C22="",D22&lt;0,E22&lt;0,F22&lt;0,H22&lt;0,I22&lt;0,J22&lt;0,K22&lt;0,L22&lt;0),"ERRO: valores inválidos",IF(D22&lt;&gt;E22+K22,"ERRO: total inconsistente",IF(E22&lt;&gt;F22+G22,"ERRO: finalizados inconsistentes",IF(G22&lt;&gt;SUM(H22:J22),"ERRO: reprovações inconsistentes","OK")))))</f>
        <v/>
      </c>
    </row>
    <row r="23" ht="15" customHeight="1" s="131">
      <c r="A23" s="320" t="n"/>
      <c r="B23" s="323" t="n"/>
      <c r="C23" s="323" t="n"/>
      <c r="D23" s="328" t="n"/>
      <c r="E23" s="328" t="n"/>
      <c r="F23" s="328" t="n"/>
      <c r="G23" s="329">
        <f>IF(COUNTA(A23:C23)=0,"",SUM(H23:J23))</f>
        <v/>
      </c>
      <c r="H23" s="328" t="n"/>
      <c r="I23" s="330" t="n"/>
      <c r="J23" s="331" t="n"/>
      <c r="K23" s="331" t="n"/>
      <c r="L23" s="331" t="n"/>
      <c r="M23" s="332" t="n"/>
      <c r="N23" s="302">
        <f>IF(L23&gt;0,M23/L23,"")</f>
        <v/>
      </c>
      <c r="O23" s="317">
        <f>IF(E23&gt;0,F23/E23*100,"")</f>
        <v/>
      </c>
      <c r="P23" s="275">
        <f>IF(COUNTA(A23:C23)=0,"",IF(OR(A23="",B23="",C23="",D23&lt;0,E23&lt;0,F23&lt;0,H23&lt;0,I23&lt;0,J23&lt;0,K23&lt;0,L23&lt;0),"ERRO: valores inválidos",IF(D23&lt;&gt;E23+K23,"ERRO: total inconsistente",IF(E23&lt;&gt;F23+G23,"ERRO: finalizados inconsistentes",IF(G23&lt;&gt;SUM(H23:J23),"ERRO: reprovações inconsistentes","OK")))))</f>
        <v/>
      </c>
    </row>
    <row r="24" ht="15" customHeight="1" s="131">
      <c r="A24" s="320" t="n"/>
      <c r="B24" s="323" t="n"/>
      <c r="C24" s="323" t="n"/>
      <c r="D24" s="328" t="n"/>
      <c r="E24" s="328" t="n"/>
      <c r="F24" s="328" t="n"/>
      <c r="G24" s="329">
        <f>IF(COUNTA(A24:C24)=0,"",SUM(H24:J24))</f>
        <v/>
      </c>
      <c r="H24" s="328" t="n"/>
      <c r="I24" s="330" t="n"/>
      <c r="J24" s="331" t="n"/>
      <c r="K24" s="331" t="n"/>
      <c r="L24" s="331" t="n"/>
      <c r="M24" s="332" t="n"/>
      <c r="N24" s="302">
        <f>IF(L24&gt;0,M24/L24,"")</f>
        <v/>
      </c>
      <c r="O24" s="317">
        <f>IF(E24&gt;0,F24/E24*100,"")</f>
        <v/>
      </c>
      <c r="P24" s="275">
        <f>IF(COUNTA(A24:C24)=0,"",IF(OR(A24="",B24="",C24="",D24&lt;0,E24&lt;0,F24&lt;0,H24&lt;0,I24&lt;0,J24&lt;0,K24&lt;0,L24&lt;0),"ERRO: valores inválidos",IF(D24&lt;&gt;E24+K24,"ERRO: total inconsistente",IF(E24&lt;&gt;F24+G24,"ERRO: finalizados inconsistentes",IF(G24&lt;&gt;SUM(H24:J24),"ERRO: reprovações inconsistentes","OK")))))</f>
        <v/>
      </c>
    </row>
    <row r="25" ht="15" customHeight="1" s="131">
      <c r="A25" s="320" t="n"/>
      <c r="B25" s="323" t="n"/>
      <c r="C25" s="323" t="n"/>
      <c r="D25" s="328" t="n"/>
      <c r="E25" s="328" t="n"/>
      <c r="F25" s="328" t="n"/>
      <c r="G25" s="329">
        <f>IF(COUNTA(A25:C25)=0,"",SUM(H25:J25))</f>
        <v/>
      </c>
      <c r="H25" s="328" t="n"/>
      <c r="I25" s="330" t="n"/>
      <c r="J25" s="331" t="n"/>
      <c r="K25" s="331" t="n"/>
      <c r="L25" s="331" t="n"/>
      <c r="M25" s="332" t="n"/>
      <c r="N25" s="302">
        <f>IF(L25&gt;0,M25/L25,"")</f>
        <v/>
      </c>
      <c r="O25" s="317">
        <f>IF(E25&gt;0,F25/E25*100,"")</f>
        <v/>
      </c>
      <c r="P25" s="275">
        <f>IF(COUNTA(A25:C25)=0,"",IF(OR(A25="",B25="",C25="",D25&lt;0,E25&lt;0,F25&lt;0,H25&lt;0,I25&lt;0,J25&lt;0,K25&lt;0,L25&lt;0),"ERRO: valores inválidos",IF(D25&lt;&gt;E25+K25,"ERRO: total inconsistente",IF(E25&lt;&gt;F25+G25,"ERRO: finalizados inconsistentes",IF(G25&lt;&gt;SUM(H25:J25),"ERRO: reprovações inconsistentes","OK")))))</f>
        <v/>
      </c>
    </row>
    <row r="26" ht="15" customHeight="1" s="131">
      <c r="A26" s="320" t="n"/>
      <c r="B26" s="323" t="n"/>
      <c r="C26" s="323" t="n"/>
      <c r="D26" s="328" t="n"/>
      <c r="E26" s="328" t="n"/>
      <c r="F26" s="328" t="n"/>
      <c r="G26" s="329">
        <f>IF(COUNTA(A26:C26)=0,"",SUM(H26:J26))</f>
        <v/>
      </c>
      <c r="H26" s="328" t="n"/>
      <c r="I26" s="330" t="n"/>
      <c r="J26" s="331" t="n"/>
      <c r="K26" s="331" t="n"/>
      <c r="L26" s="331" t="n"/>
      <c r="M26" s="332" t="n"/>
      <c r="N26" s="302">
        <f>IF(L26&gt;0,M26/L26,"")</f>
        <v/>
      </c>
      <c r="O26" s="317">
        <f>IF(E26&gt;0,F26/E26*100,"")</f>
        <v/>
      </c>
      <c r="P26" s="275">
        <f>IF(COUNTA(A26:C26)=0,"",IF(OR(A26="",B26="",C26="",D26&lt;0,E26&lt;0,F26&lt;0,H26&lt;0,I26&lt;0,J26&lt;0,K26&lt;0,L26&lt;0),"ERRO: valores inválidos",IF(D26&lt;&gt;E26+K26,"ERRO: total inconsistente",IF(E26&lt;&gt;F26+G26,"ERRO: finalizados inconsistentes",IF(G26&lt;&gt;SUM(H26:J26),"ERRO: reprovações inconsistentes","OK")))))</f>
        <v/>
      </c>
    </row>
    <row r="27" ht="15" customHeight="1" s="131">
      <c r="A27" s="320" t="n"/>
      <c r="B27" s="323" t="n"/>
      <c r="C27" s="323" t="n"/>
      <c r="D27" s="328" t="n"/>
      <c r="E27" s="328" t="n"/>
      <c r="F27" s="328" t="n"/>
      <c r="G27" s="329">
        <f>IF(COUNTA(A27:C27)=0,"",SUM(H27:J27))</f>
        <v/>
      </c>
      <c r="H27" s="328" t="n"/>
      <c r="I27" s="330" t="n"/>
      <c r="J27" s="331" t="n"/>
      <c r="K27" s="331" t="n"/>
      <c r="L27" s="331" t="n"/>
      <c r="M27" s="332" t="n"/>
      <c r="N27" s="302">
        <f>IF(L27&gt;0,M27/L27,"")</f>
        <v/>
      </c>
      <c r="O27" s="317">
        <f>IF(E27&gt;0,F27/E27*100,"")</f>
        <v/>
      </c>
      <c r="P27" s="275">
        <f>IF(COUNTA(A27:C27)=0,"",IF(OR(A27="",B27="",C27="",D27&lt;0,E27&lt;0,F27&lt;0,H27&lt;0,I27&lt;0,J27&lt;0,K27&lt;0,L27&lt;0),"ERRO: valores inválidos",IF(D27&lt;&gt;E27+K27,"ERRO: total inconsistente",IF(E27&lt;&gt;F27+G27,"ERRO: finalizados inconsistentes",IF(G27&lt;&gt;SUM(H27:J27),"ERRO: reprovações inconsistentes","OK")))))</f>
        <v/>
      </c>
    </row>
    <row r="28" ht="15" customHeight="1" s="131">
      <c r="A28" s="320" t="n"/>
      <c r="B28" s="323" t="n"/>
      <c r="C28" s="323" t="n"/>
      <c r="D28" s="328" t="n"/>
      <c r="E28" s="328" t="n"/>
      <c r="F28" s="328" t="n"/>
      <c r="G28" s="329">
        <f>IF(COUNTA(A28:C28)=0,"",SUM(H28:J28))</f>
        <v/>
      </c>
      <c r="H28" s="328" t="n"/>
      <c r="I28" s="330" t="n"/>
      <c r="J28" s="331" t="n"/>
      <c r="K28" s="331" t="n"/>
      <c r="L28" s="331" t="n"/>
      <c r="M28" s="332" t="n"/>
      <c r="N28" s="302">
        <f>IF(L28&gt;0,M28/L28,"")</f>
        <v/>
      </c>
      <c r="O28" s="317">
        <f>IF(E28&gt;0,F28/E28*100,"")</f>
        <v/>
      </c>
      <c r="P28" s="275">
        <f>IF(COUNTA(A28:C28)=0,"",IF(OR(A28="",B28="",C28="",D28&lt;0,E28&lt;0,F28&lt;0,H28&lt;0,I28&lt;0,J28&lt;0,K28&lt;0,L28&lt;0),"ERRO: valores inválidos",IF(D28&lt;&gt;E28+K28,"ERRO: total inconsistente",IF(E28&lt;&gt;F28+G28,"ERRO: finalizados inconsistentes",IF(G28&lt;&gt;SUM(H28:J28),"ERRO: reprovações inconsistentes","OK")))))</f>
        <v/>
      </c>
    </row>
    <row r="29" ht="15" customHeight="1" s="131">
      <c r="A29" s="320" t="n"/>
      <c r="B29" s="323" t="n"/>
      <c r="C29" s="323" t="n"/>
      <c r="D29" s="328" t="n"/>
      <c r="E29" s="328" t="n"/>
      <c r="F29" s="328" t="n"/>
      <c r="G29" s="329">
        <f>IF(COUNTA(A29:C29)=0,"",SUM(H29:J29))</f>
        <v/>
      </c>
      <c r="H29" s="328" t="n"/>
      <c r="I29" s="330" t="n"/>
      <c r="J29" s="331" t="n"/>
      <c r="K29" s="331" t="n"/>
      <c r="L29" s="331" t="n"/>
      <c r="M29" s="332" t="n"/>
      <c r="N29" s="302">
        <f>IF(L29&gt;0,M29/L29,"")</f>
        <v/>
      </c>
      <c r="O29" s="317">
        <f>IF(E29&gt;0,F29/E29*100,"")</f>
        <v/>
      </c>
      <c r="P29" s="275">
        <f>IF(COUNTA(A29:C29)=0,"",IF(OR(A29="",B29="",C29="",D29&lt;0,E29&lt;0,F29&lt;0,H29&lt;0,I29&lt;0,J29&lt;0,K29&lt;0,L29&lt;0),"ERRO: valores inválidos",IF(D29&lt;&gt;E29+K29,"ERRO: total inconsistente",IF(E29&lt;&gt;F29+G29,"ERRO: finalizados inconsistentes",IF(G29&lt;&gt;SUM(H29:J29),"ERRO: reprovações inconsistentes","OK")))))</f>
        <v/>
      </c>
    </row>
    <row r="30" ht="15" customHeight="1" s="131">
      <c r="A30" s="320" t="n"/>
      <c r="B30" s="323" t="n"/>
      <c r="C30" s="323" t="n"/>
      <c r="D30" s="328" t="n"/>
      <c r="E30" s="328" t="n"/>
      <c r="F30" s="328" t="n"/>
      <c r="G30" s="329">
        <f>IF(COUNTA(A30:C30)=0,"",SUM(H30:J30))</f>
        <v/>
      </c>
      <c r="H30" s="328" t="n"/>
      <c r="I30" s="330" t="n"/>
      <c r="J30" s="331" t="n"/>
      <c r="K30" s="331" t="n"/>
      <c r="L30" s="331" t="n"/>
      <c r="M30" s="332" t="n"/>
      <c r="N30" s="302">
        <f>IF(L30&gt;0,M30/L30,"")</f>
        <v/>
      </c>
      <c r="O30" s="317">
        <f>IF(E30&gt;0,F30/E30*100,"")</f>
        <v/>
      </c>
      <c r="P30" s="275">
        <f>IF(COUNTA(A30:C30)=0,"",IF(OR(A30="",B30="",C30="",D30&lt;0,E30&lt;0,F30&lt;0,H30&lt;0,I30&lt;0,J30&lt;0,K30&lt;0,L30&lt;0),"ERRO: valores inválidos",IF(D30&lt;&gt;E30+K30,"ERRO: total inconsistente",IF(E30&lt;&gt;F30+G30,"ERRO: finalizados inconsistentes",IF(G30&lt;&gt;SUM(H30:J30),"ERRO: reprovações inconsistentes","OK")))))</f>
        <v/>
      </c>
    </row>
    <row r="31" ht="15" customHeight="1" s="131">
      <c r="A31" s="320" t="n"/>
      <c r="B31" s="323" t="n"/>
      <c r="C31" s="323" t="n"/>
      <c r="D31" s="328" t="n"/>
      <c r="E31" s="328" t="n"/>
      <c r="F31" s="328" t="n"/>
      <c r="G31" s="329">
        <f>IF(COUNTA(A31:C31)=0,"",SUM(H31:J31))</f>
        <v/>
      </c>
      <c r="H31" s="328" t="n"/>
      <c r="I31" s="330" t="n"/>
      <c r="J31" s="331" t="n"/>
      <c r="K31" s="331" t="n"/>
      <c r="L31" s="331" t="n"/>
      <c r="M31" s="332" t="n"/>
      <c r="N31" s="302">
        <f>IF(L31&gt;0,M31/L31,"")</f>
        <v/>
      </c>
      <c r="O31" s="317">
        <f>IF(E31&gt;0,F31/E31*100,"")</f>
        <v/>
      </c>
      <c r="P31" s="275">
        <f>IF(COUNTA(A31:C31)=0,"",IF(OR(A31="",B31="",C31="",D31&lt;0,E31&lt;0,F31&lt;0,H31&lt;0,I31&lt;0,J31&lt;0,K31&lt;0,L31&lt;0),"ERRO: valores inválidos",IF(D31&lt;&gt;E31+K31,"ERRO: total inconsistente",IF(E31&lt;&gt;F31+G31,"ERRO: finalizados inconsistentes",IF(G31&lt;&gt;SUM(H31:J31),"ERRO: reprovações inconsistentes","OK")))))</f>
        <v/>
      </c>
    </row>
    <row r="32" ht="15" customHeight="1" s="131">
      <c r="A32" s="320" t="n"/>
      <c r="B32" s="323" t="n"/>
      <c r="C32" s="323" t="n"/>
      <c r="D32" s="328" t="n"/>
      <c r="E32" s="328" t="n"/>
      <c r="F32" s="328" t="n"/>
      <c r="G32" s="329">
        <f>IF(COUNTA(A32:C32)=0,"",SUM(H32:J32))</f>
        <v/>
      </c>
      <c r="H32" s="328" t="n"/>
      <c r="I32" s="330" t="n"/>
      <c r="J32" s="331" t="n"/>
      <c r="K32" s="331" t="n"/>
      <c r="L32" s="331" t="n"/>
      <c r="M32" s="332" t="n"/>
      <c r="N32" s="302">
        <f>IF(L32&gt;0,M32/L32,"")</f>
        <v/>
      </c>
      <c r="O32" s="317">
        <f>IF(E32&gt;0,F32/E32*100,"")</f>
        <v/>
      </c>
      <c r="P32" s="275">
        <f>IF(COUNTA(A32:C32)=0,"",IF(OR(A32="",B32="",C32="",D32&lt;0,E32&lt;0,F32&lt;0,H32&lt;0,I32&lt;0,J32&lt;0,K32&lt;0,L32&lt;0),"ERRO: valores inválidos",IF(D32&lt;&gt;E32+K32,"ERRO: total inconsistente",IF(E32&lt;&gt;F32+G32,"ERRO: finalizados inconsistentes",IF(G32&lt;&gt;SUM(H32:J32),"ERRO: reprovações inconsistentes","OK")))))</f>
        <v/>
      </c>
    </row>
    <row r="33" ht="15" customHeight="1" s="131">
      <c r="A33" s="320" t="n"/>
      <c r="B33" s="323" t="n"/>
      <c r="C33" s="323" t="n"/>
      <c r="D33" s="328" t="n"/>
      <c r="E33" s="328" t="n"/>
      <c r="F33" s="328" t="n"/>
      <c r="G33" s="329">
        <f>IF(COUNTA(A33:C33)=0,"",SUM(H33:J33))</f>
        <v/>
      </c>
      <c r="H33" s="328" t="n"/>
      <c r="I33" s="330" t="n"/>
      <c r="J33" s="331" t="n"/>
      <c r="K33" s="331" t="n"/>
      <c r="L33" s="331" t="n"/>
      <c r="M33" s="332" t="n"/>
      <c r="N33" s="302">
        <f>IF(L33&gt;0,M33/L33,"")</f>
        <v/>
      </c>
      <c r="O33" s="317">
        <f>IF(E33&gt;0,F33/E33*100,"")</f>
        <v/>
      </c>
      <c r="P33" s="275">
        <f>IF(COUNTA(A33:C33)=0,"",IF(OR(A33="",B33="",C33="",D33&lt;0,E33&lt;0,F33&lt;0,H33&lt;0,I33&lt;0,J33&lt;0,K33&lt;0,L33&lt;0),"ERRO: valores inválidos",IF(D33&lt;&gt;E33+K33,"ERRO: total inconsistente",IF(E33&lt;&gt;F33+G33,"ERRO: finalizados inconsistentes",IF(G33&lt;&gt;SUM(H33:J33),"ERRO: reprovações inconsistentes","OK")))))</f>
        <v/>
      </c>
    </row>
    <row r="34" ht="15" customHeight="1" s="131">
      <c r="A34" s="320" t="n"/>
      <c r="B34" s="323" t="n"/>
      <c r="C34" s="323" t="n"/>
      <c r="D34" s="328" t="n"/>
      <c r="E34" s="328" t="n"/>
      <c r="F34" s="328" t="n"/>
      <c r="G34" s="329">
        <f>IF(COUNTA(A34:C34)=0,"",SUM(H34:J34))</f>
        <v/>
      </c>
      <c r="H34" s="328" t="n"/>
      <c r="I34" s="330" t="n"/>
      <c r="J34" s="331" t="n"/>
      <c r="K34" s="331" t="n"/>
      <c r="L34" s="331" t="n"/>
      <c r="M34" s="332" t="n"/>
      <c r="N34" s="302">
        <f>IF(L34&gt;0,M34/L34,"")</f>
        <v/>
      </c>
      <c r="O34" s="317">
        <f>IF(E34&gt;0,F34/E34*100,"")</f>
        <v/>
      </c>
      <c r="P34" s="275">
        <f>IF(COUNTA(A34:C34)=0,"",IF(OR(A34="",B34="",C34="",D34&lt;0,E34&lt;0,F34&lt;0,H34&lt;0,I34&lt;0,J34&lt;0,K34&lt;0,L34&lt;0),"ERRO: valores inválidos",IF(D34&lt;&gt;E34+K34,"ERRO: total inconsistente",IF(E34&lt;&gt;F34+G34,"ERRO: finalizados inconsistentes",IF(G34&lt;&gt;SUM(H34:J34),"ERRO: reprovações inconsistentes","OK")))))</f>
        <v/>
      </c>
    </row>
    <row r="35" ht="15" customHeight="1" s="131">
      <c r="A35" s="320" t="n"/>
      <c r="B35" s="323" t="n"/>
      <c r="C35" s="323" t="n"/>
      <c r="D35" s="328" t="n"/>
      <c r="E35" s="328" t="n"/>
      <c r="F35" s="328" t="n"/>
      <c r="G35" s="329">
        <f>IF(COUNTA(A35:C35)=0,"",SUM(H35:J35))</f>
        <v/>
      </c>
      <c r="H35" s="328" t="n"/>
      <c r="I35" s="330" t="n"/>
      <c r="J35" s="331" t="n"/>
      <c r="K35" s="331" t="n"/>
      <c r="L35" s="331" t="n"/>
      <c r="M35" s="332" t="n"/>
      <c r="N35" s="302">
        <f>IF(L35&gt;0,M35/L35,"")</f>
        <v/>
      </c>
      <c r="O35" s="317">
        <f>IF(E35&gt;0,F35/E35*100,"")</f>
        <v/>
      </c>
      <c r="P35" s="275">
        <f>IF(COUNTA(A35:C35)=0,"",IF(OR(A35="",B35="",C35="",D35&lt;0,E35&lt;0,F35&lt;0,H35&lt;0,I35&lt;0,J35&lt;0,K35&lt;0,L35&lt;0),"ERRO: valores inválidos",IF(D35&lt;&gt;E35+K35,"ERRO: total inconsistente",IF(E35&lt;&gt;F35+G35,"ERRO: finalizados inconsistentes",IF(G35&lt;&gt;SUM(H35:J35),"ERRO: reprovações inconsistentes","OK")))))</f>
        <v/>
      </c>
    </row>
    <row r="36" ht="15" customHeight="1" s="131">
      <c r="A36" s="320" t="n"/>
      <c r="B36" s="323" t="n"/>
      <c r="C36" s="323" t="n"/>
      <c r="D36" s="328" t="n"/>
      <c r="E36" s="328" t="n"/>
      <c r="F36" s="328" t="n"/>
      <c r="G36" s="329">
        <f>IF(COUNTA(A36:C36)=0,"",SUM(H36:J36))</f>
        <v/>
      </c>
      <c r="H36" s="328" t="n"/>
      <c r="I36" s="330" t="n"/>
      <c r="J36" s="331" t="n"/>
      <c r="K36" s="331" t="n"/>
      <c r="L36" s="331" t="n"/>
      <c r="M36" s="332" t="n"/>
      <c r="N36" s="302">
        <f>IF(L36&gt;0,M36/L36,"")</f>
        <v/>
      </c>
      <c r="O36" s="317">
        <f>IF(E36&gt;0,F36/E36*100,"")</f>
        <v/>
      </c>
      <c r="P36" s="275">
        <f>IF(COUNTA(A36:C36)=0,"",IF(OR(A36="",B36="",C36="",D36&lt;0,E36&lt;0,F36&lt;0,H36&lt;0,I36&lt;0,J36&lt;0,K36&lt;0,L36&lt;0),"ERRO: valores inválidos",IF(D36&lt;&gt;E36+K36,"ERRO: total inconsistente",IF(E36&lt;&gt;F36+G36,"ERRO: finalizados inconsistentes",IF(G36&lt;&gt;SUM(H36:J36),"ERRO: reprovações inconsistentes","OK")))))</f>
        <v/>
      </c>
    </row>
    <row r="37" ht="15" customHeight="1" s="131">
      <c r="A37" s="320" t="n"/>
      <c r="B37" s="323" t="n"/>
      <c r="C37" s="323" t="n"/>
      <c r="D37" s="328" t="n"/>
      <c r="E37" s="328" t="n"/>
      <c r="F37" s="328" t="n"/>
      <c r="G37" s="329">
        <f>IF(COUNTA(A37:C37)=0,"",SUM(H37:J37))</f>
        <v/>
      </c>
      <c r="H37" s="328" t="n"/>
      <c r="I37" s="330" t="n"/>
      <c r="J37" s="331" t="n"/>
      <c r="K37" s="331" t="n"/>
      <c r="L37" s="331" t="n"/>
      <c r="M37" s="332" t="n"/>
      <c r="N37" s="302">
        <f>IF(L37&gt;0,M37/L37,"")</f>
        <v/>
      </c>
      <c r="O37" s="317">
        <f>IF(E37&gt;0,F37/E37*100,"")</f>
        <v/>
      </c>
      <c r="P37" s="275">
        <f>IF(COUNTA(A37:C37)=0,"",IF(OR(A37="",B37="",C37="",D37&lt;0,E37&lt;0,F37&lt;0,H37&lt;0,I37&lt;0,J37&lt;0,K37&lt;0,L37&lt;0),"ERRO: valores inválidos",IF(D37&lt;&gt;E37+K37,"ERRO: total inconsistente",IF(E37&lt;&gt;F37+G37,"ERRO: finalizados inconsistentes",IF(G37&lt;&gt;SUM(H37:J37),"ERRO: reprovações inconsistentes","OK")))))</f>
        <v/>
      </c>
    </row>
    <row r="38" ht="15" customHeight="1" s="131">
      <c r="A38" s="320" t="n"/>
      <c r="B38" s="323" t="n"/>
      <c r="C38" s="323" t="n"/>
      <c r="D38" s="328" t="n"/>
      <c r="E38" s="328" t="n"/>
      <c r="F38" s="328" t="n"/>
      <c r="G38" s="329">
        <f>IF(COUNTA(A38:C38)=0,"",SUM(H38:J38))</f>
        <v/>
      </c>
      <c r="H38" s="328" t="n"/>
      <c r="I38" s="330" t="n"/>
      <c r="J38" s="331" t="n"/>
      <c r="K38" s="331" t="n"/>
      <c r="L38" s="331" t="n"/>
      <c r="M38" s="332" t="n"/>
      <c r="N38" s="302">
        <f>IF(L38&gt;0,M38/L38,"")</f>
        <v/>
      </c>
      <c r="O38" s="317">
        <f>IF(E38&gt;0,F38/E38*100,"")</f>
        <v/>
      </c>
      <c r="P38" s="275">
        <f>IF(COUNTA(A38:C38)=0,"",IF(OR(A38="",B38="",C38="",D38&lt;0,E38&lt;0,F38&lt;0,H38&lt;0,I38&lt;0,J38&lt;0,K38&lt;0,L38&lt;0),"ERRO: valores inválidos",IF(D38&lt;&gt;E38+K38,"ERRO: total inconsistente",IF(E38&lt;&gt;F38+G38,"ERRO: finalizados inconsistentes",IF(G38&lt;&gt;SUM(H38:J38),"ERRO: reprovações inconsistentes","OK")))))</f>
        <v/>
      </c>
    </row>
    <row r="39" ht="15" customHeight="1" s="131">
      <c r="A39" s="320" t="n"/>
      <c r="B39" s="323" t="n"/>
      <c r="C39" s="323" t="n"/>
      <c r="D39" s="328" t="n"/>
      <c r="E39" s="328" t="n"/>
      <c r="F39" s="328" t="n"/>
      <c r="G39" s="329">
        <f>IF(COUNTA(A39:C39)=0,"",SUM(H39:J39))</f>
        <v/>
      </c>
      <c r="H39" s="328" t="n"/>
      <c r="I39" s="330" t="n"/>
      <c r="J39" s="331" t="n"/>
      <c r="K39" s="331" t="n"/>
      <c r="L39" s="331" t="n"/>
      <c r="M39" s="332" t="n"/>
      <c r="N39" s="302">
        <f>IF(L39&gt;0,M39/L39,"")</f>
        <v/>
      </c>
      <c r="O39" s="317">
        <f>IF(E39&gt;0,F39/E39*100,"")</f>
        <v/>
      </c>
      <c r="P39" s="275">
        <f>IF(COUNTA(A39:C39)=0,"",IF(OR(A39="",B39="",C39="",D39&lt;0,E39&lt;0,F39&lt;0,H39&lt;0,I39&lt;0,J39&lt;0,K39&lt;0,L39&lt;0),"ERRO: valores inválidos",IF(D39&lt;&gt;E39+K39,"ERRO: total inconsistente",IF(E39&lt;&gt;F39+G39,"ERRO: finalizados inconsistentes",IF(G39&lt;&gt;SUM(H39:J39),"ERRO: reprovações inconsistentes","OK")))))</f>
        <v/>
      </c>
    </row>
    <row r="40" ht="15" customHeight="1" s="131">
      <c r="A40" s="320" t="n"/>
      <c r="B40" s="323" t="n"/>
      <c r="C40" s="323" t="n"/>
      <c r="D40" s="328" t="n"/>
      <c r="E40" s="328" t="n"/>
      <c r="F40" s="328" t="n"/>
      <c r="G40" s="329">
        <f>IF(COUNTA(A40:C40)=0,"",SUM(H40:J40))</f>
        <v/>
      </c>
      <c r="H40" s="328" t="n"/>
      <c r="I40" s="330" t="n"/>
      <c r="J40" s="331" t="n"/>
      <c r="K40" s="331" t="n"/>
      <c r="L40" s="331" t="n"/>
      <c r="M40" s="332" t="n"/>
      <c r="N40" s="302">
        <f>IF(L40&gt;0,M40/L40,"")</f>
        <v/>
      </c>
      <c r="O40" s="317">
        <f>IF(E40&gt;0,F40/E40*100,"")</f>
        <v/>
      </c>
      <c r="P40" s="275">
        <f>IF(COUNTA(A40:C40)=0,"",IF(OR(A40="",B40="",C40="",D40&lt;0,E40&lt;0,F40&lt;0,H40&lt;0,I40&lt;0,J40&lt;0,K40&lt;0,L40&lt;0),"ERRO: valores inválidos",IF(D40&lt;&gt;E40+K40,"ERRO: total inconsistente",IF(E40&lt;&gt;F40+G40,"ERRO: finalizados inconsistentes",IF(G40&lt;&gt;SUM(H40:J40),"ERRO: reprovações inconsistentes","OK")))))</f>
        <v/>
      </c>
    </row>
    <row r="41" ht="15" customHeight="1" s="131">
      <c r="A41" s="320" t="n"/>
      <c r="B41" s="323" t="n"/>
      <c r="C41" s="323" t="n"/>
      <c r="D41" s="328" t="n"/>
      <c r="E41" s="328" t="n"/>
      <c r="F41" s="328" t="n"/>
      <c r="G41" s="329">
        <f>IF(COUNTA(A41:C41)=0,"",SUM(H41:J41))</f>
        <v/>
      </c>
      <c r="H41" s="328" t="n"/>
      <c r="I41" s="330" t="n"/>
      <c r="J41" s="331" t="n"/>
      <c r="K41" s="331" t="n"/>
      <c r="L41" s="331" t="n"/>
      <c r="M41" s="332" t="n"/>
      <c r="N41" s="302">
        <f>IF(L41&gt;0,M41/L41,"")</f>
        <v/>
      </c>
      <c r="O41" s="317">
        <f>IF(E41&gt;0,F41/E41*100,"")</f>
        <v/>
      </c>
      <c r="P41" s="275">
        <f>IF(COUNTA(A41:C41)=0,"",IF(OR(A41="",B41="",C41="",D41&lt;0,E41&lt;0,F41&lt;0,H41&lt;0,I41&lt;0,J41&lt;0,K41&lt;0,L41&lt;0),"ERRO: valores inválidos",IF(D41&lt;&gt;E41+K41,"ERRO: total inconsistente",IF(E41&lt;&gt;F41+G41,"ERRO: finalizados inconsistentes",IF(G41&lt;&gt;SUM(H41:J41),"ERRO: reprovações inconsistentes","OK")))))</f>
        <v/>
      </c>
    </row>
    <row r="42" ht="15" customHeight="1" s="131">
      <c r="A42" s="320" t="n"/>
      <c r="B42" s="323" t="n"/>
      <c r="C42" s="323" t="n"/>
      <c r="D42" s="328" t="n"/>
      <c r="E42" s="328" t="n"/>
      <c r="F42" s="328" t="n"/>
      <c r="G42" s="329">
        <f>IF(COUNTA(A42:C42)=0,"",SUM(H42:J42))</f>
        <v/>
      </c>
      <c r="H42" s="328" t="n"/>
      <c r="I42" s="330" t="n"/>
      <c r="J42" s="331" t="n"/>
      <c r="K42" s="331" t="n"/>
      <c r="L42" s="331" t="n"/>
      <c r="M42" s="332" t="n"/>
      <c r="N42" s="302">
        <f>IF(L42&gt;0,M42/L42,"")</f>
        <v/>
      </c>
      <c r="O42" s="317">
        <f>IF(E42&gt;0,F42/E42*100,"")</f>
        <v/>
      </c>
      <c r="P42" s="275">
        <f>IF(COUNTA(A42:C42)=0,"",IF(OR(A42="",B42="",C42="",D42&lt;0,E42&lt;0,F42&lt;0,H42&lt;0,I42&lt;0,J42&lt;0,K42&lt;0,L42&lt;0),"ERRO: valores inválidos",IF(D42&lt;&gt;E42+K42,"ERRO: total inconsistente",IF(E42&lt;&gt;F42+G42,"ERRO: finalizados inconsistentes",IF(G42&lt;&gt;SUM(H42:J42),"ERRO: reprovações inconsistentes","OK")))))</f>
        <v/>
      </c>
    </row>
    <row r="43" ht="15" customHeight="1" s="131">
      <c r="A43" s="320" t="n"/>
      <c r="B43" s="323" t="n"/>
      <c r="C43" s="323" t="n"/>
      <c r="D43" s="328" t="n"/>
      <c r="E43" s="328" t="n"/>
      <c r="F43" s="328" t="n"/>
      <c r="G43" s="329">
        <f>IF(COUNTA(A43:C43)=0,"",SUM(H43:J43))</f>
        <v/>
      </c>
      <c r="H43" s="328" t="n"/>
      <c r="I43" s="330" t="n"/>
      <c r="J43" s="331" t="n"/>
      <c r="K43" s="331" t="n"/>
      <c r="L43" s="331" t="n"/>
      <c r="M43" s="332" t="n"/>
      <c r="N43" s="302">
        <f>IF(L43&gt;0,M43/L43,"")</f>
        <v/>
      </c>
      <c r="O43" s="317">
        <f>IF(E43&gt;0,F43/E43*100,"")</f>
        <v/>
      </c>
      <c r="P43" s="275">
        <f>IF(COUNTA(A43:C43)=0,"",IF(OR(A43="",B43="",C43="",D43&lt;0,E43&lt;0,F43&lt;0,H43&lt;0,I43&lt;0,J43&lt;0,K43&lt;0,L43&lt;0),"ERRO: valores inválidos",IF(D43&lt;&gt;E43+K43,"ERRO: total inconsistente",IF(E43&lt;&gt;F43+G43,"ERRO: finalizados inconsistentes",IF(G43&lt;&gt;SUM(H43:J43),"ERRO: reprovações inconsistentes","OK")))))</f>
        <v/>
      </c>
    </row>
    <row r="44" ht="15" customHeight="1" s="131">
      <c r="A44" s="320" t="n"/>
      <c r="B44" s="323" t="n"/>
      <c r="C44" s="323" t="n"/>
      <c r="D44" s="328" t="n"/>
      <c r="E44" s="328" t="n"/>
      <c r="F44" s="328" t="n"/>
      <c r="G44" s="329">
        <f>IF(COUNTA(A44:C44)=0,"",SUM(H44:J44))</f>
        <v/>
      </c>
      <c r="H44" s="328" t="n"/>
      <c r="I44" s="330" t="n"/>
      <c r="J44" s="331" t="n"/>
      <c r="K44" s="331" t="n"/>
      <c r="L44" s="331" t="n"/>
      <c r="M44" s="332" t="n"/>
      <c r="N44" s="302">
        <f>IF(L44&gt;0,M44/L44,"")</f>
        <v/>
      </c>
      <c r="O44" s="317">
        <f>IF(E44&gt;0,F44/E44*100,"")</f>
        <v/>
      </c>
      <c r="P44" s="275">
        <f>IF(COUNTA(A44:C44)=0,"",IF(OR(A44="",B44="",C44="",D44&lt;0,E44&lt;0,F44&lt;0,H44&lt;0,I44&lt;0,J44&lt;0,K44&lt;0,L44&lt;0),"ERRO: valores inválidos",IF(D44&lt;&gt;E44+K44,"ERRO: total inconsistente",IF(E44&lt;&gt;F44+G44,"ERRO: finalizados inconsistentes",IF(G44&lt;&gt;SUM(H44:J44),"ERRO: reprovações inconsistentes","OK")))))</f>
        <v/>
      </c>
    </row>
    <row r="45" ht="15" customHeight="1" s="131">
      <c r="A45" s="320" t="n"/>
      <c r="B45" s="323" t="n"/>
      <c r="C45" s="323" t="n"/>
      <c r="D45" s="328" t="n"/>
      <c r="E45" s="328" t="n"/>
      <c r="F45" s="328" t="n"/>
      <c r="G45" s="329">
        <f>IF(COUNTA(A45:C45)=0,"",SUM(H45:J45))</f>
        <v/>
      </c>
      <c r="H45" s="328" t="n"/>
      <c r="I45" s="330" t="n"/>
      <c r="J45" s="331" t="n"/>
      <c r="K45" s="331" t="n"/>
      <c r="L45" s="331" t="n"/>
      <c r="M45" s="332" t="n"/>
      <c r="N45" s="302">
        <f>IF(L45&gt;0,M45/L45,"")</f>
        <v/>
      </c>
      <c r="O45" s="317">
        <f>IF(E45&gt;0,F45/E45*100,"")</f>
        <v/>
      </c>
      <c r="P45" s="275">
        <f>IF(COUNTA(A45:C45)=0,"",IF(OR(A45="",B45="",C45="",D45&lt;0,E45&lt;0,F45&lt;0,H45&lt;0,I45&lt;0,J45&lt;0,K45&lt;0,L45&lt;0),"ERRO: valores inválidos",IF(D45&lt;&gt;E45+K45,"ERRO: total inconsistente",IF(E45&lt;&gt;F45+G45,"ERRO: finalizados inconsistentes",IF(G45&lt;&gt;SUM(H45:J45),"ERRO: reprovações inconsistentes","OK")))))</f>
        <v/>
      </c>
    </row>
    <row r="46" ht="15" customHeight="1" s="131">
      <c r="A46" s="320" t="n"/>
      <c r="B46" s="323" t="n"/>
      <c r="C46" s="323" t="n"/>
      <c r="D46" s="328" t="n"/>
      <c r="E46" s="328" t="n"/>
      <c r="F46" s="328" t="n"/>
      <c r="G46" s="329">
        <f>IF(COUNTA(A46:C46)=0,"",SUM(H46:J46))</f>
        <v/>
      </c>
      <c r="H46" s="328" t="n"/>
      <c r="I46" s="330" t="n"/>
      <c r="J46" s="331" t="n"/>
      <c r="K46" s="331" t="n"/>
      <c r="L46" s="331" t="n"/>
      <c r="M46" s="332" t="n"/>
      <c r="N46" s="302">
        <f>IF(L46&gt;0,M46/L46,"")</f>
        <v/>
      </c>
      <c r="O46" s="317">
        <f>IF(E46&gt;0,F46/E46*100,"")</f>
        <v/>
      </c>
      <c r="P46" s="275">
        <f>IF(COUNTA(A46:C46)=0,"",IF(OR(A46="",B46="",C46="",D46&lt;0,E46&lt;0,F46&lt;0,H46&lt;0,I46&lt;0,J46&lt;0,K46&lt;0,L46&lt;0),"ERRO: valores inválidos",IF(D46&lt;&gt;E46+K46,"ERRO: total inconsistente",IF(E46&lt;&gt;F46+G46,"ERRO: finalizados inconsistentes",IF(G46&lt;&gt;SUM(H46:J46),"ERRO: reprovações inconsistentes","OK")))))</f>
        <v/>
      </c>
    </row>
    <row r="47" ht="15" customHeight="1" s="131">
      <c r="A47" s="320" t="n"/>
      <c r="B47" s="323" t="n"/>
      <c r="C47" s="323" t="n"/>
      <c r="D47" s="328" t="n"/>
      <c r="E47" s="328" t="n"/>
      <c r="F47" s="328" t="n"/>
      <c r="G47" s="329">
        <f>IF(COUNTA(A47:C47)=0,"",SUM(H47:J47))</f>
        <v/>
      </c>
      <c r="H47" s="328" t="n"/>
      <c r="I47" s="330" t="n"/>
      <c r="J47" s="331" t="n"/>
      <c r="K47" s="331" t="n"/>
      <c r="L47" s="331" t="n"/>
      <c r="M47" s="332" t="n"/>
      <c r="N47" s="302">
        <f>IF(L47&gt;0,M47/L47,"")</f>
        <v/>
      </c>
      <c r="O47" s="317">
        <f>IF(E47&gt;0,F47/E47*100,"")</f>
        <v/>
      </c>
      <c r="P47" s="275">
        <f>IF(COUNTA(A47:C47)=0,"",IF(OR(A47="",B47="",C47="",D47&lt;0,E47&lt;0,F47&lt;0,H47&lt;0,I47&lt;0,J47&lt;0,K47&lt;0,L47&lt;0),"ERRO: valores inválidos",IF(D47&lt;&gt;E47+K47,"ERRO: total inconsistente",IF(E47&lt;&gt;F47+G47,"ERRO: finalizados inconsistentes",IF(G47&lt;&gt;SUM(H47:J47),"ERRO: reprovações inconsistentes","OK")))))</f>
        <v/>
      </c>
    </row>
    <row r="48" ht="15" customHeight="1" s="131">
      <c r="A48" s="320" t="n"/>
      <c r="B48" s="323" t="n"/>
      <c r="C48" s="323" t="n"/>
      <c r="D48" s="328" t="n"/>
      <c r="E48" s="328" t="n"/>
      <c r="F48" s="328" t="n"/>
      <c r="G48" s="329">
        <f>IF(COUNTA(A48:C48)=0,"",SUM(H48:J48))</f>
        <v/>
      </c>
      <c r="H48" s="328" t="n"/>
      <c r="I48" s="330" t="n"/>
      <c r="J48" s="331" t="n"/>
      <c r="K48" s="331" t="n"/>
      <c r="L48" s="331" t="n"/>
      <c r="M48" s="332" t="n"/>
      <c r="N48" s="302">
        <f>IF(L48&gt;0,M48/L48,"")</f>
        <v/>
      </c>
      <c r="O48" s="317">
        <f>IF(E48&gt;0,F48/E48*100,"")</f>
        <v/>
      </c>
      <c r="P48" s="275">
        <f>IF(COUNTA(A48:C48)=0,"",IF(OR(A48="",B48="",C48="",D48&lt;0,E48&lt;0,F48&lt;0,H48&lt;0,I48&lt;0,J48&lt;0,K48&lt;0,L48&lt;0),"ERRO: valores inválidos",IF(D48&lt;&gt;E48+K48,"ERRO: total inconsistente",IF(E48&lt;&gt;F48+G48,"ERRO: finalizados inconsistentes",IF(G48&lt;&gt;SUM(H48:J48),"ERRO: reprovações inconsistentes","OK")))))</f>
        <v/>
      </c>
    </row>
    <row r="49" ht="15" customHeight="1" s="131">
      <c r="A49" s="320" t="n"/>
      <c r="B49" s="323" t="n"/>
      <c r="C49" s="323" t="n"/>
      <c r="D49" s="328" t="n"/>
      <c r="E49" s="328" t="n"/>
      <c r="F49" s="328" t="n"/>
      <c r="G49" s="329">
        <f>IF(COUNTA(A49:C49)=0,"",SUM(H49:J49))</f>
        <v/>
      </c>
      <c r="H49" s="328" t="n"/>
      <c r="I49" s="330" t="n"/>
      <c r="J49" s="331" t="n"/>
      <c r="K49" s="331" t="n"/>
      <c r="L49" s="331" t="n"/>
      <c r="M49" s="332" t="n"/>
      <c r="N49" s="302">
        <f>IF(L49&gt;0,M49/L49,"")</f>
        <v/>
      </c>
      <c r="O49" s="317">
        <f>IF(E49&gt;0,F49/E49*100,"")</f>
        <v/>
      </c>
      <c r="P49" s="275">
        <f>IF(COUNTA(A49:C49)=0,"",IF(OR(A49="",B49="",C49="",D49&lt;0,E49&lt;0,F49&lt;0,H49&lt;0,I49&lt;0,J49&lt;0,K49&lt;0,L49&lt;0),"ERRO: valores inválidos",IF(D49&lt;&gt;E49+K49,"ERRO: total inconsistente",IF(E49&lt;&gt;F49+G49,"ERRO: finalizados inconsistentes",IF(G49&lt;&gt;SUM(H49:J49),"ERRO: reprovações inconsistentes","OK")))))</f>
        <v/>
      </c>
    </row>
    <row r="50" ht="15" customHeight="1" s="131">
      <c r="A50" s="320" t="n"/>
      <c r="B50" s="323" t="n"/>
      <c r="C50" s="323" t="n"/>
      <c r="D50" s="328" t="n"/>
      <c r="E50" s="328" t="n"/>
      <c r="F50" s="328" t="n"/>
      <c r="G50" s="329">
        <f>IF(COUNTA(A50:C50)=0,"",SUM(H50:J50))</f>
        <v/>
      </c>
      <c r="H50" s="328" t="n"/>
      <c r="I50" s="330" t="n"/>
      <c r="J50" s="331" t="n"/>
      <c r="K50" s="331" t="n"/>
      <c r="L50" s="331" t="n"/>
      <c r="M50" s="332" t="n"/>
      <c r="N50" s="302">
        <f>IF(L50&gt;0,M50/L50,"")</f>
        <v/>
      </c>
      <c r="O50" s="317">
        <f>IF(E50&gt;0,F50/E50*100,"")</f>
        <v/>
      </c>
      <c r="P50" s="275">
        <f>IF(COUNTA(A50:C50)=0,"",IF(OR(A50="",B50="",C50="",D50&lt;0,E50&lt;0,F50&lt;0,H50&lt;0,I50&lt;0,J50&lt;0,K50&lt;0,L50&lt;0),"ERRO: valores inválidos",IF(D50&lt;&gt;E50+K50,"ERRO: total inconsistente",IF(E50&lt;&gt;F50+G50,"ERRO: finalizados inconsistentes",IF(G50&lt;&gt;SUM(H50:J50),"ERRO: reprovações inconsistentes","OK")))))</f>
        <v/>
      </c>
    </row>
    <row r="51" ht="15" customHeight="1" s="131">
      <c r="A51" s="320" t="n"/>
      <c r="B51" s="323" t="n"/>
      <c r="C51" s="323" t="n"/>
      <c r="D51" s="328" t="n"/>
      <c r="E51" s="328" t="n"/>
      <c r="F51" s="328" t="n"/>
      <c r="G51" s="329">
        <f>IF(COUNTA(A51:C51)=0,"",SUM(H51:J51))</f>
        <v/>
      </c>
      <c r="H51" s="328" t="n"/>
      <c r="I51" s="330" t="n"/>
      <c r="J51" s="331" t="n"/>
      <c r="K51" s="331" t="n"/>
      <c r="L51" s="331" t="n"/>
      <c r="M51" s="332" t="n"/>
      <c r="N51" s="302">
        <f>IF(L51&gt;0,M51/L51,"")</f>
        <v/>
      </c>
      <c r="O51" s="317">
        <f>IF(E51&gt;0,F51/E51*100,"")</f>
        <v/>
      </c>
      <c r="P51" s="275">
        <f>IF(COUNTA(A51:C51)=0,"",IF(OR(A51="",B51="",C51="",D51&lt;0,E51&lt;0,F51&lt;0,H51&lt;0,I51&lt;0,J51&lt;0,K51&lt;0,L51&lt;0),"ERRO: valores inválidos",IF(D51&lt;&gt;E51+K51,"ERRO: total inconsistente",IF(E51&lt;&gt;F51+G51,"ERRO: finalizados inconsistentes",IF(G51&lt;&gt;SUM(H51:J51),"ERRO: reprovações inconsistentes","OK")))))</f>
        <v/>
      </c>
    </row>
    <row r="52" ht="15" customHeight="1" s="131">
      <c r="A52" s="320" t="n"/>
      <c r="B52" s="323" t="n"/>
      <c r="C52" s="323" t="n"/>
      <c r="D52" s="328" t="n"/>
      <c r="E52" s="328" t="n"/>
      <c r="F52" s="328" t="n"/>
      <c r="G52" s="329">
        <f>IF(COUNTA(A52:C52)=0,"",SUM(H52:J52))</f>
        <v/>
      </c>
      <c r="H52" s="328" t="n"/>
      <c r="I52" s="330" t="n"/>
      <c r="J52" s="331" t="n"/>
      <c r="K52" s="331" t="n"/>
      <c r="L52" s="331" t="n"/>
      <c r="M52" s="332" t="n"/>
      <c r="N52" s="302">
        <f>IF(L52&gt;0,M52/L52,"")</f>
        <v/>
      </c>
      <c r="O52" s="317">
        <f>IF(E52&gt;0,F52/E52*100,"")</f>
        <v/>
      </c>
      <c r="P52" s="275">
        <f>IF(COUNTA(A52:C52)=0,"",IF(OR(A52="",B52="",C52="",D52&lt;0,E52&lt;0,F52&lt;0,H52&lt;0,I52&lt;0,J52&lt;0,K52&lt;0,L52&lt;0),"ERRO: valores inválidos",IF(D52&lt;&gt;E52+K52,"ERRO: total inconsistente",IF(E52&lt;&gt;F52+G52,"ERRO: finalizados inconsistentes",IF(G52&lt;&gt;SUM(H52:J52),"ERRO: reprovações inconsistentes","OK")))))</f>
        <v/>
      </c>
    </row>
    <row r="53" ht="15" customHeight="1" s="131">
      <c r="A53" s="320" t="n"/>
      <c r="B53" s="323" t="n"/>
      <c r="C53" s="323" t="n"/>
      <c r="D53" s="328" t="n"/>
      <c r="E53" s="328" t="n"/>
      <c r="F53" s="328" t="n"/>
      <c r="G53" s="329">
        <f>IF(COUNTA(A53:C53)=0,"",SUM(H53:J53))</f>
        <v/>
      </c>
      <c r="H53" s="328" t="n"/>
      <c r="I53" s="330" t="n"/>
      <c r="J53" s="331" t="n"/>
      <c r="K53" s="331" t="n"/>
      <c r="L53" s="331" t="n"/>
      <c r="M53" s="332" t="n"/>
      <c r="N53" s="302">
        <f>IF(L53&gt;0,M53/L53,"")</f>
        <v/>
      </c>
      <c r="O53" s="317">
        <f>IF(E53&gt;0,F53/E53*100,"")</f>
        <v/>
      </c>
      <c r="P53" s="275">
        <f>IF(COUNTA(A53:C53)=0,"",IF(OR(A53="",B53="",C53="",D53&lt;0,E53&lt;0,F53&lt;0,H53&lt;0,I53&lt;0,J53&lt;0,K53&lt;0,L53&lt;0),"ERRO: valores inválidos",IF(D53&lt;&gt;E53+K53,"ERRO: total inconsistente",IF(E53&lt;&gt;F53+G53,"ERRO: finalizados inconsistentes",IF(G53&lt;&gt;SUM(H53:J53),"ERRO: reprovações inconsistentes","OK")))))</f>
        <v/>
      </c>
    </row>
    <row r="54" ht="15" customHeight="1" s="131">
      <c r="A54" s="320" t="n"/>
      <c r="B54" s="323" t="n"/>
      <c r="C54" s="323" t="n"/>
      <c r="D54" s="328" t="n"/>
      <c r="E54" s="328" t="n"/>
      <c r="F54" s="328" t="n"/>
      <c r="G54" s="329">
        <f>IF(COUNTA(A54:C54)=0,"",SUM(H54:J54))</f>
        <v/>
      </c>
      <c r="H54" s="328" t="n"/>
      <c r="I54" s="330" t="n"/>
      <c r="J54" s="331" t="n"/>
      <c r="K54" s="331" t="n"/>
      <c r="L54" s="331" t="n"/>
      <c r="M54" s="332" t="n"/>
      <c r="N54" s="302">
        <f>IF(L54&gt;0,M54/L54,"")</f>
        <v/>
      </c>
      <c r="O54" s="317">
        <f>IF(E54&gt;0,F54/E54*100,"")</f>
        <v/>
      </c>
      <c r="P54" s="275">
        <f>IF(COUNTA(A54:C54)=0,"",IF(OR(A54="",B54="",C54="",D54&lt;0,E54&lt;0,F54&lt;0,H54&lt;0,I54&lt;0,J54&lt;0,K54&lt;0,L54&lt;0),"ERRO: valores inválidos",IF(D54&lt;&gt;E54+K54,"ERRO: total inconsistente",IF(E54&lt;&gt;F54+G54,"ERRO: finalizados inconsistentes",IF(G54&lt;&gt;SUM(H54:J54),"ERRO: reprovações inconsistentes","OK")))))</f>
        <v/>
      </c>
    </row>
    <row r="55" ht="15" customHeight="1" s="131">
      <c r="A55" s="320" t="n"/>
      <c r="B55" s="323" t="n"/>
      <c r="C55" s="323" t="n"/>
      <c r="D55" s="328" t="n"/>
      <c r="E55" s="328" t="n"/>
      <c r="F55" s="328" t="n"/>
      <c r="G55" s="329">
        <f>IF(COUNTA(A55:C55)=0,"",SUM(H55:J55))</f>
        <v/>
      </c>
      <c r="H55" s="328" t="n"/>
      <c r="I55" s="330" t="n"/>
      <c r="J55" s="331" t="n"/>
      <c r="K55" s="331" t="n"/>
      <c r="L55" s="331" t="n"/>
      <c r="M55" s="332" t="n"/>
      <c r="N55" s="302">
        <f>IF(L55&gt;0,M55/L55,"")</f>
        <v/>
      </c>
      <c r="O55" s="317">
        <f>IF(E55&gt;0,F55/E55*100,"")</f>
        <v/>
      </c>
      <c r="P55" s="275">
        <f>IF(COUNTA(A55:C55)=0,"",IF(OR(A55="",B55="",C55="",D55&lt;0,E55&lt;0,F55&lt;0,H55&lt;0,I55&lt;0,J55&lt;0,K55&lt;0,L55&lt;0),"ERRO: valores inválidos",IF(D55&lt;&gt;E55+K55,"ERRO: total inconsistente",IF(E55&lt;&gt;F55+G55,"ERRO: finalizados inconsistentes",IF(G55&lt;&gt;SUM(H55:J55),"ERRO: reprovações inconsistentes","OK")))))</f>
        <v/>
      </c>
    </row>
    <row r="56" ht="15" customHeight="1" s="131">
      <c r="A56" s="320" t="n"/>
      <c r="B56" s="323" t="n"/>
      <c r="C56" s="323" t="n"/>
      <c r="D56" s="328" t="n"/>
      <c r="E56" s="328" t="n"/>
      <c r="F56" s="328" t="n"/>
      <c r="G56" s="329">
        <f>IF(COUNTA(A56:C56)=0,"",SUM(H56:J56))</f>
        <v/>
      </c>
      <c r="H56" s="328" t="n"/>
      <c r="I56" s="330" t="n"/>
      <c r="J56" s="331" t="n"/>
      <c r="K56" s="331" t="n"/>
      <c r="L56" s="331" t="n"/>
      <c r="M56" s="332" t="n"/>
      <c r="N56" s="302">
        <f>IF(L56&gt;0,M56/L56,"")</f>
        <v/>
      </c>
      <c r="O56" s="317">
        <f>IF(E56&gt;0,F56/E56*100,"")</f>
        <v/>
      </c>
      <c r="P56" s="275">
        <f>IF(COUNTA(A56:C56)=0,"",IF(OR(A56="",B56="",C56="",D56&lt;0,E56&lt;0,F56&lt;0,H56&lt;0,I56&lt;0,J56&lt;0,K56&lt;0,L56&lt;0),"ERRO: valores inválidos",IF(D56&lt;&gt;E56+K56,"ERRO: total inconsistente",IF(E56&lt;&gt;F56+G56,"ERRO: finalizados inconsistentes",IF(G56&lt;&gt;SUM(H56:J56),"ERRO: reprovações inconsistentes","OK")))))</f>
        <v/>
      </c>
    </row>
    <row r="57" ht="15" customHeight="1" s="131">
      <c r="A57" s="320" t="n"/>
      <c r="B57" s="323" t="n"/>
      <c r="C57" s="323" t="n"/>
      <c r="D57" s="328" t="n"/>
      <c r="E57" s="328" t="n"/>
      <c r="F57" s="328" t="n"/>
      <c r="G57" s="329">
        <f>IF(COUNTA(A57:C57)=0,"",SUM(H57:J57))</f>
        <v/>
      </c>
      <c r="H57" s="328" t="n"/>
      <c r="I57" s="330" t="n"/>
      <c r="J57" s="331" t="n"/>
      <c r="K57" s="331" t="n"/>
      <c r="L57" s="331" t="n"/>
      <c r="M57" s="332" t="n"/>
      <c r="N57" s="302">
        <f>IF(L57&gt;0,M57/L57,"")</f>
        <v/>
      </c>
      <c r="O57" s="317">
        <f>IF(E57&gt;0,F57/E57*100,"")</f>
        <v/>
      </c>
      <c r="P57" s="275">
        <f>IF(COUNTA(A57:C57)=0,"",IF(OR(A57="",B57="",C57="",D57&lt;0,E57&lt;0,F57&lt;0,H57&lt;0,I57&lt;0,J57&lt;0,K57&lt;0,L57&lt;0),"ERRO: valores inválidos",IF(D57&lt;&gt;E57+K57,"ERRO: total inconsistente",IF(E57&lt;&gt;F57+G57,"ERRO: finalizados inconsistentes",IF(G57&lt;&gt;SUM(H57:J57),"ERRO: reprovações inconsistentes","OK")))))</f>
        <v/>
      </c>
    </row>
    <row r="58" ht="15" customHeight="1" s="131">
      <c r="A58" s="320" t="n"/>
      <c r="B58" s="323" t="n"/>
      <c r="C58" s="323" t="n"/>
      <c r="D58" s="328" t="n"/>
      <c r="E58" s="328" t="n"/>
      <c r="F58" s="328" t="n"/>
      <c r="G58" s="329">
        <f>IF(COUNTA(A58:C58)=0,"",SUM(H58:J58))</f>
        <v/>
      </c>
      <c r="H58" s="328" t="n"/>
      <c r="I58" s="330" t="n"/>
      <c r="J58" s="331" t="n"/>
      <c r="K58" s="331" t="n"/>
      <c r="L58" s="331" t="n"/>
      <c r="M58" s="332" t="n"/>
      <c r="N58" s="302">
        <f>IF(L58&gt;0,M58/L58,"")</f>
        <v/>
      </c>
      <c r="O58" s="317">
        <f>IF(E58&gt;0,F58/E58*100,"")</f>
        <v/>
      </c>
      <c r="P58" s="275">
        <f>IF(COUNTA(A58:C58)=0,"",IF(OR(A58="",B58="",C58="",D58&lt;0,E58&lt;0,F58&lt;0,H58&lt;0,I58&lt;0,J58&lt;0,K58&lt;0,L58&lt;0),"ERRO: valores inválidos",IF(D58&lt;&gt;E58+K58,"ERRO: total inconsistente",IF(E58&lt;&gt;F58+G58,"ERRO: finalizados inconsistentes",IF(G58&lt;&gt;SUM(H58:J58),"ERRO: reprovações inconsistentes","OK")))))</f>
        <v/>
      </c>
    </row>
    <row r="59" ht="15" customHeight="1" s="131">
      <c r="A59" s="320" t="n"/>
      <c r="B59" s="323" t="n"/>
      <c r="C59" s="323" t="n"/>
      <c r="D59" s="328" t="n"/>
      <c r="E59" s="328" t="n"/>
      <c r="F59" s="328" t="n"/>
      <c r="G59" s="329">
        <f>IF(COUNTA(A59:C59)=0,"",SUM(H59:J59))</f>
        <v/>
      </c>
      <c r="H59" s="328" t="n"/>
      <c r="I59" s="330" t="n"/>
      <c r="J59" s="331" t="n"/>
      <c r="K59" s="331" t="n"/>
      <c r="L59" s="331" t="n"/>
      <c r="M59" s="332" t="n"/>
      <c r="N59" s="302">
        <f>IF(L59&gt;0,M59/L59,"")</f>
        <v/>
      </c>
      <c r="O59" s="317">
        <f>IF(E59&gt;0,F59/E59*100,"")</f>
        <v/>
      </c>
      <c r="P59" s="275">
        <f>IF(COUNTA(A59:C59)=0,"",IF(OR(A59="",B59="",C59="",D59&lt;0,E59&lt;0,F59&lt;0,H59&lt;0,I59&lt;0,J59&lt;0,K59&lt;0,L59&lt;0),"ERRO: valores inválidos",IF(D59&lt;&gt;E59+K59,"ERRO: total inconsistente",IF(E59&lt;&gt;F59+G59,"ERRO: finalizados inconsistentes",IF(G59&lt;&gt;SUM(H59:J59),"ERRO: reprovações inconsistentes","OK")))))</f>
        <v/>
      </c>
    </row>
    <row r="60" ht="15" customHeight="1" s="131">
      <c r="A60" s="320" t="n"/>
      <c r="B60" s="323" t="n"/>
      <c r="C60" s="323" t="n"/>
      <c r="D60" s="328" t="n"/>
      <c r="E60" s="328" t="n"/>
      <c r="F60" s="328" t="n"/>
      <c r="G60" s="329">
        <f>IF(COUNTA(A60:C60)=0,"",SUM(H60:J60))</f>
        <v/>
      </c>
      <c r="H60" s="328" t="n"/>
      <c r="I60" s="330" t="n"/>
      <c r="J60" s="331" t="n"/>
      <c r="K60" s="331" t="n"/>
      <c r="L60" s="331" t="n"/>
      <c r="M60" s="332" t="n"/>
      <c r="N60" s="302">
        <f>IF(L60&gt;0,M60/L60,"")</f>
        <v/>
      </c>
      <c r="O60" s="317">
        <f>IF(E60&gt;0,F60/E60*100,"")</f>
        <v/>
      </c>
      <c r="P60" s="275">
        <f>IF(COUNTA(A60:C60)=0,"",IF(OR(A60="",B60="",C60="",D60&lt;0,E60&lt;0,F60&lt;0,H60&lt;0,I60&lt;0,J60&lt;0,K60&lt;0,L60&lt;0),"ERRO: valores inválidos",IF(D60&lt;&gt;E60+K60,"ERRO: total inconsistente",IF(E60&lt;&gt;F60+G60,"ERRO: finalizados inconsistentes",IF(G60&lt;&gt;SUM(H60:J60),"ERRO: reprovações inconsistentes","OK")))))</f>
        <v/>
      </c>
    </row>
    <row r="61" ht="15" customHeight="1" s="131">
      <c r="A61" s="320" t="n"/>
      <c r="B61" s="323" t="n"/>
      <c r="C61" s="323" t="n"/>
      <c r="D61" s="328" t="n"/>
      <c r="E61" s="328" t="n"/>
      <c r="F61" s="328" t="n"/>
      <c r="G61" s="329">
        <f>IF(COUNTA(A61:C61)=0,"",SUM(H61:J61))</f>
        <v/>
      </c>
      <c r="H61" s="328" t="n"/>
      <c r="I61" s="330" t="n"/>
      <c r="J61" s="331" t="n"/>
      <c r="K61" s="331" t="n"/>
      <c r="L61" s="331" t="n"/>
      <c r="M61" s="332" t="n"/>
      <c r="N61" s="302">
        <f>IF(L61&gt;0,M61/L61,"")</f>
        <v/>
      </c>
      <c r="O61" s="317">
        <f>IF(E61&gt;0,F61/E61*100,"")</f>
        <v/>
      </c>
      <c r="P61" s="275">
        <f>IF(COUNTA(A61:C61)=0,"",IF(OR(A61="",B61="",C61="",D61&lt;0,E61&lt;0,F61&lt;0,H61&lt;0,I61&lt;0,J61&lt;0,K61&lt;0,L61&lt;0),"ERRO: valores inválidos",IF(D61&lt;&gt;E61+K61,"ERRO: total inconsistente",IF(E61&lt;&gt;F61+G61,"ERRO: finalizados inconsistentes",IF(G61&lt;&gt;SUM(H61:J61),"ERRO: reprovações inconsistentes","OK")))))</f>
        <v/>
      </c>
    </row>
    <row r="62" ht="15" customHeight="1" s="131">
      <c r="A62" s="320" t="n"/>
      <c r="B62" s="323" t="n"/>
      <c r="C62" s="323" t="n"/>
      <c r="D62" s="328" t="n"/>
      <c r="E62" s="328" t="n"/>
      <c r="F62" s="328" t="n"/>
      <c r="G62" s="329">
        <f>IF(COUNTA(A62:C62)=0,"",SUM(H62:J62))</f>
        <v/>
      </c>
      <c r="H62" s="328" t="n"/>
      <c r="I62" s="330" t="n"/>
      <c r="J62" s="331" t="n"/>
      <c r="K62" s="331" t="n"/>
      <c r="L62" s="331" t="n"/>
      <c r="M62" s="332" t="n"/>
      <c r="N62" s="302">
        <f>IF(L62&gt;0,M62/L62,"")</f>
        <v/>
      </c>
      <c r="O62" s="317">
        <f>IF(E62&gt;0,F62/E62*100,"")</f>
        <v/>
      </c>
      <c r="P62" s="275">
        <f>IF(COUNTA(A62:C62)=0,"",IF(OR(A62="",B62="",C62="",D62&lt;0,E62&lt;0,F62&lt;0,H62&lt;0,I62&lt;0,J62&lt;0,K62&lt;0,L62&lt;0),"ERRO: valores inválidos",IF(D62&lt;&gt;E62+K62,"ERRO: total inconsistente",IF(E62&lt;&gt;F62+G62,"ERRO: finalizados inconsistentes",IF(G62&lt;&gt;SUM(H62:J62),"ERRO: reprovações inconsistentes","OK")))))</f>
        <v/>
      </c>
    </row>
    <row r="63" ht="15" customHeight="1" s="131">
      <c r="A63" s="320" t="n"/>
      <c r="B63" s="323" t="n"/>
      <c r="C63" s="323" t="n"/>
      <c r="D63" s="328" t="n"/>
      <c r="E63" s="328" t="n"/>
      <c r="F63" s="328" t="n"/>
      <c r="G63" s="329">
        <f>IF(COUNTA(A63:C63)=0,"",SUM(H63:J63))</f>
        <v/>
      </c>
      <c r="H63" s="328" t="n"/>
      <c r="I63" s="330" t="n"/>
      <c r="J63" s="331" t="n"/>
      <c r="K63" s="331" t="n"/>
      <c r="L63" s="331" t="n"/>
      <c r="M63" s="332" t="n"/>
      <c r="N63" s="302">
        <f>IF(L63&gt;0,M63/L63,"")</f>
        <v/>
      </c>
      <c r="O63" s="317">
        <f>IF(E63&gt;0,F63/E63*100,"")</f>
        <v/>
      </c>
      <c r="P63" s="275">
        <f>IF(COUNTA(A63:C63)=0,"",IF(OR(A63="",B63="",C63="",D63&lt;0,E63&lt;0,F63&lt;0,H63&lt;0,I63&lt;0,J63&lt;0,K63&lt;0,L63&lt;0),"ERRO: valores inválidos",IF(D63&lt;&gt;E63+K63,"ERRO: total inconsistente",IF(E63&lt;&gt;F63+G63,"ERRO: finalizados inconsistentes",IF(G63&lt;&gt;SUM(H63:J63),"ERRO: reprovações inconsistentes","OK")))))</f>
        <v/>
      </c>
    </row>
    <row r="64" ht="15" customHeight="1" s="131">
      <c r="A64" s="320" t="n"/>
      <c r="B64" s="323" t="n"/>
      <c r="C64" s="323" t="n"/>
      <c r="D64" s="328" t="n"/>
      <c r="E64" s="328" t="n"/>
      <c r="F64" s="328" t="n"/>
      <c r="G64" s="329">
        <f>IF(COUNTA(A64:C64)=0,"",SUM(H64:J64))</f>
        <v/>
      </c>
      <c r="H64" s="328" t="n"/>
      <c r="I64" s="330" t="n"/>
      <c r="J64" s="331" t="n"/>
      <c r="K64" s="331" t="n"/>
      <c r="L64" s="331" t="n"/>
      <c r="M64" s="332" t="n"/>
      <c r="N64" s="302">
        <f>IF(L64&gt;0,M64/L64,"")</f>
        <v/>
      </c>
      <c r="O64" s="317">
        <f>IF(E64&gt;0,F64/E64*100,"")</f>
        <v/>
      </c>
      <c r="P64" s="275">
        <f>IF(COUNTA(A64:C64)=0,"",IF(OR(A64="",B64="",C64="",D64&lt;0,E64&lt;0,F64&lt;0,H64&lt;0,I64&lt;0,J64&lt;0,K64&lt;0,L64&lt;0),"ERRO: valores inválidos",IF(D64&lt;&gt;E64+K64,"ERRO: total inconsistente",IF(E64&lt;&gt;F64+G64,"ERRO: finalizados inconsistentes",IF(G64&lt;&gt;SUM(H64:J64),"ERRO: reprovações inconsistentes","OK")))))</f>
        <v/>
      </c>
    </row>
    <row r="65" ht="15" customHeight="1" s="131">
      <c r="A65" s="320" t="n"/>
      <c r="B65" s="323" t="n"/>
      <c r="C65" s="323" t="n"/>
      <c r="D65" s="328" t="n"/>
      <c r="E65" s="328" t="n"/>
      <c r="F65" s="328" t="n"/>
      <c r="G65" s="329">
        <f>IF(COUNTA(A65:C65)=0,"",SUM(H65:J65))</f>
        <v/>
      </c>
      <c r="H65" s="328" t="n"/>
      <c r="I65" s="330" t="n"/>
      <c r="J65" s="331" t="n"/>
      <c r="K65" s="331" t="n"/>
      <c r="L65" s="331" t="n"/>
      <c r="M65" s="332" t="n"/>
      <c r="N65" s="302">
        <f>IF(L65&gt;0,M65/L65,"")</f>
        <v/>
      </c>
      <c r="O65" s="317">
        <f>IF(E65&gt;0,F65/E65*100,"")</f>
        <v/>
      </c>
      <c r="P65" s="275">
        <f>IF(COUNTA(A65:C65)=0,"",IF(OR(A65="",B65="",C65="",D65&lt;0,E65&lt;0,F65&lt;0,H65&lt;0,I65&lt;0,J65&lt;0,K65&lt;0,L65&lt;0),"ERRO: valores inválidos",IF(D65&lt;&gt;E65+K65,"ERRO: total inconsistente",IF(E65&lt;&gt;F65+G65,"ERRO: finalizados inconsistentes",IF(G65&lt;&gt;SUM(H65:J65),"ERRO: reprovações inconsistentes","OK")))))</f>
        <v/>
      </c>
    </row>
    <row r="66" ht="15" customHeight="1" s="131">
      <c r="A66" s="320" t="n"/>
      <c r="B66" s="323" t="n"/>
      <c r="C66" s="323" t="n"/>
      <c r="D66" s="328" t="n"/>
      <c r="E66" s="328" t="n"/>
      <c r="F66" s="328" t="n"/>
      <c r="G66" s="329">
        <f>IF(COUNTA(A66:C66)=0,"",SUM(H66:J66))</f>
        <v/>
      </c>
      <c r="H66" s="328" t="n"/>
      <c r="I66" s="330" t="n"/>
      <c r="J66" s="331" t="n"/>
      <c r="K66" s="331" t="n"/>
      <c r="L66" s="331" t="n"/>
      <c r="M66" s="332" t="n"/>
      <c r="N66" s="302">
        <f>IF(L66&gt;0,M66/L66,"")</f>
        <v/>
      </c>
      <c r="O66" s="317">
        <f>IF(E66&gt;0,F66/E66*100,"")</f>
        <v/>
      </c>
      <c r="P66" s="275">
        <f>IF(COUNTA(A66:C66)=0,"",IF(OR(A66="",B66="",C66="",D66&lt;0,E66&lt;0,F66&lt;0,H66&lt;0,I66&lt;0,J66&lt;0,K66&lt;0,L66&lt;0),"ERRO: valores inválidos",IF(D66&lt;&gt;E66+K66,"ERRO: total inconsistente",IF(E66&lt;&gt;F66+G66,"ERRO: finalizados inconsistentes",IF(G66&lt;&gt;SUM(H66:J66),"ERRO: reprovações inconsistentes","OK")))))</f>
        <v/>
      </c>
    </row>
    <row r="67" ht="15" customHeight="1" s="131">
      <c r="A67" s="320" t="n"/>
      <c r="B67" s="323" t="n"/>
      <c r="C67" s="323" t="n"/>
      <c r="D67" s="328" t="n"/>
      <c r="E67" s="328" t="n"/>
      <c r="F67" s="328" t="n"/>
      <c r="G67" s="329">
        <f>IF(COUNTA(A67:C67)=0,"",SUM(H67:J67))</f>
        <v/>
      </c>
      <c r="H67" s="328" t="n"/>
      <c r="I67" s="330" t="n"/>
      <c r="J67" s="331" t="n"/>
      <c r="K67" s="331" t="n"/>
      <c r="L67" s="331" t="n"/>
      <c r="M67" s="332" t="n"/>
      <c r="N67" s="302">
        <f>IF(L67&gt;0,M67/L67,"")</f>
        <v/>
      </c>
      <c r="O67" s="317">
        <f>IF(E67&gt;0,F67/E67*100,"")</f>
        <v/>
      </c>
      <c r="P67" s="275">
        <f>IF(COUNTA(A67:C67)=0,"",IF(OR(A67="",B67="",C67="",D67&lt;0,E67&lt;0,F67&lt;0,H67&lt;0,I67&lt;0,J67&lt;0,K67&lt;0,L67&lt;0),"ERRO: valores inválidos",IF(D67&lt;&gt;E67+K67,"ERRO: total inconsistente",IF(E67&lt;&gt;F67+G67,"ERRO: finalizados inconsistentes",IF(G67&lt;&gt;SUM(H67:J67),"ERRO: reprovações inconsistentes","OK")))))</f>
        <v/>
      </c>
    </row>
    <row r="68" ht="15" customHeight="1" s="131">
      <c r="A68" s="320" t="n"/>
      <c r="B68" s="323" t="n"/>
      <c r="C68" s="323" t="n"/>
      <c r="D68" s="328" t="n"/>
      <c r="E68" s="328" t="n"/>
      <c r="F68" s="328" t="n"/>
      <c r="G68" s="329">
        <f>IF(COUNTA(A68:C68)=0,"",SUM(H68:J68))</f>
        <v/>
      </c>
      <c r="H68" s="328" t="n"/>
      <c r="I68" s="330" t="n"/>
      <c r="J68" s="331" t="n"/>
      <c r="K68" s="331" t="n"/>
      <c r="L68" s="331" t="n"/>
      <c r="M68" s="332" t="n"/>
      <c r="N68" s="302">
        <f>IF(L68&gt;0,M68/L68,"")</f>
        <v/>
      </c>
      <c r="O68" s="317">
        <f>IF(E68&gt;0,F68/E68*100,"")</f>
        <v/>
      </c>
      <c r="P68" s="275">
        <f>IF(COUNTA(A68:C68)=0,"",IF(OR(A68="",B68="",C68="",D68&lt;0,E68&lt;0,F68&lt;0,H68&lt;0,I68&lt;0,J68&lt;0,K68&lt;0,L68&lt;0),"ERRO: valores inválidos",IF(D68&lt;&gt;E68+K68,"ERRO: total inconsistente",IF(E68&lt;&gt;F68+G68,"ERRO: finalizados inconsistentes",IF(G68&lt;&gt;SUM(H68:J68),"ERRO: reprovações inconsistentes","OK")))))</f>
        <v/>
      </c>
    </row>
    <row r="69" ht="15" customHeight="1" s="131">
      <c r="A69" s="320" t="n"/>
      <c r="B69" s="323" t="n"/>
      <c r="C69" s="323" t="n"/>
      <c r="D69" s="328" t="n"/>
      <c r="E69" s="328" t="n"/>
      <c r="F69" s="328" t="n"/>
      <c r="G69" s="329">
        <f>IF(COUNTA(A69:C69)=0,"",SUM(H69:J69))</f>
        <v/>
      </c>
      <c r="H69" s="328" t="n"/>
      <c r="I69" s="330" t="n"/>
      <c r="J69" s="331" t="n"/>
      <c r="K69" s="331" t="n"/>
      <c r="L69" s="331" t="n"/>
      <c r="M69" s="332" t="n"/>
      <c r="N69" s="302">
        <f>IF(L69&gt;0,M69/L69,"")</f>
        <v/>
      </c>
      <c r="O69" s="317">
        <f>IF(E69&gt;0,F69/E69*100,"")</f>
        <v/>
      </c>
      <c r="P69" s="275">
        <f>IF(COUNTA(A69:C69)=0,"",IF(OR(A69="",B69="",C69="",D69&lt;0,E69&lt;0,F69&lt;0,H69&lt;0,I69&lt;0,J69&lt;0,K69&lt;0,L69&lt;0),"ERRO: valores inválidos",IF(D69&lt;&gt;E69+K69,"ERRO: total inconsistente",IF(E69&lt;&gt;F69+G69,"ERRO: finalizados inconsistentes",IF(G69&lt;&gt;SUM(H69:J69),"ERRO: reprovações inconsistentes","OK")))))</f>
        <v/>
      </c>
    </row>
    <row r="70" ht="15" customHeight="1" s="131">
      <c r="A70" s="320" t="n"/>
      <c r="B70" s="323" t="n"/>
      <c r="C70" s="323" t="n"/>
      <c r="D70" s="328" t="n"/>
      <c r="E70" s="328" t="n"/>
      <c r="F70" s="328" t="n"/>
      <c r="G70" s="329">
        <f>IF(COUNTA(A70:C70)=0,"",SUM(H70:J70))</f>
        <v/>
      </c>
      <c r="H70" s="328" t="n"/>
      <c r="I70" s="330" t="n"/>
      <c r="J70" s="331" t="n"/>
      <c r="K70" s="331" t="n"/>
      <c r="L70" s="331" t="n"/>
      <c r="M70" s="332" t="n"/>
      <c r="N70" s="302">
        <f>IF(L70&gt;0,M70/L70,"")</f>
        <v/>
      </c>
      <c r="O70" s="317">
        <f>IF(E70&gt;0,F70/E70*100,"")</f>
        <v/>
      </c>
      <c r="P70" s="275">
        <f>IF(COUNTA(A70:C70)=0,"",IF(OR(A70="",B70="",C70="",D70&lt;0,E70&lt;0,F70&lt;0,H70&lt;0,I70&lt;0,J70&lt;0,K70&lt;0,L70&lt;0),"ERRO: valores inválidos",IF(D70&lt;&gt;E70+K70,"ERRO: total inconsistente",IF(E70&lt;&gt;F70+G70,"ERRO: finalizados inconsistentes",IF(G70&lt;&gt;SUM(H70:J70),"ERRO: reprovações inconsistentes","OK")))))</f>
        <v/>
      </c>
    </row>
    <row r="71" ht="15" customHeight="1" s="131">
      <c r="A71" s="320" t="n"/>
      <c r="B71" s="323" t="n"/>
      <c r="C71" s="323" t="n"/>
      <c r="D71" s="328" t="n"/>
      <c r="E71" s="328" t="n"/>
      <c r="F71" s="328" t="n"/>
      <c r="G71" s="329">
        <f>IF(COUNTA(A71:C71)=0,"",SUM(H71:J71))</f>
        <v/>
      </c>
      <c r="H71" s="328" t="n"/>
      <c r="I71" s="330" t="n"/>
      <c r="J71" s="331" t="n"/>
      <c r="K71" s="331" t="n"/>
      <c r="L71" s="331" t="n"/>
      <c r="M71" s="332" t="n"/>
      <c r="N71" s="302">
        <f>IF(L71&gt;0,M71/L71,"")</f>
        <v/>
      </c>
      <c r="O71" s="317">
        <f>IF(E71&gt;0,F71/E71*100,"")</f>
        <v/>
      </c>
      <c r="P71" s="275">
        <f>IF(COUNTA(A71:C71)=0,"",IF(OR(A71="",B71="",C71="",D71&lt;0,E71&lt;0,F71&lt;0,H71&lt;0,I71&lt;0,J71&lt;0,K71&lt;0,L71&lt;0),"ERRO: valores inválidos",IF(D71&lt;&gt;E71+K71,"ERRO: total inconsistente",IF(E71&lt;&gt;F71+G71,"ERRO: finalizados inconsistentes",IF(G71&lt;&gt;SUM(H71:J71),"ERRO: reprovações inconsistentes","OK")))))</f>
        <v/>
      </c>
    </row>
    <row r="72" ht="15" customHeight="1" s="131">
      <c r="A72" s="320" t="n"/>
      <c r="B72" s="323" t="n"/>
      <c r="C72" s="323" t="n"/>
      <c r="D72" s="328" t="n"/>
      <c r="E72" s="328" t="n"/>
      <c r="F72" s="328" t="n"/>
      <c r="G72" s="329">
        <f>IF(COUNTA(A72:C72)=0,"",SUM(H72:J72))</f>
        <v/>
      </c>
      <c r="H72" s="328" t="n"/>
      <c r="I72" s="330" t="n"/>
      <c r="J72" s="331" t="n"/>
      <c r="K72" s="331" t="n"/>
      <c r="L72" s="331" t="n"/>
      <c r="M72" s="332" t="n"/>
      <c r="N72" s="302">
        <f>IF(L72&gt;0,M72/L72,"")</f>
        <v/>
      </c>
      <c r="O72" s="317">
        <f>IF(E72&gt;0,F72/E72*100,"")</f>
        <v/>
      </c>
      <c r="P72" s="275">
        <f>IF(COUNTA(A72:C72)=0,"",IF(OR(A72="",B72="",C72="",D72&lt;0,E72&lt;0,F72&lt;0,H72&lt;0,I72&lt;0,J72&lt;0,K72&lt;0,L72&lt;0),"ERRO: valores inválidos",IF(D72&lt;&gt;E72+K72,"ERRO: total inconsistente",IF(E72&lt;&gt;F72+G72,"ERRO: finalizados inconsistentes",IF(G72&lt;&gt;SUM(H72:J72),"ERRO: reprovações inconsistentes","OK")))))</f>
        <v/>
      </c>
    </row>
    <row r="73" ht="15" customHeight="1" s="131">
      <c r="A73" s="320" t="n"/>
      <c r="B73" s="323" t="n"/>
      <c r="C73" s="323" t="n"/>
      <c r="D73" s="328" t="n"/>
      <c r="E73" s="328" t="n"/>
      <c r="F73" s="328" t="n"/>
      <c r="G73" s="329">
        <f>IF(COUNTA(A73:C73)=0,"",SUM(H73:J73))</f>
        <v/>
      </c>
      <c r="H73" s="328" t="n"/>
      <c r="I73" s="330" t="n"/>
      <c r="J73" s="331" t="n"/>
      <c r="K73" s="331" t="n"/>
      <c r="L73" s="331" t="n"/>
      <c r="M73" s="332" t="n"/>
      <c r="N73" s="302">
        <f>IF(L73&gt;0,M73/L73,"")</f>
        <v/>
      </c>
      <c r="O73" s="317">
        <f>IF(E73&gt;0,F73/E73*100,"")</f>
        <v/>
      </c>
      <c r="P73" s="275">
        <f>IF(COUNTA(A73:C73)=0,"",IF(OR(A73="",B73="",C73="",D73&lt;0,E73&lt;0,F73&lt;0,H73&lt;0,I73&lt;0,J73&lt;0,K73&lt;0,L73&lt;0),"ERRO: valores inválidos",IF(D73&lt;&gt;E73+K73,"ERRO: total inconsistente",IF(E73&lt;&gt;F73+G73,"ERRO: finalizados inconsistentes",IF(G73&lt;&gt;SUM(H73:J73),"ERRO: reprovações inconsistentes","OK")))))</f>
        <v/>
      </c>
    </row>
    <row r="74" ht="15" customHeight="1" s="131">
      <c r="A74" s="320" t="n"/>
      <c r="B74" s="323" t="n"/>
      <c r="C74" s="323" t="n"/>
      <c r="D74" s="328" t="n"/>
      <c r="E74" s="328" t="n"/>
      <c r="F74" s="328" t="n"/>
      <c r="G74" s="329">
        <f>IF(COUNTA(A74:C74)=0,"",SUM(H74:J74))</f>
        <v/>
      </c>
      <c r="H74" s="328" t="n"/>
      <c r="I74" s="330" t="n"/>
      <c r="J74" s="331" t="n"/>
      <c r="K74" s="331" t="n"/>
      <c r="L74" s="331" t="n"/>
      <c r="M74" s="332" t="n"/>
      <c r="N74" s="302">
        <f>IF(L74&gt;0,M74/L74,"")</f>
        <v/>
      </c>
      <c r="O74" s="317">
        <f>IF(E74&gt;0,F74/E74*100,"")</f>
        <v/>
      </c>
      <c r="P74" s="275">
        <f>IF(COUNTA(A74:C74)=0,"",IF(OR(A74="",B74="",C74="",D74&lt;0,E74&lt;0,F74&lt;0,H74&lt;0,I74&lt;0,J74&lt;0,K74&lt;0,L74&lt;0),"ERRO: valores inválidos",IF(D74&lt;&gt;E74+K74,"ERRO: total inconsistente",IF(E74&lt;&gt;F74+G74,"ERRO: finalizados inconsistentes",IF(G74&lt;&gt;SUM(H74:J74),"ERRO: reprovações inconsistentes","OK")))))</f>
        <v/>
      </c>
    </row>
    <row r="75" ht="15" customHeight="1" s="131">
      <c r="A75" s="320" t="n"/>
      <c r="B75" s="323" t="n"/>
      <c r="C75" s="323" t="n"/>
      <c r="D75" s="328" t="n"/>
      <c r="E75" s="328" t="n"/>
      <c r="F75" s="328" t="n"/>
      <c r="G75" s="329">
        <f>IF(COUNTA(A75:C75)=0,"",SUM(H75:J75))</f>
        <v/>
      </c>
      <c r="H75" s="328" t="n"/>
      <c r="I75" s="330" t="n"/>
      <c r="J75" s="331" t="n"/>
      <c r="K75" s="331" t="n"/>
      <c r="L75" s="331" t="n"/>
      <c r="M75" s="332" t="n"/>
      <c r="N75" s="302">
        <f>IF(L75&gt;0,M75/L75,"")</f>
        <v/>
      </c>
      <c r="O75" s="317">
        <f>IF(E75&gt;0,F75/E75*100,"")</f>
        <v/>
      </c>
      <c r="P75" s="275">
        <f>IF(COUNTA(A75:C75)=0,"",IF(OR(A75="",B75="",C75="",D75&lt;0,E75&lt;0,F75&lt;0,H75&lt;0,I75&lt;0,J75&lt;0,K75&lt;0,L75&lt;0),"ERRO: valores inválidos",IF(D75&lt;&gt;E75+K75,"ERRO: total inconsistente",IF(E75&lt;&gt;F75+G75,"ERRO: finalizados inconsistentes",IF(G75&lt;&gt;SUM(H75:J75),"ERRO: reprovações inconsistentes","OK")))))</f>
        <v/>
      </c>
    </row>
    <row r="76" ht="15" customHeight="1" s="131">
      <c r="A76" s="320" t="n"/>
      <c r="B76" s="323" t="n"/>
      <c r="C76" s="323" t="n"/>
      <c r="D76" s="328" t="n"/>
      <c r="E76" s="328" t="n"/>
      <c r="F76" s="328" t="n"/>
      <c r="G76" s="329">
        <f>IF(COUNTA(A76:C76)=0,"",SUM(H76:J76))</f>
        <v/>
      </c>
      <c r="H76" s="328" t="n"/>
      <c r="I76" s="330" t="n"/>
      <c r="J76" s="331" t="n"/>
      <c r="K76" s="331" t="n"/>
      <c r="L76" s="331" t="n"/>
      <c r="M76" s="332" t="n"/>
      <c r="N76" s="302">
        <f>IF(L76&gt;0,M76/L76,"")</f>
        <v/>
      </c>
      <c r="O76" s="317">
        <f>IF(E76&gt;0,F76/E76*100,"")</f>
        <v/>
      </c>
      <c r="P76" s="275">
        <f>IF(COUNTA(A76:C76)=0,"",IF(OR(A76="",B76="",C76="",D76&lt;0,E76&lt;0,F76&lt;0,H76&lt;0,I76&lt;0,J76&lt;0,K76&lt;0,L76&lt;0),"ERRO: valores inválidos",IF(D76&lt;&gt;E76+K76,"ERRO: total inconsistente",IF(E76&lt;&gt;F76+G76,"ERRO: finalizados inconsistentes",IF(G76&lt;&gt;SUM(H76:J76),"ERRO: reprovações inconsistentes","OK")))))</f>
        <v/>
      </c>
    </row>
    <row r="77" ht="15" customHeight="1" s="131">
      <c r="A77" s="320" t="n"/>
      <c r="B77" s="323" t="n"/>
      <c r="C77" s="323" t="n"/>
      <c r="D77" s="328" t="n"/>
      <c r="E77" s="328" t="n"/>
      <c r="F77" s="328" t="n"/>
      <c r="G77" s="329">
        <f>IF(COUNTA(A77:C77)=0,"",SUM(H77:J77))</f>
        <v/>
      </c>
      <c r="H77" s="328" t="n"/>
      <c r="I77" s="330" t="n"/>
      <c r="J77" s="331" t="n"/>
      <c r="K77" s="331" t="n"/>
      <c r="L77" s="331" t="n"/>
      <c r="M77" s="332" t="n"/>
      <c r="N77" s="302">
        <f>IF(L77&gt;0,M77/L77,"")</f>
        <v/>
      </c>
      <c r="O77" s="317">
        <f>IF(E77&gt;0,F77/E77*100,"")</f>
        <v/>
      </c>
      <c r="P77" s="275">
        <f>IF(COUNTA(A77:C77)=0,"",IF(OR(A77="",B77="",C77="",D77&lt;0,E77&lt;0,F77&lt;0,H77&lt;0,I77&lt;0,J77&lt;0,K77&lt;0,L77&lt;0),"ERRO: valores inválidos",IF(D77&lt;&gt;E77+K77,"ERRO: total inconsistente",IF(E77&lt;&gt;F77+G77,"ERRO: finalizados inconsistentes",IF(G77&lt;&gt;SUM(H77:J77),"ERRO: reprovações inconsistentes","OK")))))</f>
        <v/>
      </c>
    </row>
    <row r="78" ht="15" customHeight="1" s="131">
      <c r="A78" s="320" t="n"/>
      <c r="B78" s="323" t="n"/>
      <c r="C78" s="323" t="n"/>
      <c r="D78" s="328" t="n"/>
      <c r="E78" s="328" t="n"/>
      <c r="F78" s="328" t="n"/>
      <c r="G78" s="329">
        <f>IF(COUNTA(A78:C78)=0,"",SUM(H78:J78))</f>
        <v/>
      </c>
      <c r="H78" s="328" t="n"/>
      <c r="I78" s="330" t="n"/>
      <c r="J78" s="331" t="n"/>
      <c r="K78" s="331" t="n"/>
      <c r="L78" s="331" t="n"/>
      <c r="M78" s="332" t="n"/>
      <c r="N78" s="302">
        <f>IF(L78&gt;0,M78/L78,"")</f>
        <v/>
      </c>
      <c r="O78" s="317">
        <f>IF(E78&gt;0,F78/E78*100,"")</f>
        <v/>
      </c>
      <c r="P78" s="275">
        <f>IF(COUNTA(A78:C78)=0,"",IF(OR(A78="",B78="",C78="",D78&lt;0,E78&lt;0,F78&lt;0,H78&lt;0,I78&lt;0,J78&lt;0,K78&lt;0,L78&lt;0),"ERRO: valores inválidos",IF(D78&lt;&gt;E78+K78,"ERRO: total inconsistente",IF(E78&lt;&gt;F78+G78,"ERRO: finalizados inconsistentes",IF(G78&lt;&gt;SUM(H78:J78),"ERRO: reprovações inconsistentes","OK")))))</f>
        <v/>
      </c>
    </row>
    <row r="79" ht="15" customHeight="1" s="131">
      <c r="A79" s="320" t="n"/>
      <c r="B79" s="323" t="n"/>
      <c r="C79" s="323" t="n"/>
      <c r="D79" s="328" t="n"/>
      <c r="E79" s="328" t="n"/>
      <c r="F79" s="328" t="n"/>
      <c r="G79" s="329">
        <f>IF(COUNTA(A79:C79)=0,"",SUM(H79:J79))</f>
        <v/>
      </c>
      <c r="H79" s="328" t="n"/>
      <c r="I79" s="330" t="n"/>
      <c r="J79" s="331" t="n"/>
      <c r="K79" s="331" t="n"/>
      <c r="L79" s="331" t="n"/>
      <c r="M79" s="332" t="n"/>
      <c r="N79" s="302">
        <f>IF(L79&gt;0,M79/L79,"")</f>
        <v/>
      </c>
      <c r="O79" s="317">
        <f>IF(E79&gt;0,F79/E79*100,"")</f>
        <v/>
      </c>
      <c r="P79" s="275">
        <f>IF(COUNTA(A79:C79)=0,"",IF(OR(A79="",B79="",C79="",D79&lt;0,E79&lt;0,F79&lt;0,H79&lt;0,I79&lt;0,J79&lt;0,K79&lt;0,L79&lt;0),"ERRO: valores inválidos",IF(D79&lt;&gt;E79+K79,"ERRO: total inconsistente",IF(E79&lt;&gt;F79+G79,"ERRO: finalizados inconsistentes",IF(G79&lt;&gt;SUM(H79:J79),"ERRO: reprovações inconsistentes","OK")))))</f>
        <v/>
      </c>
    </row>
    <row r="80" ht="15" customHeight="1" s="131">
      <c r="A80" s="320" t="n"/>
      <c r="B80" s="323" t="n"/>
      <c r="C80" s="323" t="n"/>
      <c r="D80" s="328" t="n"/>
      <c r="E80" s="328" t="n"/>
      <c r="F80" s="328" t="n"/>
      <c r="G80" s="329">
        <f>IF(COUNTA(A80:C80)=0,"",SUM(H80:J80))</f>
        <v/>
      </c>
      <c r="H80" s="328" t="n"/>
      <c r="I80" s="330" t="n"/>
      <c r="J80" s="331" t="n"/>
      <c r="K80" s="331" t="n"/>
      <c r="L80" s="331" t="n"/>
      <c r="M80" s="332" t="n"/>
      <c r="N80" s="302">
        <f>IF(L80&gt;0,M80/L80,"")</f>
        <v/>
      </c>
      <c r="O80" s="317">
        <f>IF(E80&gt;0,F80/E80*100,"")</f>
        <v/>
      </c>
      <c r="P80" s="275">
        <f>IF(COUNTA(A80:C80)=0,"",IF(OR(A80="",B80="",C80="",D80&lt;0,E80&lt;0,F80&lt;0,H80&lt;0,I80&lt;0,J80&lt;0,K80&lt;0,L80&lt;0),"ERRO: valores inválidos",IF(D80&lt;&gt;E80+K80,"ERRO: total inconsistente",IF(E80&lt;&gt;F80+G80,"ERRO: finalizados inconsistentes",IF(G80&lt;&gt;SUM(H80:J80),"ERRO: reprovações inconsistentes","OK")))))</f>
        <v/>
      </c>
    </row>
    <row r="81" ht="15" customHeight="1" s="131">
      <c r="A81" s="320" t="n"/>
      <c r="B81" s="323" t="n"/>
      <c r="C81" s="323" t="n"/>
      <c r="D81" s="328" t="n"/>
      <c r="E81" s="328" t="n"/>
      <c r="F81" s="328" t="n"/>
      <c r="G81" s="329">
        <f>IF(COUNTA(A81:C81)=0,"",SUM(H81:J81))</f>
        <v/>
      </c>
      <c r="H81" s="328" t="n"/>
      <c r="I81" s="330" t="n"/>
      <c r="J81" s="331" t="n"/>
      <c r="K81" s="331" t="n"/>
      <c r="L81" s="331" t="n"/>
      <c r="M81" s="332" t="n"/>
      <c r="N81" s="302">
        <f>IF(L81&gt;0,M81/L81,"")</f>
        <v/>
      </c>
      <c r="O81" s="317">
        <f>IF(E81&gt;0,F81/E81*100,"")</f>
        <v/>
      </c>
      <c r="P81" s="275">
        <f>IF(COUNTA(A81:C81)=0,"",IF(OR(A81="",B81="",C81="",D81&lt;0,E81&lt;0,F81&lt;0,H81&lt;0,I81&lt;0,J81&lt;0,K81&lt;0,L81&lt;0),"ERRO: valores inválidos",IF(D81&lt;&gt;E81+K81,"ERRO: total inconsistente",IF(E81&lt;&gt;F81+G81,"ERRO: finalizados inconsistentes",IF(G81&lt;&gt;SUM(H81:J81),"ERRO: reprovações inconsistentes","OK")))))</f>
        <v/>
      </c>
    </row>
    <row r="82" ht="15" customHeight="1" s="131">
      <c r="A82" s="320" t="n"/>
      <c r="B82" s="323" t="n"/>
      <c r="C82" s="323" t="n"/>
      <c r="D82" s="328" t="n"/>
      <c r="E82" s="328" t="n"/>
      <c r="F82" s="328" t="n"/>
      <c r="G82" s="329">
        <f>IF(COUNTA(A82:C82)=0,"",SUM(H82:J82))</f>
        <v/>
      </c>
      <c r="H82" s="328" t="n"/>
      <c r="I82" s="330" t="n"/>
      <c r="J82" s="331" t="n"/>
      <c r="K82" s="331" t="n"/>
      <c r="L82" s="331" t="n"/>
      <c r="M82" s="332" t="n"/>
      <c r="N82" s="302">
        <f>IF(L82&gt;0,M82/L82,"")</f>
        <v/>
      </c>
      <c r="O82" s="317">
        <f>IF(E82&gt;0,F82/E82*100,"")</f>
        <v/>
      </c>
      <c r="P82" s="275">
        <f>IF(COUNTA(A82:C82)=0,"",IF(OR(A82="",B82="",C82="",D82&lt;0,E82&lt;0,F82&lt;0,H82&lt;0,I82&lt;0,J82&lt;0,K82&lt;0,L82&lt;0),"ERRO: valores inválidos",IF(D82&lt;&gt;E82+K82,"ERRO: total inconsistente",IF(E82&lt;&gt;F82+G82,"ERRO: finalizados inconsistentes",IF(G82&lt;&gt;SUM(H82:J82),"ERRO: reprovações inconsistentes","OK")))))</f>
        <v/>
      </c>
    </row>
    <row r="83" ht="15" customHeight="1" s="131">
      <c r="A83" s="320" t="n"/>
      <c r="B83" s="323" t="n"/>
      <c r="C83" s="323" t="n"/>
      <c r="D83" s="328" t="n"/>
      <c r="E83" s="328" t="n"/>
      <c r="F83" s="328" t="n"/>
      <c r="G83" s="329">
        <f>IF(COUNTA(A83:C83)=0,"",SUM(H83:J83))</f>
        <v/>
      </c>
      <c r="H83" s="328" t="n"/>
      <c r="I83" s="330" t="n"/>
      <c r="J83" s="331" t="n"/>
      <c r="K83" s="331" t="n"/>
      <c r="L83" s="331" t="n"/>
      <c r="M83" s="332" t="n"/>
      <c r="N83" s="302">
        <f>IF(L83&gt;0,M83/L83,"")</f>
        <v/>
      </c>
      <c r="O83" s="317">
        <f>IF(E83&gt;0,F83/E83*100,"")</f>
        <v/>
      </c>
      <c r="P83" s="275">
        <f>IF(COUNTA(A83:C83)=0,"",IF(OR(A83="",B83="",C83="",D83&lt;0,E83&lt;0,F83&lt;0,H83&lt;0,I83&lt;0,J83&lt;0,K83&lt;0,L83&lt;0),"ERRO: valores inválidos",IF(D83&lt;&gt;E83+K83,"ERRO: total inconsistente",IF(E83&lt;&gt;F83+G83,"ERRO: finalizados inconsistentes",IF(G83&lt;&gt;SUM(H83:J83),"ERRO: reprovações inconsistentes","OK")))))</f>
        <v/>
      </c>
    </row>
    <row r="84" ht="15" customHeight="1" s="131">
      <c r="A84" s="320" t="n"/>
      <c r="B84" s="323" t="n"/>
      <c r="C84" s="323" t="n"/>
      <c r="D84" s="328" t="n"/>
      <c r="E84" s="328" t="n"/>
      <c r="F84" s="328" t="n"/>
      <c r="G84" s="329">
        <f>IF(COUNTA(A84:C84)=0,"",SUM(H84:J84))</f>
        <v/>
      </c>
      <c r="H84" s="328" t="n"/>
      <c r="I84" s="330" t="n"/>
      <c r="J84" s="331" t="n"/>
      <c r="K84" s="331" t="n"/>
      <c r="L84" s="331" t="n"/>
      <c r="M84" s="332" t="n"/>
      <c r="N84" s="302">
        <f>IF(L84&gt;0,M84/L84,"")</f>
        <v/>
      </c>
      <c r="O84" s="317">
        <f>IF(E84&gt;0,F84/E84*100,"")</f>
        <v/>
      </c>
      <c r="P84" s="275">
        <f>IF(COUNTA(A84:C84)=0,"",IF(OR(A84="",B84="",C84="",D84&lt;0,E84&lt;0,F84&lt;0,H84&lt;0,I84&lt;0,J84&lt;0,K84&lt;0,L84&lt;0),"ERRO: valores inválidos",IF(D84&lt;&gt;E84+K84,"ERRO: total inconsistente",IF(E84&lt;&gt;F84+G84,"ERRO: finalizados inconsistentes",IF(G84&lt;&gt;SUM(H84:J84),"ERRO: reprovações inconsistentes","OK")))))</f>
        <v/>
      </c>
    </row>
    <row r="85" ht="15" customHeight="1" s="131">
      <c r="A85" s="320" t="n"/>
      <c r="B85" s="323" t="n"/>
      <c r="C85" s="323" t="n"/>
      <c r="D85" s="328" t="n"/>
      <c r="E85" s="328" t="n"/>
      <c r="F85" s="328" t="n"/>
      <c r="G85" s="329">
        <f>IF(COUNTA(A85:C85)=0,"",SUM(H85:J85))</f>
        <v/>
      </c>
      <c r="H85" s="328" t="n"/>
      <c r="I85" s="330" t="n"/>
      <c r="J85" s="331" t="n"/>
      <c r="K85" s="331" t="n"/>
      <c r="L85" s="331" t="n"/>
      <c r="M85" s="332" t="n"/>
      <c r="N85" s="302">
        <f>IF(L85&gt;0,M85/L85,"")</f>
        <v/>
      </c>
      <c r="O85" s="317">
        <f>IF(E85&gt;0,F85/E85*100,"")</f>
        <v/>
      </c>
      <c r="P85" s="275">
        <f>IF(COUNTA(A85:C85)=0,"",IF(OR(A85="",B85="",C85="",D85&lt;0,E85&lt;0,F85&lt;0,H85&lt;0,I85&lt;0,J85&lt;0,K85&lt;0,L85&lt;0),"ERRO: valores inválidos",IF(D85&lt;&gt;E85+K85,"ERRO: total inconsistente",IF(E85&lt;&gt;F85+G85,"ERRO: finalizados inconsistentes",IF(G85&lt;&gt;SUM(H85:J85),"ERRO: reprovações inconsistentes","OK")))))</f>
        <v/>
      </c>
    </row>
    <row r="86" ht="15" customHeight="1" s="131">
      <c r="A86" s="320" t="n"/>
      <c r="B86" s="323" t="n"/>
      <c r="C86" s="323" t="n"/>
      <c r="D86" s="328" t="n"/>
      <c r="E86" s="328" t="n"/>
      <c r="F86" s="328" t="n"/>
      <c r="G86" s="329">
        <f>IF(COUNTA(A86:C86)=0,"",SUM(H86:J86))</f>
        <v/>
      </c>
      <c r="H86" s="328" t="n"/>
      <c r="I86" s="330" t="n"/>
      <c r="J86" s="331" t="n"/>
      <c r="K86" s="331" t="n"/>
      <c r="L86" s="331" t="n"/>
      <c r="M86" s="332" t="n"/>
      <c r="N86" s="302">
        <f>IF(L86&gt;0,M86/L86,"")</f>
        <v/>
      </c>
      <c r="O86" s="317">
        <f>IF(E86&gt;0,F86/E86*100,"")</f>
        <v/>
      </c>
      <c r="P86" s="275">
        <f>IF(COUNTA(A86:C86)=0,"",IF(OR(A86="",B86="",C86="",D86&lt;0,E86&lt;0,F86&lt;0,H86&lt;0,I86&lt;0,J86&lt;0,K86&lt;0,L86&lt;0),"ERRO: valores inválidos",IF(D86&lt;&gt;E86+K86,"ERRO: total inconsistente",IF(E86&lt;&gt;F86+G86,"ERRO: finalizados inconsistentes",IF(G86&lt;&gt;SUM(H86:J86),"ERRO: reprovações inconsistentes","OK")))))</f>
        <v/>
      </c>
    </row>
    <row r="87" ht="15" customHeight="1" s="131">
      <c r="A87" s="320" t="n"/>
      <c r="B87" s="323" t="n"/>
      <c r="C87" s="323" t="n"/>
      <c r="D87" s="328" t="n"/>
      <c r="E87" s="328" t="n"/>
      <c r="F87" s="328" t="n"/>
      <c r="G87" s="329">
        <f>IF(COUNTA(A87:C87)=0,"",SUM(H87:J87))</f>
        <v/>
      </c>
      <c r="H87" s="328" t="n"/>
      <c r="I87" s="330" t="n"/>
      <c r="J87" s="331" t="n"/>
      <c r="K87" s="331" t="n"/>
      <c r="L87" s="331" t="n"/>
      <c r="M87" s="332" t="n"/>
      <c r="N87" s="302">
        <f>IF(L87&gt;0,M87/L87,"")</f>
        <v/>
      </c>
      <c r="O87" s="317">
        <f>IF(E87&gt;0,F87/E87*100,"")</f>
        <v/>
      </c>
      <c r="P87" s="275">
        <f>IF(COUNTA(A87:C87)=0,"",IF(OR(A87="",B87="",C87="",D87&lt;0,E87&lt;0,F87&lt;0,H87&lt;0,I87&lt;0,J87&lt;0,K87&lt;0,L87&lt;0),"ERRO: valores inválidos",IF(D87&lt;&gt;E87+K87,"ERRO: total inconsistente",IF(E87&lt;&gt;F87+G87,"ERRO: finalizados inconsistentes",IF(G87&lt;&gt;SUM(H87:J87),"ERRO: reprovações inconsistentes","OK")))))</f>
        <v/>
      </c>
    </row>
    <row r="88" ht="15" customHeight="1" s="131">
      <c r="A88" s="320" t="n"/>
      <c r="B88" s="323" t="n"/>
      <c r="C88" s="323" t="n"/>
      <c r="D88" s="328" t="n"/>
      <c r="E88" s="328" t="n"/>
      <c r="F88" s="328" t="n"/>
      <c r="G88" s="329">
        <f>IF(COUNTA(A88:C88)=0,"",SUM(H88:J88))</f>
        <v/>
      </c>
      <c r="H88" s="328" t="n"/>
      <c r="I88" s="330" t="n"/>
      <c r="J88" s="331" t="n"/>
      <c r="K88" s="331" t="n"/>
      <c r="L88" s="331" t="n"/>
      <c r="M88" s="332" t="n"/>
      <c r="N88" s="302">
        <f>IF(L88&gt;0,M88/L88,"")</f>
        <v/>
      </c>
      <c r="O88" s="317">
        <f>IF(E88&gt;0,F88/E88*100,"")</f>
        <v/>
      </c>
      <c r="P88" s="275">
        <f>IF(COUNTA(A88:C88)=0,"",IF(OR(A88="",B88="",C88="",D88&lt;0,E88&lt;0,F88&lt;0,H88&lt;0,I88&lt;0,J88&lt;0,K88&lt;0,L88&lt;0),"ERRO: valores inválidos",IF(D88&lt;&gt;E88+K88,"ERRO: total inconsistente",IF(E88&lt;&gt;F88+G88,"ERRO: finalizados inconsistentes",IF(G88&lt;&gt;SUM(H88:J88),"ERRO: reprovações inconsistentes","OK")))))</f>
        <v/>
      </c>
    </row>
    <row r="89" ht="15" customHeight="1" s="131">
      <c r="A89" s="320" t="n"/>
      <c r="B89" s="323" t="n"/>
      <c r="C89" s="323" t="n"/>
      <c r="D89" s="328" t="n"/>
      <c r="E89" s="328" t="n"/>
      <c r="F89" s="328" t="n"/>
      <c r="G89" s="329">
        <f>IF(COUNTA(A89:C89)=0,"",SUM(H89:J89))</f>
        <v/>
      </c>
      <c r="H89" s="328" t="n"/>
      <c r="I89" s="330" t="n"/>
      <c r="J89" s="331" t="n"/>
      <c r="K89" s="331" t="n"/>
      <c r="L89" s="331" t="n"/>
      <c r="M89" s="332" t="n"/>
      <c r="N89" s="302">
        <f>IF(L89&gt;0,M89/L89,"")</f>
        <v/>
      </c>
      <c r="O89" s="317">
        <f>IF(E89&gt;0,F89/E89*100,"")</f>
        <v/>
      </c>
      <c r="P89" s="275">
        <f>IF(COUNTA(A89:C89)=0,"",IF(OR(A89="",B89="",C89="",D89&lt;0,E89&lt;0,F89&lt;0,H89&lt;0,I89&lt;0,J89&lt;0,K89&lt;0,L89&lt;0),"ERRO: valores inválidos",IF(D89&lt;&gt;E89+K89,"ERRO: total inconsistente",IF(E89&lt;&gt;F89+G89,"ERRO: finalizados inconsistentes",IF(G89&lt;&gt;SUM(H89:J89),"ERRO: reprovações inconsistentes","OK")))))</f>
        <v/>
      </c>
    </row>
    <row r="90" ht="15" customHeight="1" s="131">
      <c r="A90" s="320" t="n"/>
      <c r="B90" s="323" t="n"/>
      <c r="C90" s="323" t="n"/>
      <c r="D90" s="328" t="n"/>
      <c r="E90" s="328" t="n"/>
      <c r="F90" s="328" t="n"/>
      <c r="G90" s="329">
        <f>IF(COUNTA(A90:C90)=0,"",SUM(H90:J90))</f>
        <v/>
      </c>
      <c r="H90" s="328" t="n"/>
      <c r="I90" s="330" t="n"/>
      <c r="J90" s="331" t="n"/>
      <c r="K90" s="331" t="n"/>
      <c r="L90" s="331" t="n"/>
      <c r="M90" s="332" t="n"/>
      <c r="N90" s="302">
        <f>IF(L90&gt;0,M90/L90,"")</f>
        <v/>
      </c>
      <c r="O90" s="317">
        <f>IF(E90&gt;0,F90/E90*100,"")</f>
        <v/>
      </c>
      <c r="P90" s="275">
        <f>IF(COUNTA(A90:C90)=0,"",IF(OR(A90="",B90="",C90="",D90&lt;0,E90&lt;0,F90&lt;0,H90&lt;0,I90&lt;0,J90&lt;0,K90&lt;0,L90&lt;0),"ERRO: valores inválidos",IF(D90&lt;&gt;E90+K90,"ERRO: total inconsistente",IF(E90&lt;&gt;F90+G90,"ERRO: finalizados inconsistentes",IF(G90&lt;&gt;SUM(H90:J90),"ERRO: reprovações inconsistentes","OK")))))</f>
        <v/>
      </c>
    </row>
    <row r="91" ht="15" customHeight="1" s="131">
      <c r="A91" s="320" t="n"/>
      <c r="B91" s="323" t="n"/>
      <c r="C91" s="323" t="n"/>
      <c r="D91" s="328" t="n"/>
      <c r="E91" s="328" t="n"/>
      <c r="F91" s="328" t="n"/>
      <c r="G91" s="329">
        <f>IF(COUNTA(A91:C91)=0,"",SUM(H91:J91))</f>
        <v/>
      </c>
      <c r="H91" s="328" t="n"/>
      <c r="I91" s="330" t="n"/>
      <c r="J91" s="331" t="n"/>
      <c r="K91" s="331" t="n"/>
      <c r="L91" s="331" t="n"/>
      <c r="M91" s="332" t="n"/>
      <c r="N91" s="302">
        <f>IF(L91&gt;0,M91/L91,"")</f>
        <v/>
      </c>
      <c r="O91" s="317">
        <f>IF(E91&gt;0,F91/E91*100,"")</f>
        <v/>
      </c>
      <c r="P91" s="275">
        <f>IF(COUNTA(A91:C91)=0,"",IF(OR(A91="",B91="",C91="",D91&lt;0,E91&lt;0,F91&lt;0,H91&lt;0,I91&lt;0,J91&lt;0,K91&lt;0,L91&lt;0),"ERRO: valores inválidos",IF(D91&lt;&gt;E91+K91,"ERRO: total inconsistente",IF(E91&lt;&gt;F91+G91,"ERRO: finalizados inconsistentes",IF(G91&lt;&gt;SUM(H91:J91),"ERRO: reprovações inconsistentes","OK")))))</f>
        <v/>
      </c>
    </row>
    <row r="92" ht="15" customHeight="1" s="131">
      <c r="A92" s="320" t="n"/>
      <c r="B92" s="323" t="n"/>
      <c r="C92" s="323" t="n"/>
      <c r="D92" s="328" t="n"/>
      <c r="E92" s="328" t="n"/>
      <c r="F92" s="328" t="n"/>
      <c r="G92" s="329">
        <f>IF(COUNTA(A92:C92)=0,"",SUM(H92:J92))</f>
        <v/>
      </c>
      <c r="H92" s="328" t="n"/>
      <c r="I92" s="330" t="n"/>
      <c r="J92" s="331" t="n"/>
      <c r="K92" s="331" t="n"/>
      <c r="L92" s="331" t="n"/>
      <c r="M92" s="332" t="n"/>
      <c r="N92" s="302">
        <f>IF(L92&gt;0,M92/L92,"")</f>
        <v/>
      </c>
      <c r="O92" s="317">
        <f>IF(E92&gt;0,F92/E92*100,"")</f>
        <v/>
      </c>
      <c r="P92" s="275">
        <f>IF(COUNTA(A92:C92)=0,"",IF(OR(A92="",B92="",C92="",D92&lt;0,E92&lt;0,F92&lt;0,H92&lt;0,I92&lt;0,J92&lt;0,K92&lt;0,L92&lt;0),"ERRO: valores inválidos",IF(D92&lt;&gt;E92+K92,"ERRO: total inconsistente",IF(E92&lt;&gt;F92+G92,"ERRO: finalizados inconsistentes",IF(G92&lt;&gt;SUM(H92:J92),"ERRO: reprovações inconsistentes","OK")))))</f>
        <v/>
      </c>
    </row>
    <row r="93" ht="15" customHeight="1" s="131">
      <c r="A93" s="320" t="n"/>
      <c r="B93" s="323" t="n"/>
      <c r="C93" s="323" t="n"/>
      <c r="D93" s="328" t="n"/>
      <c r="E93" s="328" t="n"/>
      <c r="F93" s="328" t="n"/>
      <c r="G93" s="329">
        <f>IF(COUNTA(A93:C93)=0,"",SUM(H93:J93))</f>
        <v/>
      </c>
      <c r="H93" s="328" t="n"/>
      <c r="I93" s="330" t="n"/>
      <c r="J93" s="331" t="n"/>
      <c r="K93" s="331" t="n"/>
      <c r="L93" s="331" t="n"/>
      <c r="M93" s="332" t="n"/>
      <c r="N93" s="302">
        <f>IF(L93&gt;0,M93/L93,"")</f>
        <v/>
      </c>
      <c r="O93" s="317">
        <f>IF(E93&gt;0,F93/E93*100,"")</f>
        <v/>
      </c>
      <c r="P93" s="275">
        <f>IF(COUNTA(A93:C93)=0,"",IF(OR(A93="",B93="",C93="",D93&lt;0,E93&lt;0,F93&lt;0,H93&lt;0,I93&lt;0,J93&lt;0,K93&lt;0,L93&lt;0),"ERRO: valores inválidos",IF(D93&lt;&gt;E93+K93,"ERRO: total inconsistente",IF(E93&lt;&gt;F93+G93,"ERRO: finalizados inconsistentes",IF(G93&lt;&gt;SUM(H93:J93),"ERRO: reprovações inconsistentes","OK")))))</f>
        <v/>
      </c>
    </row>
    <row r="94" ht="15" customHeight="1" s="131">
      <c r="A94" s="320" t="n"/>
      <c r="B94" s="323" t="n"/>
      <c r="C94" s="323" t="n"/>
      <c r="D94" s="328" t="n"/>
      <c r="E94" s="328" t="n"/>
      <c r="F94" s="328" t="n"/>
      <c r="G94" s="329">
        <f>IF(COUNTA(A94:C94)=0,"",SUM(H94:J94))</f>
        <v/>
      </c>
      <c r="H94" s="328" t="n"/>
      <c r="I94" s="330" t="n"/>
      <c r="J94" s="331" t="n"/>
      <c r="K94" s="331" t="n"/>
      <c r="L94" s="331" t="n"/>
      <c r="M94" s="332" t="n"/>
      <c r="N94" s="302">
        <f>IF(L94&gt;0,M94/L94,"")</f>
        <v/>
      </c>
      <c r="O94" s="317">
        <f>IF(E94&gt;0,F94/E94*100,"")</f>
        <v/>
      </c>
      <c r="P94" s="275">
        <f>IF(COUNTA(A94:C94)=0,"",IF(OR(A94="",B94="",C94="",D94&lt;0,E94&lt;0,F94&lt;0,H94&lt;0,I94&lt;0,J94&lt;0,K94&lt;0,L94&lt;0),"ERRO: valores inválidos",IF(D94&lt;&gt;E94+K94,"ERRO: total inconsistente",IF(E94&lt;&gt;F94+G94,"ERRO: finalizados inconsistentes",IF(G94&lt;&gt;SUM(H94:J94),"ERRO: reprovações inconsistentes","OK")))))</f>
        <v/>
      </c>
    </row>
    <row r="95" ht="15" customHeight="1" s="131">
      <c r="A95" s="320" t="n"/>
      <c r="B95" s="323" t="n"/>
      <c r="C95" s="323" t="n"/>
      <c r="D95" s="328" t="n"/>
      <c r="E95" s="328" t="n"/>
      <c r="F95" s="328" t="n"/>
      <c r="G95" s="329">
        <f>IF(COUNTA(A95:C95)=0,"",SUM(H95:J95))</f>
        <v/>
      </c>
      <c r="H95" s="328" t="n"/>
      <c r="I95" s="330" t="n"/>
      <c r="J95" s="331" t="n"/>
      <c r="K95" s="331" t="n"/>
      <c r="L95" s="331" t="n"/>
      <c r="M95" s="332" t="n"/>
      <c r="N95" s="302">
        <f>IF(L95&gt;0,M95/L95,"")</f>
        <v/>
      </c>
      <c r="O95" s="317">
        <f>IF(E95&gt;0,F95/E95*100,"")</f>
        <v/>
      </c>
      <c r="P95" s="275">
        <f>IF(COUNTA(A95:C95)=0,"",IF(OR(A95="",B95="",C95="",D95&lt;0,E95&lt;0,F95&lt;0,H95&lt;0,I95&lt;0,J95&lt;0,K95&lt;0,L95&lt;0),"ERRO: valores inválidos",IF(D95&lt;&gt;E95+K95,"ERRO: total inconsistente",IF(E95&lt;&gt;F95+G95,"ERRO: finalizados inconsistentes",IF(G95&lt;&gt;SUM(H95:J95),"ERRO: reprovações inconsistentes","OK")))))</f>
        <v/>
      </c>
    </row>
    <row r="96" ht="15" customHeight="1" s="131">
      <c r="A96" s="320" t="n"/>
      <c r="B96" s="323" t="n"/>
      <c r="C96" s="323" t="n"/>
      <c r="D96" s="328" t="n"/>
      <c r="E96" s="328" t="n"/>
      <c r="F96" s="328" t="n"/>
      <c r="G96" s="329">
        <f>IF(COUNTA(A96:C96)=0,"",SUM(H96:J96))</f>
        <v/>
      </c>
      <c r="H96" s="328" t="n"/>
      <c r="I96" s="330" t="n"/>
      <c r="J96" s="331" t="n"/>
      <c r="K96" s="331" t="n"/>
      <c r="L96" s="331" t="n"/>
      <c r="M96" s="332" t="n"/>
      <c r="N96" s="302">
        <f>IF(L96&gt;0,M96/L96,"")</f>
        <v/>
      </c>
      <c r="O96" s="317">
        <f>IF(E96&gt;0,F96/E96*100,"")</f>
        <v/>
      </c>
      <c r="P96" s="275">
        <f>IF(COUNTA(A96:C96)=0,"",IF(OR(A96="",B96="",C96="",D96&lt;0,E96&lt;0,F96&lt;0,H96&lt;0,I96&lt;0,J96&lt;0,K96&lt;0,L96&lt;0),"ERRO: valores inválidos",IF(D96&lt;&gt;E96+K96,"ERRO: total inconsistente",IF(E96&lt;&gt;F96+G96,"ERRO: finalizados inconsistentes",IF(G96&lt;&gt;SUM(H96:J96),"ERRO: reprovações inconsistentes","OK")))))</f>
        <v/>
      </c>
    </row>
    <row r="97" ht="15" customHeight="1" s="131">
      <c r="A97" s="320" t="n"/>
      <c r="B97" s="323" t="n"/>
      <c r="C97" s="323" t="n"/>
      <c r="D97" s="328" t="n"/>
      <c r="E97" s="328" t="n"/>
      <c r="F97" s="328" t="n"/>
      <c r="G97" s="329">
        <f>IF(COUNTA(A97:C97)=0,"",SUM(H97:J97))</f>
        <v/>
      </c>
      <c r="H97" s="328" t="n"/>
      <c r="I97" s="330" t="n"/>
      <c r="J97" s="331" t="n"/>
      <c r="K97" s="331" t="n"/>
      <c r="L97" s="331" t="n"/>
      <c r="M97" s="332" t="n"/>
      <c r="N97" s="302">
        <f>IF(L97&gt;0,M97/L97,"")</f>
        <v/>
      </c>
      <c r="O97" s="317">
        <f>IF(E97&gt;0,F97/E97*100,"")</f>
        <v/>
      </c>
      <c r="P97" s="275">
        <f>IF(COUNTA(A97:C97)=0,"",IF(OR(A97="",B97="",C97="",D97&lt;0,E97&lt;0,F97&lt;0,H97&lt;0,I97&lt;0,J97&lt;0,K97&lt;0,L97&lt;0),"ERRO: valores inválidos",IF(D97&lt;&gt;E97+K97,"ERRO: total inconsistente",IF(E97&lt;&gt;F97+G97,"ERRO: finalizados inconsistentes",IF(G97&lt;&gt;SUM(H97:J97),"ERRO: reprovações inconsistentes","OK")))))</f>
        <v/>
      </c>
    </row>
    <row r="98" ht="15" customHeight="1" s="131">
      <c r="A98" s="320" t="n"/>
      <c r="B98" s="323" t="n"/>
      <c r="C98" s="323" t="n"/>
      <c r="D98" s="328" t="n"/>
      <c r="E98" s="328" t="n"/>
      <c r="F98" s="328" t="n"/>
      <c r="G98" s="329">
        <f>IF(COUNTA(A98:C98)=0,"",SUM(H98:J98))</f>
        <v/>
      </c>
      <c r="H98" s="328" t="n"/>
      <c r="I98" s="330" t="n"/>
      <c r="J98" s="331" t="n"/>
      <c r="K98" s="331" t="n"/>
      <c r="L98" s="331" t="n"/>
      <c r="M98" s="332" t="n"/>
      <c r="N98" s="302">
        <f>IF(L98&gt;0,M98/L98,"")</f>
        <v/>
      </c>
      <c r="O98" s="317">
        <f>IF(E98&gt;0,F98/E98*100,"")</f>
        <v/>
      </c>
      <c r="P98" s="275">
        <f>IF(COUNTA(A98:C98)=0,"",IF(OR(A98="",B98="",C98="",D98&lt;0,E98&lt;0,F98&lt;0,H98&lt;0,I98&lt;0,J98&lt;0,K98&lt;0,L98&lt;0),"ERRO: valores inválidos",IF(D98&lt;&gt;E98+K98,"ERRO: total inconsistente",IF(E98&lt;&gt;F98+G98,"ERRO: finalizados inconsistentes",IF(G98&lt;&gt;SUM(H98:J98),"ERRO: reprovações inconsistentes","OK")))))</f>
        <v/>
      </c>
    </row>
    <row r="99" ht="15" customHeight="1" s="131">
      <c r="A99" s="320" t="n"/>
      <c r="B99" s="323" t="n"/>
      <c r="C99" s="323" t="n"/>
      <c r="D99" s="328" t="n"/>
      <c r="E99" s="328" t="n"/>
      <c r="F99" s="328" t="n"/>
      <c r="G99" s="329">
        <f>IF(COUNTA(A99:C99)=0,"",SUM(H99:J99))</f>
        <v/>
      </c>
      <c r="H99" s="328" t="n"/>
      <c r="I99" s="330" t="n"/>
      <c r="J99" s="331" t="n"/>
      <c r="K99" s="331" t="n"/>
      <c r="L99" s="331" t="n"/>
      <c r="M99" s="332" t="n"/>
      <c r="N99" s="302">
        <f>IF(L99&gt;0,M99/L99,"")</f>
        <v/>
      </c>
      <c r="O99" s="317">
        <f>IF(E99&gt;0,F99/E99*100,"")</f>
        <v/>
      </c>
      <c r="P99" s="275">
        <f>IF(COUNTA(A99:C99)=0,"",IF(OR(A99="",B99="",C99="",D99&lt;0,E99&lt;0,F99&lt;0,H99&lt;0,I99&lt;0,J99&lt;0,K99&lt;0,L99&lt;0),"ERRO: valores inválidos",IF(D99&lt;&gt;E99+K99,"ERRO: total inconsistente",IF(E99&lt;&gt;F99+G99,"ERRO: finalizados inconsistentes",IF(G99&lt;&gt;SUM(H99:J99),"ERRO: reprovações inconsistentes","OK")))))</f>
        <v/>
      </c>
    </row>
    <row r="100" ht="15" customHeight="1" s="131">
      <c r="A100" s="320" t="n"/>
      <c r="B100" s="323" t="n"/>
      <c r="C100" s="323" t="n"/>
      <c r="D100" s="328" t="n"/>
      <c r="E100" s="328" t="n"/>
      <c r="F100" s="328" t="n"/>
      <c r="G100" s="329">
        <f>IF(COUNTA(A100:C100)=0,"",SUM(H100:J100))</f>
        <v/>
      </c>
      <c r="H100" s="328" t="n"/>
      <c r="I100" s="330" t="n"/>
      <c r="J100" s="331" t="n"/>
      <c r="K100" s="331" t="n"/>
      <c r="L100" s="331" t="n"/>
      <c r="M100" s="332" t="n"/>
      <c r="N100" s="302">
        <f>IF(L100&gt;0,M100/L100,"")</f>
        <v/>
      </c>
      <c r="O100" s="317">
        <f>IF(E100&gt;0,F100/E100*100,"")</f>
        <v/>
      </c>
      <c r="P100" s="275">
        <f>IF(COUNTA(A100:C100)=0,"",IF(OR(A100="",B100="",C100="",D100&lt;0,E100&lt;0,F100&lt;0,H100&lt;0,I100&lt;0,J100&lt;0,K100&lt;0,L100&lt;0),"ERRO: valores inválidos",IF(D100&lt;&gt;E100+K100,"ERRO: total inconsistente",IF(E100&lt;&gt;F100+G100,"ERRO: finalizados inconsistentes",IF(G100&lt;&gt;SUM(H100:J100),"ERRO: reprovações inconsistentes","OK")))))</f>
        <v/>
      </c>
    </row>
    <row r="101" ht="15" customHeight="1" s="131">
      <c r="A101" s="320" t="n"/>
      <c r="B101" s="323" t="n"/>
      <c r="C101" s="323" t="n"/>
      <c r="D101" s="328" t="n"/>
      <c r="E101" s="328" t="n"/>
      <c r="F101" s="328" t="n"/>
      <c r="G101" s="329">
        <f>IF(COUNTA(A101:C101)=0,"",SUM(H101:J101))</f>
        <v/>
      </c>
      <c r="H101" s="328" t="n"/>
      <c r="I101" s="330" t="n"/>
      <c r="J101" s="331" t="n"/>
      <c r="K101" s="331" t="n"/>
      <c r="L101" s="331" t="n"/>
      <c r="M101" s="332" t="n"/>
      <c r="N101" s="302">
        <f>IF(L101&gt;0,M101/L101,"")</f>
        <v/>
      </c>
      <c r="O101" s="317">
        <f>IF(E101&gt;0,F101/E101*100,"")</f>
        <v/>
      </c>
      <c r="P101" s="275">
        <f>IF(COUNTA(A101:C101)=0,"",IF(OR(A101="",B101="",C101="",D101&lt;0,E101&lt;0,F101&lt;0,H101&lt;0,I101&lt;0,J101&lt;0,K101&lt;0,L101&lt;0),"ERRO: valores inválidos",IF(D101&lt;&gt;E101+K101,"ERRO: total inconsistente",IF(E101&lt;&gt;F101+G101,"ERRO: finalizados inconsistentes",IF(G101&lt;&gt;SUM(H101:J101),"ERRO: reprovações inconsistentes","OK")))))</f>
        <v/>
      </c>
    </row>
    <row r="102" ht="15" customHeight="1" s="131">
      <c r="A102" s="320" t="n"/>
      <c r="B102" s="323" t="n"/>
      <c r="C102" s="323" t="n"/>
      <c r="D102" s="328" t="n"/>
      <c r="E102" s="328" t="n"/>
      <c r="F102" s="328" t="n"/>
      <c r="G102" s="329">
        <f>IF(COUNTA(A102:C102)=0,"",SUM(H102:J102))</f>
        <v/>
      </c>
      <c r="H102" s="328" t="n"/>
      <c r="I102" s="330" t="n"/>
      <c r="J102" s="331" t="n"/>
      <c r="K102" s="331" t="n"/>
      <c r="L102" s="331" t="n"/>
      <c r="M102" s="332" t="n"/>
      <c r="N102" s="302">
        <f>IF(L102&gt;0,M102/L102,"")</f>
        <v/>
      </c>
      <c r="O102" s="317">
        <f>IF(E102&gt;0,F102/E102*100,"")</f>
        <v/>
      </c>
      <c r="P102" s="275">
        <f>IF(COUNTA(A102:C102)=0,"",IF(OR(A102="",B102="",C102="",D102&lt;0,E102&lt;0,F102&lt;0,H102&lt;0,I102&lt;0,J102&lt;0,K102&lt;0,L102&lt;0),"ERRO: valores inválidos",IF(D102&lt;&gt;E102+K102,"ERRO: total inconsistente",IF(E102&lt;&gt;F102+G102,"ERRO: finalizados inconsistentes",IF(G102&lt;&gt;SUM(H102:J102),"ERRO: reprovações inconsistentes","OK")))))</f>
        <v/>
      </c>
    </row>
    <row r="103" ht="15" customHeight="1" s="131">
      <c r="A103" s="320" t="n"/>
      <c r="B103" s="323" t="n"/>
      <c r="C103" s="323" t="n"/>
      <c r="D103" s="328" t="n"/>
      <c r="E103" s="328" t="n"/>
      <c r="F103" s="328" t="n"/>
      <c r="G103" s="329">
        <f>IF(COUNTA(A103:C103)=0,"",SUM(H103:J103))</f>
        <v/>
      </c>
      <c r="H103" s="328" t="n"/>
      <c r="I103" s="330" t="n"/>
      <c r="J103" s="331" t="n"/>
      <c r="K103" s="331" t="n"/>
      <c r="L103" s="331" t="n"/>
      <c r="M103" s="332" t="n"/>
      <c r="N103" s="302">
        <f>IF(L103&gt;0,M103/L103,"")</f>
        <v/>
      </c>
      <c r="O103" s="317">
        <f>IF(E103&gt;0,F103/E103*100,"")</f>
        <v/>
      </c>
      <c r="P103" s="275">
        <f>IF(COUNTA(A103:C103)=0,"",IF(OR(A103="",B103="",C103="",D103&lt;0,E103&lt;0,F103&lt;0,H103&lt;0,I103&lt;0,J103&lt;0,K103&lt;0,L103&lt;0),"ERRO: valores inválidos",IF(D103&lt;&gt;E103+K103,"ERRO: total inconsistente",IF(E103&lt;&gt;F103+G103,"ERRO: finalizados inconsistentes",IF(G103&lt;&gt;SUM(H103:J103),"ERRO: reprovações inconsistentes","OK")))))</f>
        <v/>
      </c>
    </row>
    <row r="104" ht="15" customHeight="1" s="131">
      <c r="A104" s="320" t="n"/>
      <c r="B104" s="323" t="n"/>
      <c r="C104" s="323" t="n"/>
      <c r="D104" s="328" t="n"/>
      <c r="E104" s="328" t="n"/>
      <c r="F104" s="328" t="n"/>
      <c r="G104" s="329">
        <f>IF(COUNTA(A104:C104)=0,"",SUM(H104:J104))</f>
        <v/>
      </c>
      <c r="H104" s="328" t="n"/>
      <c r="I104" s="330" t="n"/>
      <c r="J104" s="331" t="n"/>
      <c r="K104" s="331" t="n"/>
      <c r="L104" s="331" t="n"/>
      <c r="M104" s="332" t="n"/>
      <c r="N104" s="302">
        <f>IF(L104&gt;0,M104/L104,"")</f>
        <v/>
      </c>
      <c r="O104" s="317">
        <f>IF(E104&gt;0,F104/E104*100,"")</f>
        <v/>
      </c>
      <c r="P104" s="275">
        <f>IF(COUNTA(A104:C104)=0,"",IF(OR(A104="",B104="",C104="",D104&lt;0,E104&lt;0,F104&lt;0,H104&lt;0,I104&lt;0,J104&lt;0,K104&lt;0,L104&lt;0),"ERRO: valores inválidos",IF(D104&lt;&gt;E104+K104,"ERRO: total inconsistente",IF(E104&lt;&gt;F104+G104,"ERRO: finalizados inconsistentes",IF(G104&lt;&gt;SUM(H104:J104),"ERRO: reprovações inconsistentes","OK")))))</f>
        <v/>
      </c>
    </row>
    <row r="105" ht="15" customHeight="1" s="131">
      <c r="A105" s="320" t="n"/>
      <c r="B105" s="323" t="n"/>
      <c r="C105" s="323" t="n"/>
      <c r="D105" s="328" t="n"/>
      <c r="E105" s="328" t="n"/>
      <c r="F105" s="328" t="n"/>
      <c r="G105" s="329">
        <f>IF(COUNTA(A105:C105)=0,"",SUM(H105:J105))</f>
        <v/>
      </c>
      <c r="H105" s="328" t="n"/>
      <c r="I105" s="330" t="n"/>
      <c r="J105" s="331" t="n"/>
      <c r="K105" s="331" t="n"/>
      <c r="L105" s="331" t="n"/>
      <c r="M105" s="332" t="n"/>
      <c r="N105" s="302">
        <f>IF(L105&gt;0,M105/L105,"")</f>
        <v/>
      </c>
      <c r="O105" s="317">
        <f>IF(E105&gt;0,F105/E105*100,"")</f>
        <v/>
      </c>
      <c r="P105" s="275">
        <f>IF(COUNTA(A105:C105)=0,"",IF(OR(A105="",B105="",C105="",D105&lt;0,E105&lt;0,F105&lt;0,H105&lt;0,I105&lt;0,J105&lt;0,K105&lt;0,L105&lt;0),"ERRO: valores inválidos",IF(D105&lt;&gt;E105+K105,"ERRO: total inconsistente",IF(E105&lt;&gt;F105+G105,"ERRO: finalizados inconsistentes",IF(G105&lt;&gt;SUM(H105:J105),"ERRO: reprovações inconsistentes","OK")))))</f>
        <v/>
      </c>
    </row>
    <row r="106" ht="15" customHeight="1" s="131">
      <c r="A106" s="320" t="n"/>
      <c r="B106" s="323" t="n"/>
      <c r="C106" s="323" t="n"/>
      <c r="D106" s="328" t="n"/>
      <c r="E106" s="328" t="n"/>
      <c r="F106" s="328" t="n"/>
      <c r="G106" s="329">
        <f>IF(COUNTA(A106:C106)=0,"",SUM(H106:J106))</f>
        <v/>
      </c>
      <c r="H106" s="328" t="n"/>
      <c r="I106" s="330" t="n"/>
      <c r="J106" s="331" t="n"/>
      <c r="K106" s="331" t="n"/>
      <c r="L106" s="331" t="n"/>
      <c r="M106" s="332" t="n"/>
      <c r="N106" s="302">
        <f>IF(L106&gt;0,M106/L106,"")</f>
        <v/>
      </c>
      <c r="O106" s="317">
        <f>IF(E106&gt;0,F106/E106*100,"")</f>
        <v/>
      </c>
      <c r="P106" s="275">
        <f>IF(COUNTA(A106:C106)=0,"",IF(OR(A106="",B106="",C106="",D106&lt;0,E106&lt;0,F106&lt;0,H106&lt;0,I106&lt;0,J106&lt;0,K106&lt;0,L106&lt;0),"ERRO: valores inválidos",IF(D106&lt;&gt;E106+K106,"ERRO: total inconsistente",IF(E106&lt;&gt;F106+G106,"ERRO: finalizados inconsistentes",IF(G106&lt;&gt;SUM(H106:J106),"ERRO: reprovações inconsistentes","OK")))))</f>
        <v/>
      </c>
    </row>
    <row r="107" ht="15" customHeight="1" s="131">
      <c r="A107" s="320" t="n"/>
      <c r="B107" s="323" t="n"/>
      <c r="C107" s="323" t="n"/>
      <c r="D107" s="328" t="n"/>
      <c r="E107" s="328" t="n"/>
      <c r="F107" s="328" t="n"/>
      <c r="G107" s="329">
        <f>IF(COUNTA(A107:C107)=0,"",SUM(H107:J107))</f>
        <v/>
      </c>
      <c r="H107" s="328" t="n"/>
      <c r="I107" s="330" t="n"/>
      <c r="J107" s="331" t="n"/>
      <c r="K107" s="331" t="n"/>
      <c r="L107" s="331" t="n"/>
      <c r="M107" s="332" t="n"/>
      <c r="N107" s="302">
        <f>IF(L107&gt;0,M107/L107,"")</f>
        <v/>
      </c>
      <c r="O107" s="317">
        <f>IF(E107&gt;0,F107/E107*100,"")</f>
        <v/>
      </c>
      <c r="P107" s="275">
        <f>IF(COUNTA(A107:C107)=0,"",IF(OR(A107="",B107="",C107="",D107&lt;0,E107&lt;0,F107&lt;0,H107&lt;0,I107&lt;0,J107&lt;0,K107&lt;0,L107&lt;0),"ERRO: valores inválidos",IF(D107&lt;&gt;E107+K107,"ERRO: total inconsistente",IF(E107&lt;&gt;F107+G107,"ERRO: finalizados inconsistentes",IF(G107&lt;&gt;SUM(H107:J107),"ERRO: reprovações inconsistentes","OK")))))</f>
        <v/>
      </c>
    </row>
    <row r="108" ht="15" customHeight="1" s="131">
      <c r="A108" s="320" t="n"/>
      <c r="B108" s="323" t="n"/>
      <c r="C108" s="323" t="n"/>
      <c r="D108" s="328" t="n"/>
      <c r="E108" s="328" t="n"/>
      <c r="F108" s="328" t="n"/>
      <c r="G108" s="329">
        <f>IF(COUNTA(A108:C108)=0,"",SUM(H108:J108))</f>
        <v/>
      </c>
      <c r="H108" s="328" t="n"/>
      <c r="I108" s="330" t="n"/>
      <c r="J108" s="331" t="n"/>
      <c r="K108" s="331" t="n"/>
      <c r="L108" s="331" t="n"/>
      <c r="M108" s="332" t="n"/>
      <c r="N108" s="302">
        <f>IF(L108&gt;0,M108/L108,"")</f>
        <v/>
      </c>
      <c r="O108" s="317">
        <f>IF(E108&gt;0,F108/E108*100,"")</f>
        <v/>
      </c>
      <c r="P108" s="275">
        <f>IF(COUNTA(A108:C108)=0,"",IF(OR(A108="",B108="",C108="",D108&lt;0,E108&lt;0,F108&lt;0,H108&lt;0,I108&lt;0,J108&lt;0,K108&lt;0,L108&lt;0),"ERRO: valores inválidos",IF(D108&lt;&gt;E108+K108,"ERRO: total inconsistente",IF(E108&lt;&gt;F108+G108,"ERRO: finalizados inconsistentes",IF(G108&lt;&gt;SUM(H108:J108),"ERRO: reprovações inconsistentes","OK")))))</f>
        <v/>
      </c>
    </row>
    <row r="109" ht="15" customHeight="1" s="131">
      <c r="A109" s="320" t="n"/>
      <c r="B109" s="323" t="n"/>
      <c r="C109" s="323" t="n"/>
      <c r="D109" s="328" t="n"/>
      <c r="E109" s="328" t="n"/>
      <c r="F109" s="328" t="n"/>
      <c r="G109" s="329">
        <f>IF(COUNTA(A109:C109)=0,"",SUM(H109:J109))</f>
        <v/>
      </c>
      <c r="H109" s="328" t="n"/>
      <c r="I109" s="330" t="n"/>
      <c r="J109" s="331" t="n"/>
      <c r="K109" s="331" t="n"/>
      <c r="L109" s="331" t="n"/>
      <c r="M109" s="332" t="n"/>
      <c r="N109" s="302">
        <f>IF(L109&gt;0,M109/L109,"")</f>
        <v/>
      </c>
      <c r="O109" s="317">
        <f>IF(E109&gt;0,F109/E109*100,"")</f>
        <v/>
      </c>
      <c r="P109" s="275">
        <f>IF(COUNTA(A109:C109)=0,"",IF(OR(A109="",B109="",C109="",D109&lt;0,E109&lt;0,F109&lt;0,H109&lt;0,I109&lt;0,J109&lt;0,K109&lt;0,L109&lt;0),"ERRO: valores inválidos",IF(D109&lt;&gt;E109+K109,"ERRO: total inconsistente",IF(E109&lt;&gt;F109+G109,"ERRO: finalizados inconsistentes",IF(G109&lt;&gt;SUM(H109:J109),"ERRO: reprovações inconsistentes","OK")))))</f>
        <v/>
      </c>
    </row>
    <row r="110" ht="15" customHeight="1" s="131">
      <c r="A110" s="320" t="n"/>
      <c r="B110" s="323" t="n"/>
      <c r="C110" s="323" t="n"/>
      <c r="D110" s="328" t="n"/>
      <c r="E110" s="328" t="n"/>
      <c r="F110" s="328" t="n"/>
      <c r="G110" s="329">
        <f>IF(COUNTA(A110:C110)=0,"",SUM(H110:J110))</f>
        <v/>
      </c>
      <c r="H110" s="328" t="n"/>
      <c r="I110" s="330" t="n"/>
      <c r="J110" s="331" t="n"/>
      <c r="K110" s="331" t="n"/>
      <c r="L110" s="331" t="n"/>
      <c r="M110" s="332" t="n"/>
      <c r="N110" s="302">
        <f>IF(L110&gt;0,M110/L110,"")</f>
        <v/>
      </c>
      <c r="O110" s="317">
        <f>IF(E110&gt;0,F110/E110*100,"")</f>
        <v/>
      </c>
      <c r="P110" s="275">
        <f>IF(COUNTA(A110:C110)=0,"",IF(OR(A110="",B110="",C110="",D110&lt;0,E110&lt;0,F110&lt;0,H110&lt;0,I110&lt;0,J110&lt;0,K110&lt;0,L110&lt;0),"ERRO: valores inválidos",IF(D110&lt;&gt;E110+K110,"ERRO: total inconsistente",IF(E110&lt;&gt;F110+G110,"ERRO: finalizados inconsistentes",IF(G110&lt;&gt;SUM(H110:J110),"ERRO: reprovações inconsistentes","OK")))))</f>
        <v/>
      </c>
    </row>
    <row r="111" ht="15" customHeight="1" s="131">
      <c r="A111" s="320" t="n"/>
      <c r="B111" s="323" t="n"/>
      <c r="C111" s="323" t="n"/>
      <c r="D111" s="328" t="n"/>
      <c r="E111" s="328" t="n"/>
      <c r="F111" s="328" t="n"/>
      <c r="G111" s="329">
        <f>IF(COUNTA(A111:C111)=0,"",SUM(H111:J111))</f>
        <v/>
      </c>
      <c r="H111" s="328" t="n"/>
      <c r="I111" s="330" t="n"/>
      <c r="J111" s="331" t="n"/>
      <c r="K111" s="331" t="n"/>
      <c r="L111" s="331" t="n"/>
      <c r="M111" s="332" t="n"/>
      <c r="N111" s="302">
        <f>IF(L111&gt;0,M111/L111,"")</f>
        <v/>
      </c>
      <c r="O111" s="317">
        <f>IF(E111&gt;0,F111/E111*100,"")</f>
        <v/>
      </c>
      <c r="P111" s="275">
        <f>IF(COUNTA(A111:C111)=0,"",IF(OR(A111="",B111="",C111="",D111&lt;0,E111&lt;0,F111&lt;0,H111&lt;0,I111&lt;0,J111&lt;0,K111&lt;0,L111&lt;0),"ERRO: valores inválidos",IF(D111&lt;&gt;E111+K111,"ERRO: total inconsistente",IF(E111&lt;&gt;F111+G111,"ERRO: finalizados inconsistentes",IF(G111&lt;&gt;SUM(H111:J111),"ERRO: reprovações inconsistentes","OK")))))</f>
        <v/>
      </c>
    </row>
    <row r="112" ht="15" customHeight="1" s="131">
      <c r="A112" s="320" t="n"/>
      <c r="B112" s="323" t="n"/>
      <c r="C112" s="323" t="n"/>
      <c r="D112" s="328" t="n"/>
      <c r="E112" s="328" t="n"/>
      <c r="F112" s="328" t="n"/>
      <c r="G112" s="329">
        <f>IF(COUNTA(A112:C112)=0,"",SUM(H112:J112))</f>
        <v/>
      </c>
      <c r="H112" s="328" t="n"/>
      <c r="I112" s="330" t="n"/>
      <c r="J112" s="331" t="n"/>
      <c r="K112" s="331" t="n"/>
      <c r="L112" s="331" t="n"/>
      <c r="M112" s="332" t="n"/>
      <c r="N112" s="302">
        <f>IF(L112&gt;0,M112/L112,"")</f>
        <v/>
      </c>
      <c r="O112" s="317">
        <f>IF(E112&gt;0,F112/E112*100,"")</f>
        <v/>
      </c>
      <c r="P112" s="275">
        <f>IF(COUNTA(A112:C112)=0,"",IF(OR(A112="",B112="",C112="",D112&lt;0,E112&lt;0,F112&lt;0,H112&lt;0,I112&lt;0,J112&lt;0,K112&lt;0,L112&lt;0),"ERRO: valores inválidos",IF(D112&lt;&gt;E112+K112,"ERRO: total inconsistente",IF(E112&lt;&gt;F112+G112,"ERRO: finalizados inconsistentes",IF(G112&lt;&gt;SUM(H112:J112),"ERRO: reprovações inconsistentes","OK")))))</f>
        <v/>
      </c>
    </row>
    <row r="113" ht="15" customHeight="1" s="131">
      <c r="A113" s="320" t="n"/>
      <c r="B113" s="323" t="n"/>
      <c r="C113" s="323" t="n"/>
      <c r="D113" s="328" t="n"/>
      <c r="E113" s="328" t="n"/>
      <c r="F113" s="328" t="n"/>
      <c r="G113" s="329">
        <f>IF(COUNTA(A113:C113)=0,"",SUM(H113:J113))</f>
        <v/>
      </c>
      <c r="H113" s="328" t="n"/>
      <c r="I113" s="330" t="n"/>
      <c r="J113" s="331" t="n"/>
      <c r="K113" s="331" t="n"/>
      <c r="L113" s="331" t="n"/>
      <c r="M113" s="332" t="n"/>
      <c r="N113" s="302">
        <f>IF(L113&gt;0,M113/L113,"")</f>
        <v/>
      </c>
      <c r="O113" s="317">
        <f>IF(E113&gt;0,F113/E113*100,"")</f>
        <v/>
      </c>
      <c r="P113" s="275">
        <f>IF(COUNTA(A113:C113)=0,"",IF(OR(A113="",B113="",C113="",D113&lt;0,E113&lt;0,F113&lt;0,H113&lt;0,I113&lt;0,J113&lt;0,K113&lt;0,L113&lt;0),"ERRO: valores inválidos",IF(D113&lt;&gt;E113+K113,"ERRO: total inconsistente",IF(E113&lt;&gt;F113+G113,"ERRO: finalizados inconsistentes",IF(G113&lt;&gt;SUM(H113:J113),"ERRO: reprovações inconsistentes","OK")))))</f>
        <v/>
      </c>
    </row>
    <row r="114" ht="15" customHeight="1" s="131">
      <c r="A114" s="320" t="n"/>
      <c r="B114" s="323" t="n"/>
      <c r="C114" s="323" t="n"/>
      <c r="D114" s="328" t="n"/>
      <c r="E114" s="328" t="n"/>
      <c r="F114" s="328" t="n"/>
      <c r="G114" s="329">
        <f>IF(COUNTA(A114:C114)=0,"",SUM(H114:J114))</f>
        <v/>
      </c>
      <c r="H114" s="328" t="n"/>
      <c r="I114" s="330" t="n"/>
      <c r="J114" s="331" t="n"/>
      <c r="K114" s="331" t="n"/>
      <c r="L114" s="331" t="n"/>
      <c r="M114" s="332" t="n"/>
      <c r="N114" s="302">
        <f>IF(L114&gt;0,M114/L114,"")</f>
        <v/>
      </c>
      <c r="O114" s="317">
        <f>IF(E114&gt;0,F114/E114*100,"")</f>
        <v/>
      </c>
      <c r="P114" s="275">
        <f>IF(COUNTA(A114:C114)=0,"",IF(OR(A114="",B114="",C114="",D114&lt;0,E114&lt;0,F114&lt;0,H114&lt;0,I114&lt;0,J114&lt;0,K114&lt;0,L114&lt;0),"ERRO: valores inválidos",IF(D114&lt;&gt;E114+K114,"ERRO: total inconsistente",IF(E114&lt;&gt;F114+G114,"ERRO: finalizados inconsistentes",IF(G114&lt;&gt;SUM(H114:J114),"ERRO: reprovações inconsistentes","OK")))))</f>
        <v/>
      </c>
    </row>
    <row r="115" ht="15" customHeight="1" s="131">
      <c r="A115" s="320" t="n"/>
      <c r="B115" s="323" t="n"/>
      <c r="C115" s="323" t="n"/>
      <c r="D115" s="328" t="n"/>
      <c r="E115" s="328" t="n"/>
      <c r="F115" s="328" t="n"/>
      <c r="G115" s="329">
        <f>IF(COUNTA(A115:C115)=0,"",SUM(H115:J115))</f>
        <v/>
      </c>
      <c r="H115" s="328" t="n"/>
      <c r="I115" s="330" t="n"/>
      <c r="J115" s="331" t="n"/>
      <c r="K115" s="331" t="n"/>
      <c r="L115" s="331" t="n"/>
      <c r="M115" s="332" t="n"/>
      <c r="N115" s="302">
        <f>IF(L115&gt;0,M115/L115,"")</f>
        <v/>
      </c>
      <c r="O115" s="317">
        <f>IF(E115&gt;0,F115/E115*100,"")</f>
        <v/>
      </c>
      <c r="P115" s="275">
        <f>IF(COUNTA(A115:C115)=0,"",IF(OR(A115="",B115="",C115="",D115&lt;0,E115&lt;0,F115&lt;0,H115&lt;0,I115&lt;0,J115&lt;0,K115&lt;0,L115&lt;0),"ERRO: valores inválidos",IF(D115&lt;&gt;E115+K115,"ERRO: total inconsistente",IF(E115&lt;&gt;F115+G115,"ERRO: finalizados inconsistentes",IF(G115&lt;&gt;SUM(H115:J115),"ERRO: reprovações inconsistentes","OK")))))</f>
        <v/>
      </c>
    </row>
    <row r="116" ht="15" customHeight="1" s="131">
      <c r="A116" s="320" t="n"/>
      <c r="B116" s="323" t="n"/>
      <c r="C116" s="323" t="n"/>
      <c r="D116" s="328" t="n"/>
      <c r="E116" s="328" t="n"/>
      <c r="F116" s="328" t="n"/>
      <c r="G116" s="329">
        <f>IF(COUNTA(A116:C116)=0,"",SUM(H116:J116))</f>
        <v/>
      </c>
      <c r="H116" s="328" t="n"/>
      <c r="I116" s="330" t="n"/>
      <c r="J116" s="331" t="n"/>
      <c r="K116" s="331" t="n"/>
      <c r="L116" s="331" t="n"/>
      <c r="M116" s="332" t="n"/>
      <c r="N116" s="302">
        <f>IF(L116&gt;0,M116/L116,"")</f>
        <v/>
      </c>
      <c r="O116" s="317">
        <f>IF(E116&gt;0,F116/E116*100,"")</f>
        <v/>
      </c>
      <c r="P116" s="275">
        <f>IF(COUNTA(A116:C116)=0,"",IF(OR(A116="",B116="",C116="",D116&lt;0,E116&lt;0,F116&lt;0,H116&lt;0,I116&lt;0,J116&lt;0,K116&lt;0,L116&lt;0),"ERRO: valores inválidos",IF(D116&lt;&gt;E116+K116,"ERRO: total inconsistente",IF(E116&lt;&gt;F116+G116,"ERRO: finalizados inconsistentes",IF(G116&lt;&gt;SUM(H116:J116),"ERRO: reprovações inconsistentes","OK")))))</f>
        <v/>
      </c>
    </row>
    <row r="117" ht="15" customHeight="1" s="131">
      <c r="A117" s="320" t="n"/>
      <c r="B117" s="323" t="n"/>
      <c r="C117" s="323" t="n"/>
      <c r="D117" s="328" t="n"/>
      <c r="E117" s="328" t="n"/>
      <c r="F117" s="328" t="n"/>
      <c r="G117" s="329">
        <f>IF(COUNTA(A117:C117)=0,"",SUM(H117:J117))</f>
        <v/>
      </c>
      <c r="H117" s="328" t="n"/>
      <c r="I117" s="330" t="n"/>
      <c r="J117" s="331" t="n"/>
      <c r="K117" s="331" t="n"/>
      <c r="L117" s="331" t="n"/>
      <c r="M117" s="332" t="n"/>
      <c r="N117" s="302">
        <f>IF(L117&gt;0,M117/L117,"")</f>
        <v/>
      </c>
      <c r="O117" s="317">
        <f>IF(E117&gt;0,F117/E117*100,"")</f>
        <v/>
      </c>
      <c r="P117" s="275">
        <f>IF(COUNTA(A117:C117)=0,"",IF(OR(A117="",B117="",C117="",D117&lt;0,E117&lt;0,F117&lt;0,H117&lt;0,I117&lt;0,J117&lt;0,K117&lt;0,L117&lt;0),"ERRO: valores inválidos",IF(D117&lt;&gt;E117+K117,"ERRO: total inconsistente",IF(E117&lt;&gt;F117+G117,"ERRO: finalizados inconsistentes",IF(G117&lt;&gt;SUM(H117:J117),"ERRO: reprovações inconsistentes","OK")))))</f>
        <v/>
      </c>
    </row>
    <row r="118" ht="15" customHeight="1" s="131">
      <c r="A118" s="320" t="n"/>
      <c r="B118" s="323" t="n"/>
      <c r="C118" s="323" t="n"/>
      <c r="D118" s="328" t="n"/>
      <c r="E118" s="328" t="n"/>
      <c r="F118" s="328" t="n"/>
      <c r="G118" s="329">
        <f>IF(COUNTA(A118:C118)=0,"",SUM(H118:J118))</f>
        <v/>
      </c>
      <c r="H118" s="328" t="n"/>
      <c r="I118" s="330" t="n"/>
      <c r="J118" s="331" t="n"/>
      <c r="K118" s="331" t="n"/>
      <c r="L118" s="331" t="n"/>
      <c r="M118" s="332" t="n"/>
      <c r="N118" s="302">
        <f>IF(L118&gt;0,M118/L118,"")</f>
        <v/>
      </c>
      <c r="O118" s="317">
        <f>IF(E118&gt;0,F118/E118*100,"")</f>
        <v/>
      </c>
      <c r="P118" s="275">
        <f>IF(COUNTA(A118:C118)=0,"",IF(OR(A118="",B118="",C118="",D118&lt;0,E118&lt;0,F118&lt;0,H118&lt;0,I118&lt;0,J118&lt;0,K118&lt;0,L118&lt;0),"ERRO: valores inválidos",IF(D118&lt;&gt;E118+K118,"ERRO: total inconsistente",IF(E118&lt;&gt;F118+G118,"ERRO: finalizados inconsistentes",IF(G118&lt;&gt;SUM(H118:J118),"ERRO: reprovações inconsistentes","OK")))))</f>
        <v/>
      </c>
    </row>
    <row r="119" ht="15" customHeight="1" s="131">
      <c r="A119" s="320" t="n"/>
      <c r="B119" s="323" t="n"/>
      <c r="C119" s="323" t="n"/>
      <c r="D119" s="328" t="n"/>
      <c r="E119" s="328" t="n"/>
      <c r="F119" s="328" t="n"/>
      <c r="G119" s="329">
        <f>IF(COUNTA(A119:C119)=0,"",SUM(H119:J119))</f>
        <v/>
      </c>
      <c r="H119" s="328" t="n"/>
      <c r="I119" s="330" t="n"/>
      <c r="J119" s="331" t="n"/>
      <c r="K119" s="331" t="n"/>
      <c r="L119" s="331" t="n"/>
      <c r="M119" s="332" t="n"/>
      <c r="N119" s="302">
        <f>IF(L119&gt;0,M119/L119,"")</f>
        <v/>
      </c>
      <c r="O119" s="317">
        <f>IF(E119&gt;0,F119/E119*100,"")</f>
        <v/>
      </c>
      <c r="P119" s="275">
        <f>IF(COUNTA(A119:C119)=0,"",IF(OR(A119="",B119="",C119="",D119&lt;0,E119&lt;0,F119&lt;0,H119&lt;0,I119&lt;0,J119&lt;0,K119&lt;0,L119&lt;0),"ERRO: valores inválidos",IF(D119&lt;&gt;E119+K119,"ERRO: total inconsistente",IF(E119&lt;&gt;F119+G119,"ERRO: finalizados inconsistentes",IF(G119&lt;&gt;SUM(H119:J119),"ERRO: reprovações inconsistentes","OK")))))</f>
        <v/>
      </c>
    </row>
    <row r="120" ht="15" customHeight="1" s="131">
      <c r="A120" s="320" t="n"/>
      <c r="B120" s="323" t="n"/>
      <c r="C120" s="323" t="n"/>
      <c r="D120" s="328" t="n"/>
      <c r="E120" s="328" t="n"/>
      <c r="F120" s="328" t="n"/>
      <c r="G120" s="329">
        <f>IF(COUNTA(A120:C120)=0,"",SUM(H120:J120))</f>
        <v/>
      </c>
      <c r="H120" s="328" t="n"/>
      <c r="I120" s="330" t="n"/>
      <c r="J120" s="331" t="n"/>
      <c r="K120" s="331" t="n"/>
      <c r="L120" s="331" t="n"/>
      <c r="M120" s="332" t="n"/>
      <c r="N120" s="302">
        <f>IF(L120&gt;0,M120/L120,"")</f>
        <v/>
      </c>
      <c r="O120" s="317">
        <f>IF(E120&gt;0,F120/E120*100,"")</f>
        <v/>
      </c>
      <c r="P120" s="275">
        <f>IF(COUNTA(A120:C120)=0,"",IF(OR(A120="",B120="",C120="",D120&lt;0,E120&lt;0,F120&lt;0,H120&lt;0,I120&lt;0,J120&lt;0,K120&lt;0,L120&lt;0),"ERRO: valores inválidos",IF(D120&lt;&gt;E120+K120,"ERRO: total inconsistente",IF(E120&lt;&gt;F120+G120,"ERRO: finalizados inconsistentes",IF(G120&lt;&gt;SUM(H120:J120),"ERRO: reprovações inconsistentes","OK")))))</f>
        <v/>
      </c>
    </row>
    <row r="121" ht="15" customHeight="1" s="131">
      <c r="A121" s="320" t="n"/>
      <c r="B121" s="323" t="n"/>
      <c r="C121" s="323" t="n"/>
      <c r="D121" s="328" t="n"/>
      <c r="E121" s="328" t="n"/>
      <c r="F121" s="328" t="n"/>
      <c r="G121" s="329">
        <f>IF(COUNTA(A121:C121)=0,"",SUM(H121:J121))</f>
        <v/>
      </c>
      <c r="H121" s="328" t="n"/>
      <c r="I121" s="330" t="n"/>
      <c r="J121" s="331" t="n"/>
      <c r="K121" s="331" t="n"/>
      <c r="L121" s="331" t="n"/>
      <c r="M121" s="332" t="n"/>
      <c r="N121" s="302">
        <f>IF(L121&gt;0,M121/L121,"")</f>
        <v/>
      </c>
      <c r="O121" s="317">
        <f>IF(E121&gt;0,F121/E121*100,"")</f>
        <v/>
      </c>
      <c r="P121" s="275">
        <f>IF(COUNTA(A121:C121)=0,"",IF(OR(A121="",B121="",C121="",D121&lt;0,E121&lt;0,F121&lt;0,H121&lt;0,I121&lt;0,J121&lt;0,K121&lt;0,L121&lt;0),"ERRO: valores inválidos",IF(D121&lt;&gt;E121+K121,"ERRO: total inconsistente",IF(E121&lt;&gt;F121+G121,"ERRO: finalizados inconsistentes",IF(G121&lt;&gt;SUM(H121:J121),"ERRO: reprovações inconsistentes","OK")))))</f>
        <v/>
      </c>
    </row>
    <row r="122" ht="15" customHeight="1" s="131">
      <c r="A122" s="320" t="n"/>
      <c r="B122" s="323" t="n"/>
      <c r="C122" s="323" t="n"/>
      <c r="D122" s="328" t="n"/>
      <c r="E122" s="328" t="n"/>
      <c r="F122" s="328" t="n"/>
      <c r="G122" s="329">
        <f>IF(COUNTA(A122:C122)=0,"",SUM(H122:J122))</f>
        <v/>
      </c>
      <c r="H122" s="328" t="n"/>
      <c r="I122" s="330" t="n"/>
      <c r="J122" s="331" t="n"/>
      <c r="K122" s="331" t="n"/>
      <c r="L122" s="331" t="n"/>
      <c r="M122" s="332" t="n"/>
      <c r="N122" s="302">
        <f>IF(L122&gt;0,M122/L122,"")</f>
        <v/>
      </c>
      <c r="O122" s="317">
        <f>IF(E122&gt;0,F122/E122*100,"")</f>
        <v/>
      </c>
      <c r="P122" s="275">
        <f>IF(COUNTA(A122:C122)=0,"",IF(OR(A122="",B122="",C122="",D122&lt;0,E122&lt;0,F122&lt;0,H122&lt;0,I122&lt;0,J122&lt;0,K122&lt;0,L122&lt;0),"ERRO: valores inválidos",IF(D122&lt;&gt;E122+K122,"ERRO: total inconsistente",IF(E122&lt;&gt;F122+G122,"ERRO: finalizados inconsistentes",IF(G122&lt;&gt;SUM(H122:J122),"ERRO: reprovações inconsistentes","OK")))))</f>
        <v/>
      </c>
    </row>
    <row r="123" ht="15" customHeight="1" s="131">
      <c r="A123" s="320" t="n"/>
      <c r="B123" s="323" t="n"/>
      <c r="C123" s="323" t="n"/>
      <c r="D123" s="328" t="n"/>
      <c r="E123" s="328" t="n"/>
      <c r="F123" s="328" t="n"/>
      <c r="G123" s="329">
        <f>IF(COUNTA(A123:C123)=0,"",SUM(H123:J123))</f>
        <v/>
      </c>
      <c r="H123" s="328" t="n"/>
      <c r="I123" s="330" t="n"/>
      <c r="J123" s="331" t="n"/>
      <c r="K123" s="331" t="n"/>
      <c r="L123" s="331" t="n"/>
      <c r="M123" s="332" t="n"/>
      <c r="N123" s="302">
        <f>IF(L123&gt;0,M123/L123,"")</f>
        <v/>
      </c>
      <c r="O123" s="317">
        <f>IF(E123&gt;0,F123/E123*100,"")</f>
        <v/>
      </c>
      <c r="P123" s="275">
        <f>IF(COUNTA(A123:C123)=0,"",IF(OR(A123="",B123="",C123="",D123&lt;0,E123&lt;0,F123&lt;0,H123&lt;0,I123&lt;0,J123&lt;0,K123&lt;0,L123&lt;0),"ERRO: valores inválidos",IF(D123&lt;&gt;E123+K123,"ERRO: total inconsistente",IF(E123&lt;&gt;F123+G123,"ERRO: finalizados inconsistentes",IF(G123&lt;&gt;SUM(H123:J123),"ERRO: reprovações inconsistentes","OK")))))</f>
        <v/>
      </c>
    </row>
    <row r="124" ht="15" customHeight="1" s="131">
      <c r="A124" s="320" t="n"/>
      <c r="B124" s="323" t="n"/>
      <c r="C124" s="323" t="n"/>
      <c r="D124" s="328" t="n"/>
      <c r="E124" s="328" t="n"/>
      <c r="F124" s="328" t="n"/>
      <c r="G124" s="329">
        <f>IF(COUNTA(A124:C124)=0,"",SUM(H124:J124))</f>
        <v/>
      </c>
      <c r="H124" s="328" t="n"/>
      <c r="I124" s="330" t="n"/>
      <c r="J124" s="331" t="n"/>
      <c r="K124" s="331" t="n"/>
      <c r="L124" s="331" t="n"/>
      <c r="M124" s="332" t="n"/>
      <c r="N124" s="302">
        <f>IF(L124&gt;0,M124/L124,"")</f>
        <v/>
      </c>
      <c r="O124" s="317">
        <f>IF(E124&gt;0,F124/E124*100,"")</f>
        <v/>
      </c>
      <c r="P124" s="275">
        <f>IF(COUNTA(A124:C124)=0,"",IF(OR(A124="",B124="",C124="",D124&lt;0,E124&lt;0,F124&lt;0,H124&lt;0,I124&lt;0,J124&lt;0,K124&lt;0,L124&lt;0),"ERRO: valores inválidos",IF(D124&lt;&gt;E124+K124,"ERRO: total inconsistente",IF(E124&lt;&gt;F124+G124,"ERRO: finalizados inconsistentes",IF(G124&lt;&gt;SUM(H124:J124),"ERRO: reprovações inconsistentes","OK")))))</f>
        <v/>
      </c>
    </row>
    <row r="125" ht="15" customHeight="1" s="131">
      <c r="A125" s="320" t="n"/>
      <c r="B125" s="323" t="n"/>
      <c r="C125" s="323" t="n"/>
      <c r="D125" s="328" t="n"/>
      <c r="E125" s="328" t="n"/>
      <c r="F125" s="328" t="n"/>
      <c r="G125" s="329">
        <f>IF(COUNTA(A125:C125)=0,"",SUM(H125:J125))</f>
        <v/>
      </c>
      <c r="H125" s="328" t="n"/>
      <c r="I125" s="330" t="n"/>
      <c r="J125" s="331" t="n"/>
      <c r="K125" s="331" t="n"/>
      <c r="L125" s="331" t="n"/>
      <c r="M125" s="332" t="n"/>
      <c r="N125" s="302">
        <f>IF(L125&gt;0,M125/L125,"")</f>
        <v/>
      </c>
      <c r="O125" s="317">
        <f>IF(E125&gt;0,F125/E125*100,"")</f>
        <v/>
      </c>
      <c r="P125" s="275">
        <f>IF(COUNTA(A125:C125)=0,"",IF(OR(A125="",B125="",C125="",D125&lt;0,E125&lt;0,F125&lt;0,H125&lt;0,I125&lt;0,J125&lt;0,K125&lt;0,L125&lt;0),"ERRO: valores inválidos",IF(D125&lt;&gt;E125+K125,"ERRO: total inconsistente",IF(E125&lt;&gt;F125+G125,"ERRO: finalizados inconsistentes",IF(G125&lt;&gt;SUM(H125:J125),"ERRO: reprovações inconsistentes","OK")))))</f>
        <v/>
      </c>
    </row>
    <row r="126" ht="15" customHeight="1" s="131">
      <c r="A126" s="320" t="n"/>
      <c r="B126" s="323" t="n"/>
      <c r="C126" s="323" t="n"/>
      <c r="D126" s="328" t="n"/>
      <c r="E126" s="328" t="n"/>
      <c r="F126" s="328" t="n"/>
      <c r="G126" s="329">
        <f>IF(COUNTA(A126:C126)=0,"",SUM(H126:J126))</f>
        <v/>
      </c>
      <c r="H126" s="328" t="n"/>
      <c r="I126" s="330" t="n"/>
      <c r="J126" s="331" t="n"/>
      <c r="K126" s="331" t="n"/>
      <c r="L126" s="331" t="n"/>
      <c r="M126" s="332" t="n"/>
      <c r="N126" s="302">
        <f>IF(L126&gt;0,M126/L126,"")</f>
        <v/>
      </c>
      <c r="O126" s="317">
        <f>IF(E126&gt;0,F126/E126*100,"")</f>
        <v/>
      </c>
      <c r="P126" s="275">
        <f>IF(COUNTA(A126:C126)=0,"",IF(OR(A126="",B126="",C126="",D126&lt;0,E126&lt;0,F126&lt;0,H126&lt;0,I126&lt;0,J126&lt;0,K126&lt;0,L126&lt;0),"ERRO: valores inválidos",IF(D126&lt;&gt;E126+K126,"ERRO: total inconsistente",IF(E126&lt;&gt;F126+G126,"ERRO: finalizados inconsistentes",IF(G126&lt;&gt;SUM(H126:J126),"ERRO: reprovações inconsistentes","OK")))))</f>
        <v/>
      </c>
    </row>
    <row r="127" ht="15" customHeight="1" s="131">
      <c r="A127" s="320" t="n"/>
      <c r="B127" s="323" t="n"/>
      <c r="C127" s="323" t="n"/>
      <c r="D127" s="328" t="n"/>
      <c r="E127" s="328" t="n"/>
      <c r="F127" s="328" t="n"/>
      <c r="G127" s="329">
        <f>IF(COUNTA(A127:C127)=0,"",SUM(H127:J127))</f>
        <v/>
      </c>
      <c r="H127" s="328" t="n"/>
      <c r="I127" s="330" t="n"/>
      <c r="J127" s="331" t="n"/>
      <c r="K127" s="331" t="n"/>
      <c r="L127" s="331" t="n"/>
      <c r="M127" s="332" t="n"/>
      <c r="N127" s="302">
        <f>IF(L127&gt;0,M127/L127,"")</f>
        <v/>
      </c>
      <c r="O127" s="317">
        <f>IF(E127&gt;0,F127/E127*100,"")</f>
        <v/>
      </c>
      <c r="P127" s="275">
        <f>IF(COUNTA(A127:C127)=0,"",IF(OR(A127="",B127="",C127="",D127&lt;0,E127&lt;0,F127&lt;0,H127&lt;0,I127&lt;0,J127&lt;0,K127&lt;0,L127&lt;0),"ERRO: valores inválidos",IF(D127&lt;&gt;E127+K127,"ERRO: total inconsistente",IF(E127&lt;&gt;F127+G127,"ERRO: finalizados inconsistentes",IF(G127&lt;&gt;SUM(H127:J127),"ERRO: reprovações inconsistentes","OK")))))</f>
        <v/>
      </c>
    </row>
    <row r="128" ht="15" customHeight="1" s="131">
      <c r="A128" s="320" t="n"/>
      <c r="B128" s="323" t="n"/>
      <c r="C128" s="323" t="n"/>
      <c r="D128" s="328" t="n"/>
      <c r="E128" s="328" t="n"/>
      <c r="F128" s="328" t="n"/>
      <c r="G128" s="329">
        <f>IF(COUNTA(A128:C128)=0,"",SUM(H128:J128))</f>
        <v/>
      </c>
      <c r="H128" s="328" t="n"/>
      <c r="I128" s="330" t="n"/>
      <c r="J128" s="331" t="n"/>
      <c r="K128" s="331" t="n"/>
      <c r="L128" s="331" t="n"/>
      <c r="M128" s="332" t="n"/>
      <c r="N128" s="302">
        <f>IF(L128&gt;0,M128/L128,"")</f>
        <v/>
      </c>
      <c r="O128" s="317">
        <f>IF(E128&gt;0,F128/E128*100,"")</f>
        <v/>
      </c>
      <c r="P128" s="275">
        <f>IF(COUNTA(A128:C128)=0,"",IF(OR(A128="",B128="",C128="",D128&lt;0,E128&lt;0,F128&lt;0,H128&lt;0,I128&lt;0,J128&lt;0,K128&lt;0,L128&lt;0),"ERRO: valores inválidos",IF(D128&lt;&gt;E128+K128,"ERRO: total inconsistente",IF(E128&lt;&gt;F128+G128,"ERRO: finalizados inconsistentes",IF(G128&lt;&gt;SUM(H128:J128),"ERRO: reprovações inconsistentes","OK")))))</f>
        <v/>
      </c>
    </row>
    <row r="129" ht="15" customHeight="1" s="131">
      <c r="A129" s="320" t="n"/>
      <c r="B129" s="323" t="n"/>
      <c r="C129" s="323" t="n"/>
      <c r="D129" s="328" t="n"/>
      <c r="E129" s="328" t="n"/>
      <c r="F129" s="328" t="n"/>
      <c r="G129" s="329">
        <f>IF(COUNTA(A129:C129)=0,"",SUM(H129:J129))</f>
        <v/>
      </c>
      <c r="H129" s="328" t="n"/>
      <c r="I129" s="330" t="n"/>
      <c r="J129" s="331" t="n"/>
      <c r="K129" s="331" t="n"/>
      <c r="L129" s="331" t="n"/>
      <c r="M129" s="332" t="n"/>
      <c r="N129" s="302">
        <f>IF(L129&gt;0,M129/L129,"")</f>
        <v/>
      </c>
      <c r="O129" s="317">
        <f>IF(E129&gt;0,F129/E129*100,"")</f>
        <v/>
      </c>
      <c r="P129" s="275">
        <f>IF(COUNTA(A129:C129)=0,"",IF(OR(A129="",B129="",C129="",D129&lt;0,E129&lt;0,F129&lt;0,H129&lt;0,I129&lt;0,J129&lt;0,K129&lt;0,L129&lt;0),"ERRO: valores inválidos",IF(D129&lt;&gt;E129+K129,"ERRO: total inconsistente",IF(E129&lt;&gt;F129+G129,"ERRO: finalizados inconsistentes",IF(G129&lt;&gt;SUM(H129:J129),"ERRO: reprovações inconsistentes","OK")))))</f>
        <v/>
      </c>
    </row>
    <row r="130" ht="15" customHeight="1" s="131">
      <c r="A130" s="320" t="n"/>
      <c r="B130" s="323" t="n"/>
      <c r="C130" s="323" t="n"/>
      <c r="D130" s="328" t="n"/>
      <c r="E130" s="328" t="n"/>
      <c r="F130" s="328" t="n"/>
      <c r="G130" s="329">
        <f>IF(COUNTA(A130:C130)=0,"",SUM(H130:J130))</f>
        <v/>
      </c>
      <c r="H130" s="328" t="n"/>
      <c r="I130" s="330" t="n"/>
      <c r="J130" s="331" t="n"/>
      <c r="K130" s="331" t="n"/>
      <c r="L130" s="331" t="n"/>
      <c r="M130" s="332" t="n"/>
      <c r="N130" s="302">
        <f>IF(L130&gt;0,M130/L130,"")</f>
        <v/>
      </c>
      <c r="O130" s="317">
        <f>IF(E130&gt;0,F130/E130*100,"")</f>
        <v/>
      </c>
      <c r="P130" s="275">
        <f>IF(COUNTA(A130:C130)=0,"",IF(OR(A130="",B130="",C130="",D130&lt;0,E130&lt;0,F130&lt;0,H130&lt;0,I130&lt;0,J130&lt;0,K130&lt;0,L130&lt;0),"ERRO: valores inválidos",IF(D130&lt;&gt;E130+K130,"ERRO: total inconsistente",IF(E130&lt;&gt;F130+G130,"ERRO: finalizados inconsistentes",IF(G130&lt;&gt;SUM(H130:J130),"ERRO: reprovações inconsistentes","OK")))))</f>
        <v/>
      </c>
    </row>
    <row r="131" ht="15" customHeight="1" s="131">
      <c r="A131" s="320" t="n"/>
      <c r="B131" s="323" t="n"/>
      <c r="C131" s="323" t="n"/>
      <c r="D131" s="328" t="n"/>
      <c r="E131" s="328" t="n"/>
      <c r="F131" s="328" t="n"/>
      <c r="G131" s="329">
        <f>IF(COUNTA(A131:C131)=0,"",SUM(H131:J131))</f>
        <v/>
      </c>
      <c r="H131" s="328" t="n"/>
      <c r="I131" s="330" t="n"/>
      <c r="J131" s="331" t="n"/>
      <c r="K131" s="331" t="n"/>
      <c r="L131" s="331" t="n"/>
      <c r="M131" s="332" t="n"/>
      <c r="N131" s="302">
        <f>IF(L131&gt;0,M131/L131,"")</f>
        <v/>
      </c>
      <c r="O131" s="317">
        <f>IF(E131&gt;0,F131/E131*100,"")</f>
        <v/>
      </c>
      <c r="P131" s="275">
        <f>IF(COUNTA(A131:C131)=0,"",IF(OR(A131="",B131="",C131="",D131&lt;0,E131&lt;0,F131&lt;0,H131&lt;0,I131&lt;0,J131&lt;0,K131&lt;0,L131&lt;0),"ERRO: valores inválidos",IF(D131&lt;&gt;E131+K131,"ERRO: total inconsistente",IF(E131&lt;&gt;F131+G131,"ERRO: finalizados inconsistentes",IF(G131&lt;&gt;SUM(H131:J131),"ERRO: reprovações inconsistentes","OK")))))</f>
        <v/>
      </c>
    </row>
    <row r="132" ht="15" customHeight="1" s="131">
      <c r="A132" s="320" t="n"/>
      <c r="B132" s="323" t="n"/>
      <c r="C132" s="323" t="n"/>
      <c r="D132" s="328" t="n"/>
      <c r="E132" s="328" t="n"/>
      <c r="F132" s="328" t="n"/>
      <c r="G132" s="329">
        <f>IF(COUNTA(A132:C132)=0,"",SUM(H132:J132))</f>
        <v/>
      </c>
      <c r="H132" s="328" t="n"/>
      <c r="I132" s="330" t="n"/>
      <c r="J132" s="331" t="n"/>
      <c r="K132" s="331" t="n"/>
      <c r="L132" s="331" t="n"/>
      <c r="M132" s="332" t="n"/>
      <c r="N132" s="302">
        <f>IF(L132&gt;0,M132/L132,"")</f>
        <v/>
      </c>
      <c r="O132" s="317">
        <f>IF(E132&gt;0,F132/E132*100,"")</f>
        <v/>
      </c>
      <c r="P132" s="275">
        <f>IF(COUNTA(A132:C132)=0,"",IF(OR(A132="",B132="",C132="",D132&lt;0,E132&lt;0,F132&lt;0,H132&lt;0,I132&lt;0,J132&lt;0,K132&lt;0,L132&lt;0),"ERRO: valores inválidos",IF(D132&lt;&gt;E132+K132,"ERRO: total inconsistente",IF(E132&lt;&gt;F132+G132,"ERRO: finalizados inconsistentes",IF(G132&lt;&gt;SUM(H132:J132),"ERRO: reprovações inconsistentes","OK")))))</f>
        <v/>
      </c>
    </row>
    <row r="133" ht="15" customHeight="1" s="131">
      <c r="A133" s="320" t="n"/>
      <c r="B133" s="323" t="n"/>
      <c r="C133" s="323" t="n"/>
      <c r="D133" s="328" t="n"/>
      <c r="E133" s="328" t="n"/>
      <c r="F133" s="328" t="n"/>
      <c r="G133" s="329">
        <f>IF(COUNTA(A133:C133)=0,"",SUM(H133:J133))</f>
        <v/>
      </c>
      <c r="H133" s="328" t="n"/>
      <c r="I133" s="330" t="n"/>
      <c r="J133" s="331" t="n"/>
      <c r="K133" s="331" t="n"/>
      <c r="L133" s="331" t="n"/>
      <c r="M133" s="332" t="n"/>
      <c r="N133" s="302">
        <f>IF(L133&gt;0,M133/L133,"")</f>
        <v/>
      </c>
      <c r="O133" s="317">
        <f>IF(E133&gt;0,F133/E133*100,"")</f>
        <v/>
      </c>
      <c r="P133" s="275">
        <f>IF(COUNTA(A133:C133)=0,"",IF(OR(A133="",B133="",C133="",D133&lt;0,E133&lt;0,F133&lt;0,H133&lt;0,I133&lt;0,J133&lt;0,K133&lt;0,L133&lt;0),"ERRO: valores inválidos",IF(D133&lt;&gt;E133+K133,"ERRO: total inconsistente",IF(E133&lt;&gt;F133+G133,"ERRO: finalizados inconsistentes",IF(G133&lt;&gt;SUM(H133:J133),"ERRO: reprovações inconsistentes","OK")))))</f>
        <v/>
      </c>
    </row>
    <row r="134" ht="15" customHeight="1" s="131">
      <c r="A134" s="320" t="n"/>
      <c r="B134" s="323" t="n"/>
      <c r="C134" s="323" t="n"/>
      <c r="D134" s="328" t="n"/>
      <c r="E134" s="328" t="n"/>
      <c r="F134" s="328" t="n"/>
      <c r="G134" s="329">
        <f>IF(COUNTA(A134:C134)=0,"",SUM(H134:J134))</f>
        <v/>
      </c>
      <c r="H134" s="328" t="n"/>
      <c r="I134" s="330" t="n"/>
      <c r="J134" s="331" t="n"/>
      <c r="K134" s="331" t="n"/>
      <c r="L134" s="331" t="n"/>
      <c r="M134" s="332" t="n"/>
      <c r="N134" s="302">
        <f>IF(L134&gt;0,M134/L134,"")</f>
        <v/>
      </c>
      <c r="O134" s="317">
        <f>IF(E134&gt;0,F134/E134*100,"")</f>
        <v/>
      </c>
      <c r="P134" s="275">
        <f>IF(COUNTA(A134:C134)=0,"",IF(OR(A134="",B134="",C134="",D134&lt;0,E134&lt;0,F134&lt;0,H134&lt;0,I134&lt;0,J134&lt;0,K134&lt;0,L134&lt;0),"ERRO: valores inválidos",IF(D134&lt;&gt;E134+K134,"ERRO: total inconsistente",IF(E134&lt;&gt;F134+G134,"ERRO: finalizados inconsistentes",IF(G134&lt;&gt;SUM(H134:J134),"ERRO: reprovações inconsistentes","OK")))))</f>
        <v/>
      </c>
    </row>
    <row r="135" ht="15" customHeight="1" s="131">
      <c r="A135" s="320" t="n"/>
      <c r="B135" s="323" t="n"/>
      <c r="C135" s="323" t="n"/>
      <c r="D135" s="328" t="n"/>
      <c r="E135" s="328" t="n"/>
      <c r="F135" s="328" t="n"/>
      <c r="G135" s="329">
        <f>IF(COUNTA(A135:C135)=0,"",SUM(H135:J135))</f>
        <v/>
      </c>
      <c r="H135" s="328" t="n"/>
      <c r="I135" s="330" t="n"/>
      <c r="J135" s="331" t="n"/>
      <c r="K135" s="331" t="n"/>
      <c r="L135" s="331" t="n"/>
      <c r="M135" s="332" t="n"/>
      <c r="N135" s="302">
        <f>IF(L135&gt;0,M135/L135,"")</f>
        <v/>
      </c>
      <c r="O135" s="317">
        <f>IF(E135&gt;0,F135/E135*100,"")</f>
        <v/>
      </c>
      <c r="P135" s="275">
        <f>IF(COUNTA(A135:C135)=0,"",IF(OR(A135="",B135="",C135="",D135&lt;0,E135&lt;0,F135&lt;0,H135&lt;0,I135&lt;0,J135&lt;0,K135&lt;0,L135&lt;0),"ERRO: valores inválidos",IF(D135&lt;&gt;E135+K135,"ERRO: total inconsistente",IF(E135&lt;&gt;F135+G135,"ERRO: finalizados inconsistentes",IF(G135&lt;&gt;SUM(H135:J135),"ERRO: reprovações inconsistentes","OK")))))</f>
        <v/>
      </c>
    </row>
    <row r="136" ht="15" customHeight="1" s="131">
      <c r="A136" s="320" t="n"/>
      <c r="B136" s="323" t="n"/>
      <c r="C136" s="323" t="n"/>
      <c r="D136" s="328" t="n"/>
      <c r="E136" s="328" t="n"/>
      <c r="F136" s="328" t="n"/>
      <c r="G136" s="329">
        <f>IF(COUNTA(A136:C136)=0,"",SUM(H136:J136))</f>
        <v/>
      </c>
      <c r="H136" s="328" t="n"/>
      <c r="I136" s="330" t="n"/>
      <c r="J136" s="331" t="n"/>
      <c r="K136" s="331" t="n"/>
      <c r="L136" s="331" t="n"/>
      <c r="M136" s="332" t="n"/>
      <c r="N136" s="302">
        <f>IF(L136&gt;0,M136/L136,"")</f>
        <v/>
      </c>
      <c r="O136" s="317">
        <f>IF(E136&gt;0,F136/E136*100,"")</f>
        <v/>
      </c>
      <c r="P136" s="275">
        <f>IF(COUNTA(A136:C136)=0,"",IF(OR(A136="",B136="",C136="",D136&lt;0,E136&lt;0,F136&lt;0,H136&lt;0,I136&lt;0,J136&lt;0,K136&lt;0,L136&lt;0),"ERRO: valores inválidos",IF(D136&lt;&gt;E136+K136,"ERRO: total inconsistente",IF(E136&lt;&gt;F136+G136,"ERRO: finalizados inconsistentes",IF(G136&lt;&gt;SUM(H136:J136),"ERRO: reprovações inconsistentes","OK")))))</f>
        <v/>
      </c>
    </row>
    <row r="137" ht="15" customHeight="1" s="131">
      <c r="A137" s="320" t="n"/>
      <c r="B137" s="323" t="n"/>
      <c r="C137" s="323" t="n"/>
      <c r="D137" s="328" t="n"/>
      <c r="E137" s="328" t="n"/>
      <c r="F137" s="328" t="n"/>
      <c r="G137" s="329">
        <f>IF(COUNTA(A137:C137)=0,"",SUM(H137:J137))</f>
        <v/>
      </c>
      <c r="H137" s="328" t="n"/>
      <c r="I137" s="330" t="n"/>
      <c r="J137" s="331" t="n"/>
      <c r="K137" s="331" t="n"/>
      <c r="L137" s="331" t="n"/>
      <c r="M137" s="332" t="n"/>
      <c r="N137" s="302">
        <f>IF(L137&gt;0,M137/L137,"")</f>
        <v/>
      </c>
      <c r="O137" s="317">
        <f>IF(E137&gt;0,F137/E137*100,"")</f>
        <v/>
      </c>
      <c r="P137" s="275">
        <f>IF(COUNTA(A137:C137)=0,"",IF(OR(A137="",B137="",C137="",D137&lt;0,E137&lt;0,F137&lt;0,H137&lt;0,I137&lt;0,J137&lt;0,K137&lt;0,L137&lt;0),"ERRO: valores inválidos",IF(D137&lt;&gt;E137+K137,"ERRO: total inconsistente",IF(E137&lt;&gt;F137+G137,"ERRO: finalizados inconsistentes",IF(G137&lt;&gt;SUM(H137:J137),"ERRO: reprovações inconsistentes","OK")))))</f>
        <v/>
      </c>
    </row>
    <row r="138" ht="15" customHeight="1" s="131">
      <c r="A138" s="320" t="n"/>
      <c r="B138" s="323" t="n"/>
      <c r="C138" s="323" t="n"/>
      <c r="D138" s="328" t="n"/>
      <c r="E138" s="328" t="n"/>
      <c r="F138" s="328" t="n"/>
      <c r="G138" s="329">
        <f>IF(COUNTA(A138:C138)=0,"",SUM(H138:J138))</f>
        <v/>
      </c>
      <c r="H138" s="328" t="n"/>
      <c r="I138" s="330" t="n"/>
      <c r="J138" s="331" t="n"/>
      <c r="K138" s="331" t="n"/>
      <c r="L138" s="331" t="n"/>
      <c r="M138" s="332" t="n"/>
      <c r="N138" s="302">
        <f>IF(L138&gt;0,M138/L138,"")</f>
        <v/>
      </c>
      <c r="O138" s="317">
        <f>IF(E138&gt;0,F138/E138*100,"")</f>
        <v/>
      </c>
      <c r="P138" s="275">
        <f>IF(COUNTA(A138:C138)=0,"",IF(OR(A138="",B138="",C138="",D138&lt;0,E138&lt;0,F138&lt;0,H138&lt;0,I138&lt;0,J138&lt;0,K138&lt;0,L138&lt;0),"ERRO: valores inválidos",IF(D138&lt;&gt;E138+K138,"ERRO: total inconsistente",IF(E138&lt;&gt;F138+G138,"ERRO: finalizados inconsistentes",IF(G138&lt;&gt;SUM(H138:J138),"ERRO: reprovações inconsistentes","OK")))))</f>
        <v/>
      </c>
    </row>
    <row r="139" ht="15" customHeight="1" s="131">
      <c r="A139" s="320" t="n"/>
      <c r="B139" s="323" t="n"/>
      <c r="C139" s="323" t="n"/>
      <c r="D139" s="328" t="n"/>
      <c r="E139" s="328" t="n"/>
      <c r="F139" s="328" t="n"/>
      <c r="G139" s="329">
        <f>IF(COUNTA(A139:C139)=0,"",SUM(H139:J139))</f>
        <v/>
      </c>
      <c r="H139" s="328" t="n"/>
      <c r="I139" s="330" t="n"/>
      <c r="J139" s="331" t="n"/>
      <c r="K139" s="331" t="n"/>
      <c r="L139" s="331" t="n"/>
      <c r="M139" s="332" t="n"/>
      <c r="N139" s="302">
        <f>IF(L139&gt;0,M139/L139,"")</f>
        <v/>
      </c>
      <c r="O139" s="317">
        <f>IF(E139&gt;0,F139/E139*100,"")</f>
        <v/>
      </c>
      <c r="P139" s="275">
        <f>IF(COUNTA(A139:C139)=0,"",IF(OR(A139="",B139="",C139="",D139&lt;0,E139&lt;0,F139&lt;0,H139&lt;0,I139&lt;0,J139&lt;0,K139&lt;0,L139&lt;0),"ERRO: valores inválidos",IF(D139&lt;&gt;E139+K139,"ERRO: total inconsistente",IF(E139&lt;&gt;F139+G139,"ERRO: finalizados inconsistentes",IF(G139&lt;&gt;SUM(H139:J139),"ERRO: reprovações inconsistentes","OK")))))</f>
        <v/>
      </c>
    </row>
    <row r="140" ht="15" customHeight="1" s="131">
      <c r="A140" s="320" t="n"/>
      <c r="B140" s="323" t="n"/>
      <c r="C140" s="323" t="n"/>
      <c r="D140" s="328" t="n"/>
      <c r="E140" s="328" t="n"/>
      <c r="F140" s="328" t="n"/>
      <c r="G140" s="329">
        <f>IF(COUNTA(A140:C140)=0,"",SUM(H140:J140))</f>
        <v/>
      </c>
      <c r="H140" s="328" t="n"/>
      <c r="I140" s="330" t="n"/>
      <c r="J140" s="331" t="n"/>
      <c r="K140" s="331" t="n"/>
      <c r="L140" s="331" t="n"/>
      <c r="M140" s="332" t="n"/>
      <c r="N140" s="302">
        <f>IF(L140&gt;0,M140/L140,"")</f>
        <v/>
      </c>
      <c r="O140" s="317">
        <f>IF(E140&gt;0,F140/E140*100,"")</f>
        <v/>
      </c>
      <c r="P140" s="275">
        <f>IF(COUNTA(A140:C140)=0,"",IF(OR(A140="",B140="",C140="",D140&lt;0,E140&lt;0,F140&lt;0,H140&lt;0,I140&lt;0,J140&lt;0,K140&lt;0,L140&lt;0),"ERRO: valores inválidos",IF(D140&lt;&gt;E140+K140,"ERRO: total inconsistente",IF(E140&lt;&gt;F140+G140,"ERRO: finalizados inconsistentes",IF(G140&lt;&gt;SUM(H140:J140),"ERRO: reprovações inconsistentes","OK")))))</f>
        <v/>
      </c>
    </row>
    <row r="141" ht="15" customHeight="1" s="131">
      <c r="A141" s="320" t="n"/>
      <c r="B141" s="323" t="n"/>
      <c r="C141" s="323" t="n"/>
      <c r="D141" s="328" t="n"/>
      <c r="E141" s="328" t="n"/>
      <c r="F141" s="328" t="n"/>
      <c r="G141" s="329">
        <f>IF(COUNTA(A141:C141)=0,"",SUM(H141:J141))</f>
        <v/>
      </c>
      <c r="H141" s="328" t="n"/>
      <c r="I141" s="330" t="n"/>
      <c r="J141" s="331" t="n"/>
      <c r="K141" s="331" t="n"/>
      <c r="L141" s="331" t="n"/>
      <c r="M141" s="332" t="n"/>
      <c r="N141" s="302">
        <f>IF(L141&gt;0,M141/L141,"")</f>
        <v/>
      </c>
      <c r="O141" s="317">
        <f>IF(E141&gt;0,F141/E141*100,"")</f>
        <v/>
      </c>
      <c r="P141" s="275">
        <f>IF(COUNTA(A141:C141)=0,"",IF(OR(A141="",B141="",C141="",D141&lt;0,E141&lt;0,F141&lt;0,H141&lt;0,I141&lt;0,J141&lt;0,K141&lt;0,L141&lt;0),"ERRO: valores inválidos",IF(D141&lt;&gt;E141+K141,"ERRO: total inconsistente",IF(E141&lt;&gt;F141+G141,"ERRO: finalizados inconsistentes",IF(G141&lt;&gt;SUM(H141:J141),"ERRO: reprovações inconsistentes","OK")))))</f>
        <v/>
      </c>
    </row>
    <row r="142" ht="15" customHeight="1" s="131">
      <c r="A142" s="320" t="n"/>
      <c r="B142" s="323" t="n"/>
      <c r="C142" s="323" t="n"/>
      <c r="D142" s="328" t="n"/>
      <c r="E142" s="328" t="n"/>
      <c r="F142" s="328" t="n"/>
      <c r="G142" s="329">
        <f>IF(COUNTA(A142:C142)=0,"",SUM(H142:J142))</f>
        <v/>
      </c>
      <c r="H142" s="328" t="n"/>
      <c r="I142" s="330" t="n"/>
      <c r="J142" s="331" t="n"/>
      <c r="K142" s="331" t="n"/>
      <c r="L142" s="331" t="n"/>
      <c r="M142" s="332" t="n"/>
      <c r="N142" s="302">
        <f>IF(L142&gt;0,M142/L142,"")</f>
        <v/>
      </c>
      <c r="O142" s="317">
        <f>IF(E142&gt;0,F142/E142*100,"")</f>
        <v/>
      </c>
      <c r="P142" s="275">
        <f>IF(COUNTA(A142:C142)=0,"",IF(OR(A142="",B142="",C142="",D142&lt;0,E142&lt;0,F142&lt;0,H142&lt;0,I142&lt;0,J142&lt;0,K142&lt;0,L142&lt;0),"ERRO: valores inválidos",IF(D142&lt;&gt;E142+K142,"ERRO: total inconsistente",IF(E142&lt;&gt;F142+G142,"ERRO: finalizados inconsistentes",IF(G142&lt;&gt;SUM(H142:J142),"ERRO: reprovações inconsistentes","OK")))))</f>
        <v/>
      </c>
    </row>
    <row r="143" ht="15" customHeight="1" s="131">
      <c r="A143" s="320" t="n"/>
      <c r="B143" s="323" t="n"/>
      <c r="C143" s="323" t="n"/>
      <c r="D143" s="328" t="n"/>
      <c r="E143" s="328" t="n"/>
      <c r="F143" s="328" t="n"/>
      <c r="G143" s="329">
        <f>IF(COUNTA(A143:C143)=0,"",SUM(H143:J143))</f>
        <v/>
      </c>
      <c r="H143" s="328" t="n"/>
      <c r="I143" s="330" t="n"/>
      <c r="J143" s="331" t="n"/>
      <c r="K143" s="331" t="n"/>
      <c r="L143" s="331" t="n"/>
      <c r="M143" s="332" t="n"/>
      <c r="N143" s="302">
        <f>IF(L143&gt;0,M143/L143,"")</f>
        <v/>
      </c>
      <c r="O143" s="317">
        <f>IF(E143&gt;0,F143/E143*100,"")</f>
        <v/>
      </c>
      <c r="P143" s="275">
        <f>IF(COUNTA(A143:C143)=0,"",IF(OR(A143="",B143="",C143="",D143&lt;0,E143&lt;0,F143&lt;0,H143&lt;0,I143&lt;0,J143&lt;0,K143&lt;0,L143&lt;0),"ERRO: valores inválidos",IF(D143&lt;&gt;E143+K143,"ERRO: total inconsistente",IF(E143&lt;&gt;F143+G143,"ERRO: finalizados inconsistentes",IF(G143&lt;&gt;SUM(H143:J143),"ERRO: reprovações inconsistentes","OK")))))</f>
        <v/>
      </c>
    </row>
    <row r="144" ht="15" customHeight="1" s="131">
      <c r="A144" s="320" t="n"/>
      <c r="B144" s="323" t="n"/>
      <c r="C144" s="323" t="n"/>
      <c r="D144" s="328" t="n"/>
      <c r="E144" s="328" t="n"/>
      <c r="F144" s="328" t="n"/>
      <c r="G144" s="329">
        <f>IF(COUNTA(A144:C144)=0,"",SUM(H144:J144))</f>
        <v/>
      </c>
      <c r="H144" s="328" t="n"/>
      <c r="I144" s="330" t="n"/>
      <c r="J144" s="331" t="n"/>
      <c r="K144" s="331" t="n"/>
      <c r="L144" s="331" t="n"/>
      <c r="M144" s="332" t="n"/>
      <c r="N144" s="302">
        <f>IF(L144&gt;0,M144/L144,"")</f>
        <v/>
      </c>
      <c r="O144" s="317">
        <f>IF(E144&gt;0,F144/E144*100,"")</f>
        <v/>
      </c>
      <c r="P144" s="275">
        <f>IF(COUNTA(A144:C144)=0,"",IF(OR(A144="",B144="",C144="",D144&lt;0,E144&lt;0,F144&lt;0,H144&lt;0,I144&lt;0,J144&lt;0,K144&lt;0,L144&lt;0),"ERRO: valores inválidos",IF(D144&lt;&gt;E144+K144,"ERRO: total inconsistente",IF(E144&lt;&gt;F144+G144,"ERRO: finalizados inconsistentes",IF(G144&lt;&gt;SUM(H144:J144),"ERRO: reprovações inconsistentes","OK")))))</f>
        <v/>
      </c>
    </row>
    <row r="145" ht="15" customHeight="1" s="131">
      <c r="A145" s="320" t="n"/>
      <c r="B145" s="323" t="n"/>
      <c r="C145" s="323" t="n"/>
      <c r="D145" s="328" t="n"/>
      <c r="E145" s="328" t="n"/>
      <c r="F145" s="328" t="n"/>
      <c r="G145" s="329">
        <f>IF(COUNTA(A145:C145)=0,"",SUM(H145:J145))</f>
        <v/>
      </c>
      <c r="H145" s="328" t="n"/>
      <c r="I145" s="330" t="n"/>
      <c r="J145" s="331" t="n"/>
      <c r="K145" s="331" t="n"/>
      <c r="L145" s="331" t="n"/>
      <c r="M145" s="332" t="n"/>
      <c r="N145" s="302">
        <f>IF(L145&gt;0,M145/L145,"")</f>
        <v/>
      </c>
      <c r="O145" s="317">
        <f>IF(E145&gt;0,F145/E145*100,"")</f>
        <v/>
      </c>
      <c r="P145" s="275">
        <f>IF(COUNTA(A145:C145)=0,"",IF(OR(A145="",B145="",C145="",D145&lt;0,E145&lt;0,F145&lt;0,H145&lt;0,I145&lt;0,J145&lt;0,K145&lt;0,L145&lt;0),"ERRO: valores inválidos",IF(D145&lt;&gt;E145+K145,"ERRO: total inconsistente",IF(E145&lt;&gt;F145+G145,"ERRO: finalizados inconsistentes",IF(G145&lt;&gt;SUM(H145:J145),"ERRO: reprovações inconsistentes","OK")))))</f>
        <v/>
      </c>
    </row>
    <row r="146" ht="15" customHeight="1" s="131">
      <c r="A146" s="320" t="n"/>
      <c r="B146" s="323" t="n"/>
      <c r="C146" s="323" t="n"/>
      <c r="D146" s="328" t="n"/>
      <c r="E146" s="328" t="n"/>
      <c r="F146" s="328" t="n"/>
      <c r="G146" s="329">
        <f>IF(COUNTA(A146:C146)=0,"",SUM(H146:J146))</f>
        <v/>
      </c>
      <c r="H146" s="328" t="n"/>
      <c r="I146" s="330" t="n"/>
      <c r="J146" s="331" t="n"/>
      <c r="K146" s="331" t="n"/>
      <c r="L146" s="331" t="n"/>
      <c r="M146" s="332" t="n"/>
      <c r="N146" s="302">
        <f>IF(L146&gt;0,M146/L146,"")</f>
        <v/>
      </c>
      <c r="O146" s="317">
        <f>IF(E146&gt;0,F146/E146*100,"")</f>
        <v/>
      </c>
      <c r="P146" s="275">
        <f>IF(COUNTA(A146:C146)=0,"",IF(OR(A146="",B146="",C146="",D146&lt;0,E146&lt;0,F146&lt;0,H146&lt;0,I146&lt;0,J146&lt;0,K146&lt;0,L146&lt;0),"ERRO: valores inválidos",IF(D146&lt;&gt;E146+K146,"ERRO: total inconsistente",IF(E146&lt;&gt;F146+G146,"ERRO: finalizados inconsistentes",IF(G146&lt;&gt;SUM(H146:J146),"ERRO: reprovações inconsistentes","OK")))))</f>
        <v/>
      </c>
    </row>
    <row r="147" ht="15" customHeight="1" s="131">
      <c r="A147" s="320" t="n"/>
      <c r="B147" s="323" t="n"/>
      <c r="C147" s="323" t="n"/>
      <c r="D147" s="328" t="n"/>
      <c r="E147" s="328" t="n"/>
      <c r="F147" s="328" t="n"/>
      <c r="G147" s="329">
        <f>IF(COUNTA(A147:C147)=0,"",SUM(H147:J147))</f>
        <v/>
      </c>
      <c r="H147" s="328" t="n"/>
      <c r="I147" s="330" t="n"/>
      <c r="J147" s="331" t="n"/>
      <c r="K147" s="331" t="n"/>
      <c r="L147" s="331" t="n"/>
      <c r="M147" s="332" t="n"/>
      <c r="N147" s="302">
        <f>IF(L147&gt;0,M147/L147,"")</f>
        <v/>
      </c>
      <c r="O147" s="317">
        <f>IF(E147&gt;0,F147/E147*100,"")</f>
        <v/>
      </c>
      <c r="P147" s="275">
        <f>IF(COUNTA(A147:C147)=0,"",IF(OR(A147="",B147="",C147="",D147&lt;0,E147&lt;0,F147&lt;0,H147&lt;0,I147&lt;0,J147&lt;0,K147&lt;0,L147&lt;0),"ERRO: valores inválidos",IF(D147&lt;&gt;E147+K147,"ERRO: total inconsistente",IF(E147&lt;&gt;F147+G147,"ERRO: finalizados inconsistentes",IF(G147&lt;&gt;SUM(H147:J147),"ERRO: reprovações inconsistentes","OK")))))</f>
        <v/>
      </c>
    </row>
    <row r="148" ht="15" customHeight="1" s="131">
      <c r="A148" s="320" t="n"/>
      <c r="B148" s="323" t="n"/>
      <c r="C148" s="323" t="n"/>
      <c r="D148" s="328" t="n"/>
      <c r="E148" s="328" t="n"/>
      <c r="F148" s="328" t="n"/>
      <c r="G148" s="329">
        <f>IF(COUNTA(A148:C148)=0,"",SUM(H148:J148))</f>
        <v/>
      </c>
      <c r="H148" s="328" t="n"/>
      <c r="I148" s="330" t="n"/>
      <c r="J148" s="331" t="n"/>
      <c r="K148" s="331" t="n"/>
      <c r="L148" s="331" t="n"/>
      <c r="M148" s="332" t="n"/>
      <c r="N148" s="302">
        <f>IF(L148&gt;0,M148/L148,"")</f>
        <v/>
      </c>
      <c r="O148" s="317">
        <f>IF(E148&gt;0,F148/E148*100,"")</f>
        <v/>
      </c>
      <c r="P148" s="275">
        <f>IF(COUNTA(A148:C148)=0,"",IF(OR(A148="",B148="",C148="",D148&lt;0,E148&lt;0,F148&lt;0,H148&lt;0,I148&lt;0,J148&lt;0,K148&lt;0,L148&lt;0),"ERRO: valores inválidos",IF(D148&lt;&gt;E148+K148,"ERRO: total inconsistente",IF(E148&lt;&gt;F148+G148,"ERRO: finalizados inconsistentes",IF(G148&lt;&gt;SUM(H148:J148),"ERRO: reprovações inconsistentes","OK")))))</f>
        <v/>
      </c>
    </row>
    <row r="149" ht="15" customHeight="1" s="131">
      <c r="A149" s="320" t="n"/>
      <c r="B149" s="323" t="n"/>
      <c r="C149" s="323" t="n"/>
      <c r="D149" s="328" t="n"/>
      <c r="E149" s="328" t="n"/>
      <c r="F149" s="328" t="n"/>
      <c r="G149" s="329">
        <f>IF(COUNTA(A149:C149)=0,"",SUM(H149:J149))</f>
        <v/>
      </c>
      <c r="H149" s="328" t="n"/>
      <c r="I149" s="330" t="n"/>
      <c r="J149" s="331" t="n"/>
      <c r="K149" s="331" t="n"/>
      <c r="L149" s="331" t="n"/>
      <c r="M149" s="332" t="n"/>
      <c r="N149" s="302">
        <f>IF(L149&gt;0,M149/L149,"")</f>
        <v/>
      </c>
      <c r="O149" s="317">
        <f>IF(E149&gt;0,F149/E149*100,"")</f>
        <v/>
      </c>
      <c r="P149" s="275">
        <f>IF(COUNTA(A149:C149)=0,"",IF(OR(A149="",B149="",C149="",D149&lt;0,E149&lt;0,F149&lt;0,H149&lt;0,I149&lt;0,J149&lt;0,K149&lt;0,L149&lt;0),"ERRO: valores inválidos",IF(D149&lt;&gt;E149+K149,"ERRO: total inconsistente",IF(E149&lt;&gt;F149+G149,"ERRO: finalizados inconsistentes",IF(G149&lt;&gt;SUM(H149:J149),"ERRO: reprovações inconsistentes","OK")))))</f>
        <v/>
      </c>
    </row>
    <row r="150" ht="15" customHeight="1" s="131">
      <c r="A150" s="320" t="n"/>
      <c r="B150" s="323" t="n"/>
      <c r="C150" s="323" t="n"/>
      <c r="D150" s="328" t="n"/>
      <c r="E150" s="328" t="n"/>
      <c r="F150" s="328" t="n"/>
      <c r="G150" s="329">
        <f>IF(COUNTA(A150:C150)=0,"",SUM(H150:J150))</f>
        <v/>
      </c>
      <c r="H150" s="328" t="n"/>
      <c r="I150" s="330" t="n"/>
      <c r="J150" s="331" t="n"/>
      <c r="K150" s="331" t="n"/>
      <c r="L150" s="331" t="n"/>
      <c r="M150" s="332" t="n"/>
      <c r="N150" s="302">
        <f>IF(L150&gt;0,M150/L150,"")</f>
        <v/>
      </c>
      <c r="O150" s="317">
        <f>IF(E150&gt;0,F150/E150*100,"")</f>
        <v/>
      </c>
      <c r="P150" s="275">
        <f>IF(COUNTA(A150:C150)=0,"",IF(OR(A150="",B150="",C150="",D150&lt;0,E150&lt;0,F150&lt;0,H150&lt;0,I150&lt;0,J150&lt;0,K150&lt;0,L150&lt;0),"ERRO: valores inválidos",IF(D150&lt;&gt;E150+K150,"ERRO: total inconsistente",IF(E150&lt;&gt;F150+G150,"ERRO: finalizados inconsistentes",IF(G150&lt;&gt;SUM(H150:J150),"ERRO: reprovações inconsistentes","OK")))))</f>
        <v/>
      </c>
    </row>
    <row r="151" ht="15" customHeight="1" s="131">
      <c r="A151" s="320" t="n"/>
      <c r="B151" s="323" t="n"/>
      <c r="C151" s="323" t="n"/>
      <c r="D151" s="328" t="n"/>
      <c r="E151" s="328" t="n"/>
      <c r="F151" s="328" t="n"/>
      <c r="G151" s="329">
        <f>IF(COUNTA(A151:C151)=0,"",SUM(H151:J151))</f>
        <v/>
      </c>
      <c r="H151" s="328" t="n"/>
      <c r="I151" s="330" t="n"/>
      <c r="J151" s="331" t="n"/>
      <c r="K151" s="331" t="n"/>
      <c r="L151" s="331" t="n"/>
      <c r="M151" s="332" t="n"/>
      <c r="N151" s="302">
        <f>IF(L151&gt;0,M151/L151,"")</f>
        <v/>
      </c>
      <c r="O151" s="317">
        <f>IF(E151&gt;0,F151/E151*100,"")</f>
        <v/>
      </c>
      <c r="P151" s="275">
        <f>IF(COUNTA(A151:C151)=0,"",IF(OR(A151="",B151="",C151="",D151&lt;0,E151&lt;0,F151&lt;0,H151&lt;0,I151&lt;0,J151&lt;0,K151&lt;0,L151&lt;0),"ERRO: valores inválidos",IF(D151&lt;&gt;E151+K151,"ERRO: total inconsistente",IF(E151&lt;&gt;F151+G151,"ERRO: finalizados inconsistentes",IF(G151&lt;&gt;SUM(H151:J151),"ERRO: reprovações inconsistentes","OK")))))</f>
        <v/>
      </c>
    </row>
    <row r="152" ht="15" customHeight="1" s="131">
      <c r="A152" s="320" t="n"/>
      <c r="B152" s="323" t="n"/>
      <c r="C152" s="323" t="n"/>
      <c r="D152" s="328" t="n"/>
      <c r="E152" s="328" t="n"/>
      <c r="F152" s="328" t="n"/>
      <c r="G152" s="329">
        <f>IF(COUNTA(A152:C152)=0,"",SUM(H152:J152))</f>
        <v/>
      </c>
      <c r="H152" s="328" t="n"/>
      <c r="I152" s="330" t="n"/>
      <c r="J152" s="331" t="n"/>
      <c r="K152" s="331" t="n"/>
      <c r="L152" s="331" t="n"/>
      <c r="M152" s="332" t="n"/>
      <c r="N152" s="302">
        <f>IF(L152&gt;0,M152/L152,"")</f>
        <v/>
      </c>
      <c r="O152" s="317">
        <f>IF(E152&gt;0,F152/E152*100,"")</f>
        <v/>
      </c>
      <c r="P152" s="275">
        <f>IF(COUNTA(A152:C152)=0,"",IF(OR(A152="",B152="",C152="",D152&lt;0,E152&lt;0,F152&lt;0,H152&lt;0,I152&lt;0,J152&lt;0,K152&lt;0,L152&lt;0),"ERRO: valores inválidos",IF(D152&lt;&gt;E152+K152,"ERRO: total inconsistente",IF(E152&lt;&gt;F152+G152,"ERRO: finalizados inconsistentes",IF(G152&lt;&gt;SUM(H152:J152),"ERRO: reprovações inconsistentes","OK")))))</f>
        <v/>
      </c>
    </row>
    <row r="153" ht="15" customHeight="1" s="131">
      <c r="A153" s="320" t="n"/>
      <c r="B153" s="323" t="n"/>
      <c r="C153" s="323" t="n"/>
      <c r="D153" s="328" t="n"/>
      <c r="E153" s="328" t="n"/>
      <c r="F153" s="328" t="n"/>
      <c r="G153" s="329">
        <f>IF(COUNTA(A153:C153)=0,"",SUM(H153:J153))</f>
        <v/>
      </c>
      <c r="H153" s="328" t="n"/>
      <c r="I153" s="330" t="n"/>
      <c r="J153" s="331" t="n"/>
      <c r="K153" s="331" t="n"/>
      <c r="L153" s="331" t="n"/>
      <c r="M153" s="332" t="n"/>
      <c r="N153" s="302">
        <f>IF(L153&gt;0,M153/L153,"")</f>
        <v/>
      </c>
      <c r="O153" s="317">
        <f>IF(E153&gt;0,F153/E153*100,"")</f>
        <v/>
      </c>
      <c r="P153" s="275">
        <f>IF(COUNTA(A153:C153)=0,"",IF(OR(A153="",B153="",C153="",D153&lt;0,E153&lt;0,F153&lt;0,H153&lt;0,I153&lt;0,J153&lt;0,K153&lt;0,L153&lt;0),"ERRO: valores inválidos",IF(D153&lt;&gt;E153+K153,"ERRO: total inconsistente",IF(E153&lt;&gt;F153+G153,"ERRO: finalizados inconsistentes",IF(G153&lt;&gt;SUM(H153:J153),"ERRO: reprovações inconsistentes","OK")))))</f>
        <v/>
      </c>
    </row>
    <row r="154" ht="15" customHeight="1" s="131">
      <c r="A154" s="320" t="n"/>
      <c r="B154" s="323" t="n"/>
      <c r="C154" s="323" t="n"/>
      <c r="D154" s="328" t="n"/>
      <c r="E154" s="328" t="n"/>
      <c r="F154" s="328" t="n"/>
      <c r="G154" s="329">
        <f>IF(COUNTA(A154:C154)=0,"",SUM(H154:J154))</f>
        <v/>
      </c>
      <c r="H154" s="328" t="n"/>
      <c r="I154" s="330" t="n"/>
      <c r="J154" s="331" t="n"/>
      <c r="K154" s="331" t="n"/>
      <c r="L154" s="331" t="n"/>
      <c r="M154" s="332" t="n"/>
      <c r="N154" s="302">
        <f>IF(L154&gt;0,M154/L154,"")</f>
        <v/>
      </c>
      <c r="O154" s="317">
        <f>IF(E154&gt;0,F154/E154*100,"")</f>
        <v/>
      </c>
      <c r="P154" s="275">
        <f>IF(COUNTA(A154:C154)=0,"",IF(OR(A154="",B154="",C154="",D154&lt;0,E154&lt;0,F154&lt;0,H154&lt;0,I154&lt;0,J154&lt;0,K154&lt;0,L154&lt;0),"ERRO: valores inválidos",IF(D154&lt;&gt;E154+K154,"ERRO: total inconsistente",IF(E154&lt;&gt;F154+G154,"ERRO: finalizados inconsistentes",IF(G154&lt;&gt;SUM(H154:J154),"ERRO: reprovações inconsistentes","OK")))))</f>
        <v/>
      </c>
    </row>
    <row r="155" ht="15" customHeight="1" s="131">
      <c r="A155" s="320" t="n"/>
      <c r="B155" s="323" t="n"/>
      <c r="C155" s="323" t="n"/>
      <c r="D155" s="328" t="n"/>
      <c r="E155" s="328" t="n"/>
      <c r="F155" s="328" t="n"/>
      <c r="G155" s="329">
        <f>IF(COUNTA(A155:C155)=0,"",SUM(H155:J155))</f>
        <v/>
      </c>
      <c r="H155" s="328" t="n"/>
      <c r="I155" s="330" t="n"/>
      <c r="J155" s="331" t="n"/>
      <c r="K155" s="331" t="n"/>
      <c r="L155" s="331" t="n"/>
      <c r="M155" s="332" t="n"/>
      <c r="N155" s="302">
        <f>IF(L155&gt;0,M155/L155,"")</f>
        <v/>
      </c>
      <c r="O155" s="317">
        <f>IF(E155&gt;0,F155/E155*100,"")</f>
        <v/>
      </c>
      <c r="P155" s="275">
        <f>IF(COUNTA(A155:C155)=0,"",IF(OR(A155="",B155="",C155="",D155&lt;0,E155&lt;0,F155&lt;0,H155&lt;0,I155&lt;0,J155&lt;0,K155&lt;0,L155&lt;0),"ERRO: valores inválidos",IF(D155&lt;&gt;E155+K155,"ERRO: total inconsistente",IF(E155&lt;&gt;F155+G155,"ERRO: finalizados inconsistentes",IF(G155&lt;&gt;SUM(H155:J155),"ERRO: reprovações inconsistentes","OK")))))</f>
        <v/>
      </c>
    </row>
    <row r="156" ht="15" customHeight="1" s="131">
      <c r="A156" s="320" t="n"/>
      <c r="B156" s="323" t="n"/>
      <c r="C156" s="323" t="n"/>
      <c r="D156" s="328" t="n"/>
      <c r="E156" s="328" t="n"/>
      <c r="F156" s="328" t="n"/>
      <c r="G156" s="329">
        <f>IF(COUNTA(A156:C156)=0,"",SUM(H156:J156))</f>
        <v/>
      </c>
      <c r="H156" s="328" t="n"/>
      <c r="I156" s="330" t="n"/>
      <c r="J156" s="331" t="n"/>
      <c r="K156" s="331" t="n"/>
      <c r="L156" s="331" t="n"/>
      <c r="M156" s="332" t="n"/>
      <c r="N156" s="302">
        <f>IF(L156&gt;0,M156/L156,"")</f>
        <v/>
      </c>
      <c r="O156" s="317">
        <f>IF(E156&gt;0,F156/E156*100,"")</f>
        <v/>
      </c>
      <c r="P156" s="275">
        <f>IF(COUNTA(A156:C156)=0,"",IF(OR(A156="",B156="",C156="",D156&lt;0,E156&lt;0,F156&lt;0,H156&lt;0,I156&lt;0,J156&lt;0,K156&lt;0,L156&lt;0),"ERRO: valores inválidos",IF(D156&lt;&gt;E156+K156,"ERRO: total inconsistente",IF(E156&lt;&gt;F156+G156,"ERRO: finalizados inconsistentes",IF(G156&lt;&gt;SUM(H156:J156),"ERRO: reprovações inconsistentes","OK")))))</f>
        <v/>
      </c>
    </row>
    <row r="157" ht="15" customHeight="1" s="131">
      <c r="A157" s="320" t="n"/>
      <c r="B157" s="323" t="n"/>
      <c r="C157" s="323" t="n"/>
      <c r="D157" s="328" t="n"/>
      <c r="E157" s="328" t="n"/>
      <c r="F157" s="328" t="n"/>
      <c r="G157" s="329">
        <f>IF(COUNTA(A157:C157)=0,"",SUM(H157:J157))</f>
        <v/>
      </c>
      <c r="H157" s="328" t="n"/>
      <c r="I157" s="330" t="n"/>
      <c r="J157" s="331" t="n"/>
      <c r="K157" s="331" t="n"/>
      <c r="L157" s="331" t="n"/>
      <c r="M157" s="332" t="n"/>
      <c r="N157" s="302">
        <f>IF(L157&gt;0,M157/L157,"")</f>
        <v/>
      </c>
      <c r="O157" s="317">
        <f>IF(E157&gt;0,F157/E157*100,"")</f>
        <v/>
      </c>
      <c r="P157" s="275">
        <f>IF(COUNTA(A157:C157)=0,"",IF(OR(A157="",B157="",C157="",D157&lt;0,E157&lt;0,F157&lt;0,H157&lt;0,I157&lt;0,J157&lt;0,K157&lt;0,L157&lt;0),"ERRO: valores inválidos",IF(D157&lt;&gt;E157+K157,"ERRO: total inconsistente",IF(E157&lt;&gt;F157+G157,"ERRO: finalizados inconsistentes",IF(G157&lt;&gt;SUM(H157:J157),"ERRO: reprovações inconsistentes","OK")))))</f>
        <v/>
      </c>
    </row>
    <row r="158" ht="15" customHeight="1" s="131">
      <c r="A158" s="320" t="n"/>
      <c r="B158" s="323" t="n"/>
      <c r="C158" s="323" t="n"/>
      <c r="D158" s="328" t="n"/>
      <c r="E158" s="328" t="n"/>
      <c r="F158" s="328" t="n"/>
      <c r="G158" s="329">
        <f>IF(COUNTA(A158:C158)=0,"",SUM(H158:J158))</f>
        <v/>
      </c>
      <c r="H158" s="328" t="n"/>
      <c r="I158" s="330" t="n"/>
      <c r="J158" s="331" t="n"/>
      <c r="K158" s="331" t="n"/>
      <c r="L158" s="331" t="n"/>
      <c r="M158" s="332" t="n"/>
      <c r="N158" s="302">
        <f>IF(L158&gt;0,M158/L158,"")</f>
        <v/>
      </c>
      <c r="O158" s="317">
        <f>IF(E158&gt;0,F158/E158*100,"")</f>
        <v/>
      </c>
      <c r="P158" s="275">
        <f>IF(COUNTA(A158:C158)=0,"",IF(OR(A158="",B158="",C158="",D158&lt;0,E158&lt;0,F158&lt;0,H158&lt;0,I158&lt;0,J158&lt;0,K158&lt;0,L158&lt;0),"ERRO: valores inválidos",IF(D158&lt;&gt;E158+K158,"ERRO: total inconsistente",IF(E158&lt;&gt;F158+G158,"ERRO: finalizados inconsistentes",IF(G158&lt;&gt;SUM(H158:J158),"ERRO: reprovações inconsistentes","OK")))))</f>
        <v/>
      </c>
    </row>
    <row r="159" ht="15" customHeight="1" s="131">
      <c r="A159" s="320" t="n"/>
      <c r="B159" s="323" t="n"/>
      <c r="C159" s="323" t="n"/>
      <c r="D159" s="328" t="n"/>
      <c r="E159" s="328" t="n"/>
      <c r="F159" s="328" t="n"/>
      <c r="G159" s="329">
        <f>IF(COUNTA(A159:C159)=0,"",SUM(H159:J159))</f>
        <v/>
      </c>
      <c r="H159" s="328" t="n"/>
      <c r="I159" s="330" t="n"/>
      <c r="J159" s="331" t="n"/>
      <c r="K159" s="331" t="n"/>
      <c r="L159" s="331" t="n"/>
      <c r="M159" s="332" t="n"/>
      <c r="N159" s="302">
        <f>IF(L159&gt;0,M159/L159,"")</f>
        <v/>
      </c>
      <c r="O159" s="317">
        <f>IF(E159&gt;0,F159/E159*100,"")</f>
        <v/>
      </c>
      <c r="P159" s="275">
        <f>IF(COUNTA(A159:C159)=0,"",IF(OR(A159="",B159="",C159="",D159&lt;0,E159&lt;0,F159&lt;0,H159&lt;0,I159&lt;0,J159&lt;0,K159&lt;0,L159&lt;0),"ERRO: valores inválidos",IF(D159&lt;&gt;E159+K159,"ERRO: total inconsistente",IF(E159&lt;&gt;F159+G159,"ERRO: finalizados inconsistentes",IF(G159&lt;&gt;SUM(H159:J159),"ERRO: reprovações inconsistentes","OK")))))</f>
        <v/>
      </c>
    </row>
    <row r="160" ht="15" customHeight="1" s="131">
      <c r="A160" s="320" t="n"/>
      <c r="B160" s="323" t="n"/>
      <c r="C160" s="323" t="n"/>
      <c r="D160" s="328" t="n"/>
      <c r="E160" s="328" t="n"/>
      <c r="F160" s="328" t="n"/>
      <c r="G160" s="329">
        <f>IF(COUNTA(A160:C160)=0,"",SUM(H160:J160))</f>
        <v/>
      </c>
      <c r="H160" s="328" t="n"/>
      <c r="I160" s="330" t="n"/>
      <c r="J160" s="331" t="n"/>
      <c r="K160" s="331" t="n"/>
      <c r="L160" s="331" t="n"/>
      <c r="M160" s="332" t="n"/>
      <c r="N160" s="302">
        <f>IF(L160&gt;0,M160/L160,"")</f>
        <v/>
      </c>
      <c r="O160" s="317">
        <f>IF(E160&gt;0,F160/E160*100,"")</f>
        <v/>
      </c>
      <c r="P160" s="275">
        <f>IF(COUNTA(A160:C160)=0,"",IF(OR(A160="",B160="",C160="",D160&lt;0,E160&lt;0,F160&lt;0,H160&lt;0,I160&lt;0,J160&lt;0,K160&lt;0,L160&lt;0),"ERRO: valores inválidos",IF(D160&lt;&gt;E160+K160,"ERRO: total inconsistente",IF(E160&lt;&gt;F160+G160,"ERRO: finalizados inconsistentes",IF(G160&lt;&gt;SUM(H160:J160),"ERRO: reprovações inconsistentes","OK")))))</f>
        <v/>
      </c>
    </row>
    <row r="161" ht="15" customHeight="1" s="131">
      <c r="A161" s="320" t="n"/>
      <c r="B161" s="323" t="n"/>
      <c r="C161" s="323" t="n"/>
      <c r="D161" s="328" t="n"/>
      <c r="E161" s="328" t="n"/>
      <c r="F161" s="328" t="n"/>
      <c r="G161" s="329">
        <f>IF(COUNTA(A161:C161)=0,"",SUM(H161:J161))</f>
        <v/>
      </c>
      <c r="H161" s="328" t="n"/>
      <c r="I161" s="330" t="n"/>
      <c r="J161" s="331" t="n"/>
      <c r="K161" s="331" t="n"/>
      <c r="L161" s="331" t="n"/>
      <c r="M161" s="332" t="n"/>
      <c r="N161" s="302">
        <f>IF(L161&gt;0,M161/L161,"")</f>
        <v/>
      </c>
      <c r="O161" s="317">
        <f>IF(E161&gt;0,F161/E161*100,"")</f>
        <v/>
      </c>
      <c r="P161" s="275">
        <f>IF(COUNTA(A161:C161)=0,"",IF(OR(A161="",B161="",C161="",D161&lt;0,E161&lt;0,F161&lt;0,H161&lt;0,I161&lt;0,J161&lt;0,K161&lt;0,L161&lt;0),"ERRO: valores inválidos",IF(D161&lt;&gt;E161+K161,"ERRO: total inconsistente",IF(E161&lt;&gt;F161+G161,"ERRO: finalizados inconsistentes",IF(G161&lt;&gt;SUM(H161:J161),"ERRO: reprovações inconsistentes","OK")))))</f>
        <v/>
      </c>
    </row>
    <row r="162" ht="15" customHeight="1" s="131">
      <c r="A162" s="320" t="n"/>
      <c r="B162" s="323" t="n"/>
      <c r="C162" s="323" t="n"/>
      <c r="D162" s="328" t="n"/>
      <c r="E162" s="328" t="n"/>
      <c r="F162" s="328" t="n"/>
      <c r="G162" s="329">
        <f>IF(COUNTA(A162:C162)=0,"",SUM(H162:J162))</f>
        <v/>
      </c>
      <c r="H162" s="328" t="n"/>
      <c r="I162" s="330" t="n"/>
      <c r="J162" s="331" t="n"/>
      <c r="K162" s="331" t="n"/>
      <c r="L162" s="331" t="n"/>
      <c r="M162" s="332" t="n"/>
      <c r="N162" s="302">
        <f>IF(L162&gt;0,M162/L162,"")</f>
        <v/>
      </c>
      <c r="O162" s="317">
        <f>IF(E162&gt;0,F162/E162*100,"")</f>
        <v/>
      </c>
      <c r="P162" s="275">
        <f>IF(COUNTA(A162:C162)=0,"",IF(OR(A162="",B162="",C162="",D162&lt;0,E162&lt;0,F162&lt;0,H162&lt;0,I162&lt;0,J162&lt;0,K162&lt;0,L162&lt;0),"ERRO: valores inválidos",IF(D162&lt;&gt;E162+K162,"ERRO: total inconsistente",IF(E162&lt;&gt;F162+G162,"ERRO: finalizados inconsistentes",IF(G162&lt;&gt;SUM(H162:J162),"ERRO: reprovações inconsistentes","OK")))))</f>
        <v/>
      </c>
    </row>
    <row r="163" ht="15" customHeight="1" s="131">
      <c r="A163" s="320" t="n"/>
      <c r="B163" s="323" t="n"/>
      <c r="C163" s="323" t="n"/>
      <c r="D163" s="328" t="n"/>
      <c r="E163" s="328" t="n"/>
      <c r="F163" s="328" t="n"/>
      <c r="G163" s="329">
        <f>IF(COUNTA(A163:C163)=0,"",SUM(H163:J163))</f>
        <v/>
      </c>
      <c r="H163" s="328" t="n"/>
      <c r="I163" s="330" t="n"/>
      <c r="J163" s="331" t="n"/>
      <c r="K163" s="331" t="n"/>
      <c r="L163" s="331" t="n"/>
      <c r="M163" s="332" t="n"/>
      <c r="N163" s="302">
        <f>IF(L163&gt;0,M163/L163,"")</f>
        <v/>
      </c>
      <c r="O163" s="317">
        <f>IF(E163&gt;0,F163/E163*100,"")</f>
        <v/>
      </c>
      <c r="P163" s="275">
        <f>IF(COUNTA(A163:C163)=0,"",IF(OR(A163="",B163="",C163="",D163&lt;0,E163&lt;0,F163&lt;0,H163&lt;0,I163&lt;0,J163&lt;0,K163&lt;0,L163&lt;0),"ERRO: valores inválidos",IF(D163&lt;&gt;E163+K163,"ERRO: total inconsistente",IF(E163&lt;&gt;F163+G163,"ERRO: finalizados inconsistentes",IF(G163&lt;&gt;SUM(H163:J163),"ERRO: reprovações inconsistentes","OK")))))</f>
        <v/>
      </c>
    </row>
    <row r="164" ht="15" customHeight="1" s="131">
      <c r="A164" s="320" t="n"/>
      <c r="B164" s="323" t="n"/>
      <c r="C164" s="323" t="n"/>
      <c r="D164" s="328" t="n"/>
      <c r="E164" s="328" t="n"/>
      <c r="F164" s="328" t="n"/>
      <c r="G164" s="329">
        <f>IF(COUNTA(A164:C164)=0,"",SUM(H164:J164))</f>
        <v/>
      </c>
      <c r="H164" s="328" t="n"/>
      <c r="I164" s="330" t="n"/>
      <c r="J164" s="331" t="n"/>
      <c r="K164" s="331" t="n"/>
      <c r="L164" s="331" t="n"/>
      <c r="M164" s="332" t="n"/>
      <c r="N164" s="302">
        <f>IF(L164&gt;0,M164/L164,"")</f>
        <v/>
      </c>
      <c r="O164" s="317">
        <f>IF(E164&gt;0,F164/E164*100,"")</f>
        <v/>
      </c>
      <c r="P164" s="275">
        <f>IF(COUNTA(A164:C164)=0,"",IF(OR(A164="",B164="",C164="",D164&lt;0,E164&lt;0,F164&lt;0,H164&lt;0,I164&lt;0,J164&lt;0,K164&lt;0,L164&lt;0),"ERRO: valores inválidos",IF(D164&lt;&gt;E164+K164,"ERRO: total inconsistente",IF(E164&lt;&gt;F164+G164,"ERRO: finalizados inconsistentes",IF(G164&lt;&gt;SUM(H164:J164),"ERRO: reprovações inconsistentes","OK")))))</f>
        <v/>
      </c>
    </row>
    <row r="165" ht="15" customHeight="1" s="131">
      <c r="A165" s="320" t="n"/>
      <c r="B165" s="323" t="n"/>
      <c r="C165" s="323" t="n"/>
      <c r="D165" s="328" t="n"/>
      <c r="E165" s="328" t="n"/>
      <c r="F165" s="328" t="n"/>
      <c r="G165" s="329">
        <f>IF(COUNTA(A165:C165)=0,"",SUM(H165:J165))</f>
        <v/>
      </c>
      <c r="H165" s="328" t="n"/>
      <c r="I165" s="330" t="n"/>
      <c r="J165" s="331" t="n"/>
      <c r="K165" s="331" t="n"/>
      <c r="L165" s="331" t="n"/>
      <c r="M165" s="332" t="n"/>
      <c r="N165" s="302">
        <f>IF(L165&gt;0,M165/L165,"")</f>
        <v/>
      </c>
      <c r="O165" s="317">
        <f>IF(E165&gt;0,F165/E165*100,"")</f>
        <v/>
      </c>
      <c r="P165" s="275">
        <f>IF(COUNTA(A165:C165)=0,"",IF(OR(A165="",B165="",C165="",D165&lt;0,E165&lt;0,F165&lt;0,H165&lt;0,I165&lt;0,J165&lt;0,K165&lt;0,L165&lt;0),"ERRO: valores inválidos",IF(D165&lt;&gt;E165+K165,"ERRO: total inconsistente",IF(E165&lt;&gt;F165+G165,"ERRO: finalizados inconsistentes",IF(G165&lt;&gt;SUM(H165:J165),"ERRO: reprovações inconsistentes","OK")))))</f>
        <v/>
      </c>
    </row>
    <row r="166" ht="15" customHeight="1" s="131">
      <c r="A166" s="320" t="n"/>
      <c r="B166" s="323" t="n"/>
      <c r="C166" s="323" t="n"/>
      <c r="D166" s="328" t="n"/>
      <c r="E166" s="328" t="n"/>
      <c r="F166" s="328" t="n"/>
      <c r="G166" s="329">
        <f>IF(COUNTA(A166:C166)=0,"",SUM(H166:J166))</f>
        <v/>
      </c>
      <c r="H166" s="328" t="n"/>
      <c r="I166" s="330" t="n"/>
      <c r="J166" s="331" t="n"/>
      <c r="K166" s="331" t="n"/>
      <c r="L166" s="331" t="n"/>
      <c r="M166" s="332" t="n"/>
      <c r="N166" s="302">
        <f>IF(L166&gt;0,M166/L166,"")</f>
        <v/>
      </c>
      <c r="O166" s="317">
        <f>IF(E166&gt;0,F166/E166*100,"")</f>
        <v/>
      </c>
      <c r="P166" s="275">
        <f>IF(COUNTA(A166:C166)=0,"",IF(OR(A166="",B166="",C166="",D166&lt;0,E166&lt;0,F166&lt;0,H166&lt;0,I166&lt;0,J166&lt;0,K166&lt;0,L166&lt;0),"ERRO: valores inválidos",IF(D166&lt;&gt;E166+K166,"ERRO: total inconsistente",IF(E166&lt;&gt;F166+G166,"ERRO: finalizados inconsistentes",IF(G166&lt;&gt;SUM(H166:J166),"ERRO: reprovações inconsistentes","OK")))))</f>
        <v/>
      </c>
    </row>
    <row r="167" ht="15" customHeight="1" s="131">
      <c r="A167" s="320" t="n"/>
      <c r="B167" s="323" t="n"/>
      <c r="C167" s="323" t="n"/>
      <c r="D167" s="328" t="n"/>
      <c r="E167" s="328" t="n"/>
      <c r="F167" s="328" t="n"/>
      <c r="G167" s="329">
        <f>IF(COUNTA(A167:C167)=0,"",SUM(H167:J167))</f>
        <v/>
      </c>
      <c r="H167" s="328" t="n"/>
      <c r="I167" s="330" t="n"/>
      <c r="J167" s="331" t="n"/>
      <c r="K167" s="331" t="n"/>
      <c r="L167" s="331" t="n"/>
      <c r="M167" s="332" t="n"/>
      <c r="N167" s="302">
        <f>IF(L167&gt;0,M167/L167,"")</f>
        <v/>
      </c>
      <c r="O167" s="317">
        <f>IF(E167&gt;0,F167/E167*100,"")</f>
        <v/>
      </c>
      <c r="P167" s="275">
        <f>IF(COUNTA(A167:C167)=0,"",IF(OR(A167="",B167="",C167="",D167&lt;0,E167&lt;0,F167&lt;0,H167&lt;0,I167&lt;0,J167&lt;0,K167&lt;0,L167&lt;0),"ERRO: valores inválidos",IF(D167&lt;&gt;E167+K167,"ERRO: total inconsistente",IF(E167&lt;&gt;F167+G167,"ERRO: finalizados inconsistentes",IF(G167&lt;&gt;SUM(H167:J167),"ERRO: reprovações inconsistentes","OK")))))</f>
        <v/>
      </c>
    </row>
    <row r="168" ht="15" customHeight="1" s="131">
      <c r="A168" s="320" t="n"/>
      <c r="B168" s="323" t="n"/>
      <c r="C168" s="323" t="n"/>
      <c r="D168" s="328" t="n"/>
      <c r="E168" s="328" t="n"/>
      <c r="F168" s="328" t="n"/>
      <c r="G168" s="329">
        <f>IF(COUNTA(A168:C168)=0,"",SUM(H168:J168))</f>
        <v/>
      </c>
      <c r="H168" s="328" t="n"/>
      <c r="I168" s="330" t="n"/>
      <c r="J168" s="331" t="n"/>
      <c r="K168" s="331" t="n"/>
      <c r="L168" s="331" t="n"/>
      <c r="M168" s="332" t="n"/>
      <c r="N168" s="302">
        <f>IF(L168&gt;0,M168/L168,"")</f>
        <v/>
      </c>
      <c r="O168" s="317">
        <f>IF(E168&gt;0,F168/E168*100,"")</f>
        <v/>
      </c>
      <c r="P168" s="275">
        <f>IF(COUNTA(A168:C168)=0,"",IF(OR(A168="",B168="",C168="",D168&lt;0,E168&lt;0,F168&lt;0,H168&lt;0,I168&lt;0,J168&lt;0,K168&lt;0,L168&lt;0),"ERRO: valores inválidos",IF(D168&lt;&gt;E168+K168,"ERRO: total inconsistente",IF(E168&lt;&gt;F168+G168,"ERRO: finalizados inconsistentes",IF(G168&lt;&gt;SUM(H168:J168),"ERRO: reprovações inconsistentes","OK")))))</f>
        <v/>
      </c>
    </row>
    <row r="169" ht="15" customHeight="1" s="131">
      <c r="A169" s="320" t="n"/>
      <c r="B169" s="323" t="n"/>
      <c r="C169" s="323" t="n"/>
      <c r="D169" s="328" t="n"/>
      <c r="E169" s="328" t="n"/>
      <c r="F169" s="328" t="n"/>
      <c r="G169" s="329">
        <f>IF(COUNTA(A169:C169)=0,"",SUM(H169:J169))</f>
        <v/>
      </c>
      <c r="H169" s="328" t="n"/>
      <c r="I169" s="330" t="n"/>
      <c r="J169" s="331" t="n"/>
      <c r="K169" s="331" t="n"/>
      <c r="L169" s="331" t="n"/>
      <c r="M169" s="332" t="n"/>
      <c r="N169" s="302">
        <f>IF(L169&gt;0,M169/L169,"")</f>
        <v/>
      </c>
      <c r="O169" s="317">
        <f>IF(E169&gt;0,F169/E169*100,"")</f>
        <v/>
      </c>
      <c r="P169" s="275">
        <f>IF(COUNTA(A169:C169)=0,"",IF(OR(A169="",B169="",C169="",D169&lt;0,E169&lt;0,F169&lt;0,H169&lt;0,I169&lt;0,J169&lt;0,K169&lt;0,L169&lt;0),"ERRO: valores inválidos",IF(D169&lt;&gt;E169+K169,"ERRO: total inconsistente",IF(E169&lt;&gt;F169+G169,"ERRO: finalizados inconsistentes",IF(G169&lt;&gt;SUM(H169:J169),"ERRO: reprovações inconsistentes","OK")))))</f>
        <v/>
      </c>
    </row>
    <row r="170" ht="15" customHeight="1" s="131">
      <c r="A170" s="320" t="n"/>
      <c r="B170" s="323" t="n"/>
      <c r="C170" s="323" t="n"/>
      <c r="D170" s="328" t="n"/>
      <c r="E170" s="328" t="n"/>
      <c r="F170" s="328" t="n"/>
      <c r="G170" s="329">
        <f>IF(COUNTA(A170:C170)=0,"",SUM(H170:J170))</f>
        <v/>
      </c>
      <c r="H170" s="328" t="n"/>
      <c r="I170" s="330" t="n"/>
      <c r="J170" s="331" t="n"/>
      <c r="K170" s="331" t="n"/>
      <c r="L170" s="331" t="n"/>
      <c r="M170" s="332" t="n"/>
      <c r="N170" s="302">
        <f>IF(L170&gt;0,M170/L170,"")</f>
        <v/>
      </c>
      <c r="O170" s="317">
        <f>IF(E170&gt;0,F170/E170*100,"")</f>
        <v/>
      </c>
      <c r="P170" s="275">
        <f>IF(COUNTA(A170:C170)=0,"",IF(OR(A170="",B170="",C170="",D170&lt;0,E170&lt;0,F170&lt;0,H170&lt;0,I170&lt;0,J170&lt;0,K170&lt;0,L170&lt;0),"ERRO: valores inválidos",IF(D170&lt;&gt;E170+K170,"ERRO: total inconsistente",IF(E170&lt;&gt;F170+G170,"ERRO: finalizados inconsistentes",IF(G170&lt;&gt;SUM(H170:J170),"ERRO: reprovações inconsistentes","OK")))))</f>
        <v/>
      </c>
    </row>
    <row r="171" ht="15" customHeight="1" s="131">
      <c r="A171" s="320" t="n"/>
      <c r="B171" s="323" t="n"/>
      <c r="C171" s="323" t="n"/>
      <c r="D171" s="328" t="n"/>
      <c r="E171" s="328" t="n"/>
      <c r="F171" s="328" t="n"/>
      <c r="G171" s="329">
        <f>IF(COUNTA(A171:C171)=0,"",SUM(H171:J171))</f>
        <v/>
      </c>
      <c r="H171" s="328" t="n"/>
      <c r="I171" s="330" t="n"/>
      <c r="J171" s="331" t="n"/>
      <c r="K171" s="331" t="n"/>
      <c r="L171" s="331" t="n"/>
      <c r="M171" s="332" t="n"/>
      <c r="N171" s="302">
        <f>IF(L171&gt;0,M171/L171,"")</f>
        <v/>
      </c>
      <c r="O171" s="317">
        <f>IF(E171&gt;0,F171/E171*100,"")</f>
        <v/>
      </c>
      <c r="P171" s="275">
        <f>IF(COUNTA(A171:C171)=0,"",IF(OR(A171="",B171="",C171="",D171&lt;0,E171&lt;0,F171&lt;0,H171&lt;0,I171&lt;0,J171&lt;0,K171&lt;0,L171&lt;0),"ERRO: valores inválidos",IF(D171&lt;&gt;E171+K171,"ERRO: total inconsistente",IF(E171&lt;&gt;F171+G171,"ERRO: finalizados inconsistentes",IF(G171&lt;&gt;SUM(H171:J171),"ERRO: reprovações inconsistentes","OK")))))</f>
        <v/>
      </c>
    </row>
    <row r="172" ht="15" customHeight="1" s="131">
      <c r="A172" s="320" t="n"/>
      <c r="B172" s="323" t="n"/>
      <c r="C172" s="323" t="n"/>
      <c r="D172" s="328" t="n"/>
      <c r="E172" s="328" t="n"/>
      <c r="F172" s="328" t="n"/>
      <c r="G172" s="329">
        <f>IF(COUNTA(A172:C172)=0,"",SUM(H172:J172))</f>
        <v/>
      </c>
      <c r="H172" s="328" t="n"/>
      <c r="I172" s="330" t="n"/>
      <c r="J172" s="331" t="n"/>
      <c r="K172" s="331" t="n"/>
      <c r="L172" s="331" t="n"/>
      <c r="M172" s="332" t="n"/>
      <c r="N172" s="302">
        <f>IF(L172&gt;0,M172/L172,"")</f>
        <v/>
      </c>
      <c r="O172" s="317">
        <f>IF(E172&gt;0,F172/E172*100,"")</f>
        <v/>
      </c>
      <c r="P172" s="275">
        <f>IF(COUNTA(A172:C172)=0,"",IF(OR(A172="",B172="",C172="",D172&lt;0,E172&lt;0,F172&lt;0,H172&lt;0,I172&lt;0,J172&lt;0,K172&lt;0,L172&lt;0),"ERRO: valores inválidos",IF(D172&lt;&gt;E172+K172,"ERRO: total inconsistente",IF(E172&lt;&gt;F172+G172,"ERRO: finalizados inconsistentes",IF(G172&lt;&gt;SUM(H172:J172),"ERRO: reprovações inconsistentes","OK")))))</f>
        <v/>
      </c>
    </row>
    <row r="173" ht="15" customHeight="1" s="131">
      <c r="A173" s="320" t="n"/>
      <c r="B173" s="323" t="n"/>
      <c r="C173" s="323" t="n"/>
      <c r="D173" s="328" t="n"/>
      <c r="E173" s="328" t="n"/>
      <c r="F173" s="328" t="n"/>
      <c r="G173" s="329">
        <f>IF(COUNTA(A173:C173)=0,"",SUM(H173:J173))</f>
        <v/>
      </c>
      <c r="H173" s="328" t="n"/>
      <c r="I173" s="330" t="n"/>
      <c r="J173" s="331" t="n"/>
      <c r="K173" s="331" t="n"/>
      <c r="L173" s="331" t="n"/>
      <c r="M173" s="332" t="n"/>
      <c r="N173" s="302">
        <f>IF(L173&gt;0,M173/L173,"")</f>
        <v/>
      </c>
      <c r="O173" s="317">
        <f>IF(E173&gt;0,F173/E173*100,"")</f>
        <v/>
      </c>
      <c r="P173" s="275">
        <f>IF(COUNTA(A173:C173)=0,"",IF(OR(A173="",B173="",C173="",D173&lt;0,E173&lt;0,F173&lt;0,H173&lt;0,I173&lt;0,J173&lt;0,K173&lt;0,L173&lt;0),"ERRO: valores inválidos",IF(D173&lt;&gt;E173+K173,"ERRO: total inconsistente",IF(E173&lt;&gt;F173+G173,"ERRO: finalizados inconsistentes",IF(G173&lt;&gt;SUM(H173:J173),"ERRO: reprovações inconsistentes","OK")))))</f>
        <v/>
      </c>
    </row>
    <row r="174" ht="15" customHeight="1" s="131">
      <c r="A174" s="320" t="n"/>
      <c r="B174" s="323" t="n"/>
      <c r="C174" s="323" t="n"/>
      <c r="D174" s="328" t="n"/>
      <c r="E174" s="328" t="n"/>
      <c r="F174" s="328" t="n"/>
      <c r="G174" s="329">
        <f>IF(COUNTA(A174:C174)=0,"",SUM(H174:J174))</f>
        <v/>
      </c>
      <c r="H174" s="328" t="n"/>
      <c r="I174" s="330" t="n"/>
      <c r="J174" s="331" t="n"/>
      <c r="K174" s="331" t="n"/>
      <c r="L174" s="331" t="n"/>
      <c r="M174" s="332" t="n"/>
      <c r="N174" s="302">
        <f>IF(L174&gt;0,M174/L174,"")</f>
        <v/>
      </c>
      <c r="O174" s="317">
        <f>IF(E174&gt;0,F174/E174*100,"")</f>
        <v/>
      </c>
      <c r="P174" s="275">
        <f>IF(COUNTA(A174:C174)=0,"",IF(OR(A174="",B174="",C174="",D174&lt;0,E174&lt;0,F174&lt;0,H174&lt;0,I174&lt;0,J174&lt;0,K174&lt;0,L174&lt;0),"ERRO: valores inválidos",IF(D174&lt;&gt;E174+K174,"ERRO: total inconsistente",IF(E174&lt;&gt;F174+G174,"ERRO: finalizados inconsistentes",IF(G174&lt;&gt;SUM(H174:J174),"ERRO: reprovações inconsistentes","OK")))))</f>
        <v/>
      </c>
    </row>
    <row r="175" ht="15" customHeight="1" s="131">
      <c r="A175" s="320" t="n"/>
      <c r="B175" s="323" t="n"/>
      <c r="C175" s="323" t="n"/>
      <c r="D175" s="328" t="n"/>
      <c r="E175" s="328" t="n"/>
      <c r="F175" s="328" t="n"/>
      <c r="G175" s="329">
        <f>IF(COUNTA(A175:C175)=0,"",SUM(H175:J175))</f>
        <v/>
      </c>
      <c r="H175" s="328" t="n"/>
      <c r="I175" s="330" t="n"/>
      <c r="J175" s="331" t="n"/>
      <c r="K175" s="331" t="n"/>
      <c r="L175" s="331" t="n"/>
      <c r="M175" s="332" t="n"/>
      <c r="N175" s="302">
        <f>IF(L175&gt;0,M175/L175,"")</f>
        <v/>
      </c>
      <c r="O175" s="317">
        <f>IF(E175&gt;0,F175/E175*100,"")</f>
        <v/>
      </c>
      <c r="P175" s="275">
        <f>IF(COUNTA(A175:C175)=0,"",IF(OR(A175="",B175="",C175="",D175&lt;0,E175&lt;0,F175&lt;0,H175&lt;0,I175&lt;0,J175&lt;0,K175&lt;0,L175&lt;0),"ERRO: valores inválidos",IF(D175&lt;&gt;E175+K175,"ERRO: total inconsistente",IF(E175&lt;&gt;F175+G175,"ERRO: finalizados inconsistentes",IF(G175&lt;&gt;SUM(H175:J175),"ERRO: reprovações inconsistentes","OK")))))</f>
        <v/>
      </c>
    </row>
    <row r="176" ht="15" customHeight="1" s="131">
      <c r="A176" s="320" t="n"/>
      <c r="B176" s="323" t="n"/>
      <c r="C176" s="323" t="n"/>
      <c r="D176" s="328" t="n"/>
      <c r="E176" s="328" t="n"/>
      <c r="F176" s="328" t="n"/>
      <c r="G176" s="329">
        <f>IF(COUNTA(A176:C176)=0,"",SUM(H176:J176))</f>
        <v/>
      </c>
      <c r="H176" s="328" t="n"/>
      <c r="I176" s="330" t="n"/>
      <c r="J176" s="331" t="n"/>
      <c r="K176" s="331" t="n"/>
      <c r="L176" s="331" t="n"/>
      <c r="M176" s="332" t="n"/>
      <c r="N176" s="302">
        <f>IF(L176&gt;0,M176/L176,"")</f>
        <v/>
      </c>
      <c r="O176" s="317">
        <f>IF(E176&gt;0,F176/E176*100,"")</f>
        <v/>
      </c>
      <c r="P176" s="275">
        <f>IF(COUNTA(A176:C176)=0,"",IF(OR(A176="",B176="",C176="",D176&lt;0,E176&lt;0,F176&lt;0,H176&lt;0,I176&lt;0,J176&lt;0,K176&lt;0,L176&lt;0),"ERRO: valores inválidos",IF(D176&lt;&gt;E176+K176,"ERRO: total inconsistente",IF(E176&lt;&gt;F176+G176,"ERRO: finalizados inconsistentes",IF(G176&lt;&gt;SUM(H176:J176),"ERRO: reprovações inconsistentes","OK")))))</f>
        <v/>
      </c>
    </row>
    <row r="177" ht="15" customHeight="1" s="131">
      <c r="A177" s="320" t="n"/>
      <c r="B177" s="323" t="n"/>
      <c r="C177" s="323" t="n"/>
      <c r="D177" s="328" t="n"/>
      <c r="E177" s="328" t="n"/>
      <c r="F177" s="328" t="n"/>
      <c r="G177" s="329">
        <f>IF(COUNTA(A177:C177)=0,"",SUM(H177:J177))</f>
        <v/>
      </c>
      <c r="H177" s="328" t="n"/>
      <c r="I177" s="330" t="n"/>
      <c r="J177" s="331" t="n"/>
      <c r="K177" s="331" t="n"/>
      <c r="L177" s="331" t="n"/>
      <c r="M177" s="332" t="n"/>
      <c r="N177" s="302">
        <f>IF(L177&gt;0,M177/L177,"")</f>
        <v/>
      </c>
      <c r="O177" s="317">
        <f>IF(E177&gt;0,F177/E177*100,"")</f>
        <v/>
      </c>
      <c r="P177" s="275">
        <f>IF(COUNTA(A177:C177)=0,"",IF(OR(A177="",B177="",C177="",D177&lt;0,E177&lt;0,F177&lt;0,H177&lt;0,I177&lt;0,J177&lt;0,K177&lt;0,L177&lt;0),"ERRO: valores inválidos",IF(D177&lt;&gt;E177+K177,"ERRO: total inconsistente",IF(E177&lt;&gt;F177+G177,"ERRO: finalizados inconsistentes",IF(G177&lt;&gt;SUM(H177:J177),"ERRO: reprovações inconsistentes","OK")))))</f>
        <v/>
      </c>
    </row>
    <row r="178" ht="15" customHeight="1" s="131">
      <c r="A178" s="320" t="n"/>
      <c r="B178" s="323" t="n"/>
      <c r="C178" s="323" t="n"/>
      <c r="D178" s="328" t="n"/>
      <c r="E178" s="328" t="n"/>
      <c r="F178" s="328" t="n"/>
      <c r="G178" s="329">
        <f>IF(COUNTA(A178:C178)=0,"",SUM(H178:J178))</f>
        <v/>
      </c>
      <c r="H178" s="328" t="n"/>
      <c r="I178" s="330" t="n"/>
      <c r="J178" s="331" t="n"/>
      <c r="K178" s="331" t="n"/>
      <c r="L178" s="331" t="n"/>
      <c r="M178" s="332" t="n"/>
      <c r="N178" s="302">
        <f>IF(L178&gt;0,M178/L178,"")</f>
        <v/>
      </c>
      <c r="O178" s="317">
        <f>IF(E178&gt;0,F178/E178*100,"")</f>
        <v/>
      </c>
      <c r="P178" s="275">
        <f>IF(COUNTA(A178:C178)=0,"",IF(OR(A178="",B178="",C178="",D178&lt;0,E178&lt;0,F178&lt;0,H178&lt;0,I178&lt;0,J178&lt;0,K178&lt;0,L178&lt;0),"ERRO: valores inválidos",IF(D178&lt;&gt;E178+K178,"ERRO: total inconsistente",IF(E178&lt;&gt;F178+G178,"ERRO: finalizados inconsistentes",IF(G178&lt;&gt;SUM(H178:J178),"ERRO: reprovações inconsistentes","OK")))))</f>
        <v/>
      </c>
    </row>
    <row r="179" ht="15" customHeight="1" s="131">
      <c r="A179" s="320" t="n"/>
      <c r="B179" s="323" t="n"/>
      <c r="C179" s="323" t="n"/>
      <c r="D179" s="328" t="n"/>
      <c r="E179" s="328" t="n"/>
      <c r="F179" s="328" t="n"/>
      <c r="G179" s="329">
        <f>IF(COUNTA(A179:C179)=0,"",SUM(H179:J179))</f>
        <v/>
      </c>
      <c r="H179" s="328" t="n"/>
      <c r="I179" s="330" t="n"/>
      <c r="J179" s="331" t="n"/>
      <c r="K179" s="331" t="n"/>
      <c r="L179" s="331" t="n"/>
      <c r="M179" s="332" t="n"/>
      <c r="N179" s="302">
        <f>IF(L179&gt;0,M179/L179,"")</f>
        <v/>
      </c>
      <c r="O179" s="317">
        <f>IF(E179&gt;0,F179/E179*100,"")</f>
        <v/>
      </c>
      <c r="P179" s="275">
        <f>IF(COUNTA(A179:C179)=0,"",IF(OR(A179="",B179="",C179="",D179&lt;0,E179&lt;0,F179&lt;0,H179&lt;0,I179&lt;0,J179&lt;0,K179&lt;0,L179&lt;0),"ERRO: valores inválidos",IF(D179&lt;&gt;E179+K179,"ERRO: total inconsistente",IF(E179&lt;&gt;F179+G179,"ERRO: finalizados inconsistentes",IF(G179&lt;&gt;SUM(H179:J179),"ERRO: reprovações inconsistentes","OK")))))</f>
        <v/>
      </c>
    </row>
    <row r="180" ht="15" customHeight="1" s="131">
      <c r="A180" s="320" t="n"/>
      <c r="B180" s="323" t="n"/>
      <c r="C180" s="323" t="n"/>
      <c r="D180" s="328" t="n"/>
      <c r="E180" s="328" t="n"/>
      <c r="F180" s="328" t="n"/>
      <c r="G180" s="329">
        <f>IF(COUNTA(A180:C180)=0,"",SUM(H180:J180))</f>
        <v/>
      </c>
      <c r="H180" s="328" t="n"/>
      <c r="I180" s="330" t="n"/>
      <c r="J180" s="331" t="n"/>
      <c r="K180" s="331" t="n"/>
      <c r="L180" s="331" t="n"/>
      <c r="M180" s="332" t="n"/>
      <c r="N180" s="302">
        <f>IF(L180&gt;0,M180/L180,"")</f>
        <v/>
      </c>
      <c r="O180" s="317">
        <f>IF(E180&gt;0,F180/E180*100,"")</f>
        <v/>
      </c>
      <c r="P180" s="275">
        <f>IF(COUNTA(A180:C180)=0,"",IF(OR(A180="",B180="",C180="",D180&lt;0,E180&lt;0,F180&lt;0,H180&lt;0,I180&lt;0,J180&lt;0,K180&lt;0,L180&lt;0),"ERRO: valores inválidos",IF(D180&lt;&gt;E180+K180,"ERRO: total inconsistente",IF(E180&lt;&gt;F180+G180,"ERRO: finalizados inconsistentes",IF(G180&lt;&gt;SUM(H180:J180),"ERRO: reprovações inconsistentes","OK")))))</f>
        <v/>
      </c>
    </row>
    <row r="181" ht="15" customHeight="1" s="131">
      <c r="A181" s="320" t="n"/>
      <c r="B181" s="323" t="n"/>
      <c r="C181" s="323" t="n"/>
      <c r="D181" s="328" t="n"/>
      <c r="E181" s="328" t="n"/>
      <c r="F181" s="328" t="n"/>
      <c r="G181" s="329">
        <f>IF(COUNTA(A181:C181)=0,"",SUM(H181:J181))</f>
        <v/>
      </c>
      <c r="H181" s="328" t="n"/>
      <c r="I181" s="330" t="n"/>
      <c r="J181" s="331" t="n"/>
      <c r="K181" s="331" t="n"/>
      <c r="L181" s="331" t="n"/>
      <c r="M181" s="332" t="n"/>
      <c r="N181" s="302">
        <f>IF(L181&gt;0,M181/L181,"")</f>
        <v/>
      </c>
      <c r="O181" s="317">
        <f>IF(E181&gt;0,F181/E181*100,"")</f>
        <v/>
      </c>
      <c r="P181" s="275">
        <f>IF(COUNTA(A181:C181)=0,"",IF(OR(A181="",B181="",C181="",D181&lt;0,E181&lt;0,F181&lt;0,H181&lt;0,I181&lt;0,J181&lt;0,K181&lt;0,L181&lt;0),"ERRO: valores inválidos",IF(D181&lt;&gt;E181+K181,"ERRO: total inconsistente",IF(E181&lt;&gt;F181+G181,"ERRO: finalizados inconsistentes",IF(G181&lt;&gt;SUM(H181:J181),"ERRO: reprovações inconsistentes","OK")))))</f>
        <v/>
      </c>
    </row>
    <row r="182" ht="15" customHeight="1" s="131">
      <c r="A182" s="320" t="n"/>
      <c r="B182" s="323" t="n"/>
      <c r="C182" s="323" t="n"/>
      <c r="D182" s="328" t="n"/>
      <c r="E182" s="328" t="n"/>
      <c r="F182" s="328" t="n"/>
      <c r="G182" s="329">
        <f>IF(COUNTA(A182:C182)=0,"",SUM(H182:J182))</f>
        <v/>
      </c>
      <c r="H182" s="328" t="n"/>
      <c r="I182" s="330" t="n"/>
      <c r="J182" s="331" t="n"/>
      <c r="K182" s="331" t="n"/>
      <c r="L182" s="331" t="n"/>
      <c r="M182" s="332" t="n"/>
      <c r="N182" s="302">
        <f>IF(L182&gt;0,M182/L182,"")</f>
        <v/>
      </c>
      <c r="O182" s="317">
        <f>IF(E182&gt;0,F182/E182*100,"")</f>
        <v/>
      </c>
      <c r="P182" s="275">
        <f>IF(COUNTA(A182:C182)=0,"",IF(OR(A182="",B182="",C182="",D182&lt;0,E182&lt;0,F182&lt;0,H182&lt;0,I182&lt;0,J182&lt;0,K182&lt;0,L182&lt;0),"ERRO: valores inválidos",IF(D182&lt;&gt;E182+K182,"ERRO: total inconsistente",IF(E182&lt;&gt;F182+G182,"ERRO: finalizados inconsistentes",IF(G182&lt;&gt;SUM(H182:J182),"ERRO: reprovações inconsistentes","OK")))))</f>
        <v/>
      </c>
    </row>
    <row r="183" ht="15" customHeight="1" s="131">
      <c r="A183" s="320" t="n"/>
      <c r="B183" s="323" t="n"/>
      <c r="C183" s="323" t="n"/>
      <c r="D183" s="328" t="n"/>
      <c r="E183" s="328" t="n"/>
      <c r="F183" s="328" t="n"/>
      <c r="G183" s="329">
        <f>IF(COUNTA(A183:C183)=0,"",SUM(H183:J183))</f>
        <v/>
      </c>
      <c r="H183" s="328" t="n"/>
      <c r="I183" s="330" t="n"/>
      <c r="J183" s="331" t="n"/>
      <c r="K183" s="331" t="n"/>
      <c r="L183" s="331" t="n"/>
      <c r="M183" s="332" t="n"/>
      <c r="N183" s="302">
        <f>IF(L183&gt;0,M183/L183,"")</f>
        <v/>
      </c>
      <c r="O183" s="317">
        <f>IF(E183&gt;0,F183/E183*100,"")</f>
        <v/>
      </c>
      <c r="P183" s="275">
        <f>IF(COUNTA(A183:C183)=0,"",IF(OR(A183="",B183="",C183="",D183&lt;0,E183&lt;0,F183&lt;0,H183&lt;0,I183&lt;0,J183&lt;0,K183&lt;0,L183&lt;0),"ERRO: valores inválidos",IF(D183&lt;&gt;E183+K183,"ERRO: total inconsistente",IF(E183&lt;&gt;F183+G183,"ERRO: finalizados inconsistentes",IF(G183&lt;&gt;SUM(H183:J183),"ERRO: reprovações inconsistentes","OK")))))</f>
        <v/>
      </c>
    </row>
    <row r="184" ht="15" customHeight="1" s="131">
      <c r="A184" s="320" t="n"/>
      <c r="B184" s="323" t="n"/>
      <c r="C184" s="323" t="n"/>
      <c r="D184" s="328" t="n"/>
      <c r="E184" s="328" t="n"/>
      <c r="F184" s="328" t="n"/>
      <c r="G184" s="329">
        <f>IF(COUNTA(A184:C184)=0,"",SUM(H184:J184))</f>
        <v/>
      </c>
      <c r="H184" s="328" t="n"/>
      <c r="I184" s="330" t="n"/>
      <c r="J184" s="331" t="n"/>
      <c r="K184" s="331" t="n"/>
      <c r="L184" s="331" t="n"/>
      <c r="M184" s="332" t="n"/>
      <c r="N184" s="302">
        <f>IF(L184&gt;0,M184/L184,"")</f>
        <v/>
      </c>
      <c r="O184" s="317">
        <f>IF(E184&gt;0,F184/E184*100,"")</f>
        <v/>
      </c>
      <c r="P184" s="275">
        <f>IF(COUNTA(A184:C184)=0,"",IF(OR(A184="",B184="",C184="",D184&lt;0,E184&lt;0,F184&lt;0,H184&lt;0,I184&lt;0,J184&lt;0,K184&lt;0,L184&lt;0),"ERRO: valores inválidos",IF(D184&lt;&gt;E184+K184,"ERRO: total inconsistente",IF(E184&lt;&gt;F184+G184,"ERRO: finalizados inconsistentes",IF(G184&lt;&gt;SUM(H184:J184),"ERRO: reprovações inconsistentes","OK")))))</f>
        <v/>
      </c>
    </row>
    <row r="185" ht="15" customHeight="1" s="131">
      <c r="A185" s="320" t="n"/>
      <c r="B185" s="323" t="n"/>
      <c r="C185" s="323" t="n"/>
      <c r="D185" s="328" t="n"/>
      <c r="E185" s="328" t="n"/>
      <c r="F185" s="328" t="n"/>
      <c r="G185" s="329">
        <f>IF(COUNTA(A185:C185)=0,"",SUM(H185:J185))</f>
        <v/>
      </c>
      <c r="H185" s="328" t="n"/>
      <c r="I185" s="330" t="n"/>
      <c r="J185" s="331" t="n"/>
      <c r="K185" s="331" t="n"/>
      <c r="L185" s="331" t="n"/>
      <c r="M185" s="332" t="n"/>
      <c r="N185" s="302">
        <f>IF(L185&gt;0,M185/L185,"")</f>
        <v/>
      </c>
      <c r="O185" s="317">
        <f>IF(E185&gt;0,F185/E185*100,"")</f>
        <v/>
      </c>
      <c r="P185" s="275">
        <f>IF(COUNTA(A185:C185)=0,"",IF(OR(A185="",B185="",C185="",D185&lt;0,E185&lt;0,F185&lt;0,H185&lt;0,I185&lt;0,J185&lt;0,K185&lt;0,L185&lt;0),"ERRO: valores inválidos",IF(D185&lt;&gt;E185+K185,"ERRO: total inconsistente",IF(E185&lt;&gt;F185+G185,"ERRO: finalizados inconsistentes",IF(G185&lt;&gt;SUM(H185:J185),"ERRO: reprovações inconsistentes","OK")))))</f>
        <v/>
      </c>
    </row>
    <row r="186" ht="15" customHeight="1" s="131">
      <c r="A186" s="320" t="n"/>
      <c r="B186" s="323" t="n"/>
      <c r="C186" s="323" t="n"/>
      <c r="D186" s="328" t="n"/>
      <c r="E186" s="328" t="n"/>
      <c r="F186" s="328" t="n"/>
      <c r="G186" s="329">
        <f>IF(COUNTA(A186:C186)=0,"",SUM(H186:J186))</f>
        <v/>
      </c>
      <c r="H186" s="328" t="n"/>
      <c r="I186" s="330" t="n"/>
      <c r="J186" s="331" t="n"/>
      <c r="K186" s="331" t="n"/>
      <c r="L186" s="331" t="n"/>
      <c r="M186" s="332" t="n"/>
      <c r="N186" s="302">
        <f>IF(L186&gt;0,M186/L186,"")</f>
        <v/>
      </c>
      <c r="O186" s="317">
        <f>IF(E186&gt;0,F186/E186*100,"")</f>
        <v/>
      </c>
      <c r="P186" s="275">
        <f>IF(COUNTA(A186:C186)=0,"",IF(OR(A186="",B186="",C186="",D186&lt;0,E186&lt;0,F186&lt;0,H186&lt;0,I186&lt;0,J186&lt;0,K186&lt;0,L186&lt;0),"ERRO: valores inválidos",IF(D186&lt;&gt;E186+K186,"ERRO: total inconsistente",IF(E186&lt;&gt;F186+G186,"ERRO: finalizados inconsistentes",IF(G186&lt;&gt;SUM(H186:J186),"ERRO: reprovações inconsistentes","OK")))))</f>
        <v/>
      </c>
    </row>
    <row r="187" ht="15" customHeight="1" s="131">
      <c r="A187" s="320" t="n"/>
      <c r="B187" s="323" t="n"/>
      <c r="C187" s="323" t="n"/>
      <c r="D187" s="328" t="n"/>
      <c r="E187" s="328" t="n"/>
      <c r="F187" s="328" t="n"/>
      <c r="G187" s="329">
        <f>IF(COUNTA(A187:C187)=0,"",SUM(H187:J187))</f>
        <v/>
      </c>
      <c r="H187" s="328" t="n"/>
      <c r="I187" s="330" t="n"/>
      <c r="J187" s="331" t="n"/>
      <c r="K187" s="331" t="n"/>
      <c r="L187" s="331" t="n"/>
      <c r="M187" s="332" t="n"/>
      <c r="N187" s="302">
        <f>IF(L187&gt;0,M187/L187,"")</f>
        <v/>
      </c>
      <c r="O187" s="317">
        <f>IF(E187&gt;0,F187/E187*100,"")</f>
        <v/>
      </c>
      <c r="P187" s="275">
        <f>IF(COUNTA(A187:C187)=0,"",IF(OR(A187="",B187="",C187="",D187&lt;0,E187&lt;0,F187&lt;0,H187&lt;0,I187&lt;0,J187&lt;0,K187&lt;0,L187&lt;0),"ERRO: valores inválidos",IF(D187&lt;&gt;E187+K187,"ERRO: total inconsistente",IF(E187&lt;&gt;F187+G187,"ERRO: finalizados inconsistentes",IF(G187&lt;&gt;SUM(H187:J187),"ERRO: reprovações inconsistentes","OK")))))</f>
        <v/>
      </c>
    </row>
    <row r="188" ht="15" customHeight="1" s="131">
      <c r="A188" s="320" t="n"/>
      <c r="B188" s="323" t="n"/>
      <c r="C188" s="323" t="n"/>
      <c r="D188" s="328" t="n"/>
      <c r="E188" s="328" t="n"/>
      <c r="F188" s="328" t="n"/>
      <c r="G188" s="329">
        <f>IF(COUNTA(A188:C188)=0,"",SUM(H188:J188))</f>
        <v/>
      </c>
      <c r="H188" s="328" t="n"/>
      <c r="I188" s="330" t="n"/>
      <c r="J188" s="331" t="n"/>
      <c r="K188" s="331" t="n"/>
      <c r="L188" s="331" t="n"/>
      <c r="M188" s="332" t="n"/>
      <c r="N188" s="302">
        <f>IF(L188&gt;0,M188/L188,"")</f>
        <v/>
      </c>
      <c r="O188" s="317">
        <f>IF(E188&gt;0,F188/E188*100,"")</f>
        <v/>
      </c>
      <c r="P188" s="275">
        <f>IF(COUNTA(A188:C188)=0,"",IF(OR(A188="",B188="",C188="",D188&lt;0,E188&lt;0,F188&lt;0,H188&lt;0,I188&lt;0,J188&lt;0,K188&lt;0,L188&lt;0),"ERRO: valores inválidos",IF(D188&lt;&gt;E188+K188,"ERRO: total inconsistente",IF(E188&lt;&gt;F188+G188,"ERRO: finalizados inconsistentes",IF(G188&lt;&gt;SUM(H188:J188),"ERRO: reprovações inconsistentes","OK")))))</f>
        <v/>
      </c>
    </row>
    <row r="189" ht="15" customHeight="1" s="131">
      <c r="A189" s="320" t="n"/>
      <c r="B189" s="323" t="n"/>
      <c r="C189" s="323" t="n"/>
      <c r="D189" s="328" t="n"/>
      <c r="E189" s="328" t="n"/>
      <c r="F189" s="328" t="n"/>
      <c r="G189" s="329">
        <f>IF(COUNTA(A189:C189)=0,"",SUM(H189:J189))</f>
        <v/>
      </c>
      <c r="H189" s="328" t="n"/>
      <c r="I189" s="330" t="n"/>
      <c r="J189" s="331" t="n"/>
      <c r="K189" s="331" t="n"/>
      <c r="L189" s="331" t="n"/>
      <c r="M189" s="332" t="n"/>
      <c r="N189" s="302">
        <f>IF(L189&gt;0,M189/L189,"")</f>
        <v/>
      </c>
      <c r="O189" s="317">
        <f>IF(E189&gt;0,F189/E189*100,"")</f>
        <v/>
      </c>
      <c r="P189" s="275">
        <f>IF(COUNTA(A189:C189)=0,"",IF(OR(A189="",B189="",C189="",D189&lt;0,E189&lt;0,F189&lt;0,H189&lt;0,I189&lt;0,J189&lt;0,K189&lt;0,L189&lt;0),"ERRO: valores inválidos",IF(D189&lt;&gt;E189+K189,"ERRO: total inconsistente",IF(E189&lt;&gt;F189+G189,"ERRO: finalizados inconsistentes",IF(G189&lt;&gt;SUM(H189:J189),"ERRO: reprovações inconsistentes","OK")))))</f>
        <v/>
      </c>
    </row>
    <row r="190" ht="15" customHeight="1" s="131">
      <c r="A190" s="320" t="n"/>
      <c r="B190" s="323" t="n"/>
      <c r="C190" s="323" t="n"/>
      <c r="D190" s="328" t="n"/>
      <c r="E190" s="328" t="n"/>
      <c r="F190" s="328" t="n"/>
      <c r="G190" s="329">
        <f>IF(COUNTA(A190:C190)=0,"",SUM(H190:J190))</f>
        <v/>
      </c>
      <c r="H190" s="328" t="n"/>
      <c r="I190" s="330" t="n"/>
      <c r="J190" s="331" t="n"/>
      <c r="K190" s="331" t="n"/>
      <c r="L190" s="331" t="n"/>
      <c r="M190" s="332" t="n"/>
      <c r="N190" s="302">
        <f>IF(L190&gt;0,M190/L190,"")</f>
        <v/>
      </c>
      <c r="O190" s="317">
        <f>IF(E190&gt;0,F190/E190*100,"")</f>
        <v/>
      </c>
      <c r="P190" s="275">
        <f>IF(COUNTA(A190:C190)=0,"",IF(OR(A190="",B190="",C190="",D190&lt;0,E190&lt;0,F190&lt;0,H190&lt;0,I190&lt;0,J190&lt;0,K190&lt;0,L190&lt;0),"ERRO: valores inválidos",IF(D190&lt;&gt;E190+K190,"ERRO: total inconsistente",IF(E190&lt;&gt;F190+G190,"ERRO: finalizados inconsistentes",IF(G190&lt;&gt;SUM(H190:J190),"ERRO: reprovações inconsistentes","OK")))))</f>
        <v/>
      </c>
    </row>
    <row r="191" ht="15" customHeight="1" s="131">
      <c r="A191" s="320" t="n"/>
      <c r="B191" s="323" t="n"/>
      <c r="C191" s="323" t="n"/>
      <c r="D191" s="328" t="n"/>
      <c r="E191" s="328" t="n"/>
      <c r="F191" s="328" t="n"/>
      <c r="G191" s="329">
        <f>IF(COUNTA(A191:C191)=0,"",SUM(H191:J191))</f>
        <v/>
      </c>
      <c r="H191" s="328" t="n"/>
      <c r="I191" s="330" t="n"/>
      <c r="J191" s="331" t="n"/>
      <c r="K191" s="331" t="n"/>
      <c r="L191" s="331" t="n"/>
      <c r="M191" s="332" t="n"/>
      <c r="N191" s="302">
        <f>IF(L191&gt;0,M191/L191,"")</f>
        <v/>
      </c>
      <c r="O191" s="317">
        <f>IF(E191&gt;0,F191/E191*100,"")</f>
        <v/>
      </c>
      <c r="P191" s="275">
        <f>IF(COUNTA(A191:C191)=0,"",IF(OR(A191="",B191="",C191="",D191&lt;0,E191&lt;0,F191&lt;0,H191&lt;0,I191&lt;0,J191&lt;0,K191&lt;0,L191&lt;0),"ERRO: valores inválidos",IF(D191&lt;&gt;E191+K191,"ERRO: total inconsistente",IF(E191&lt;&gt;F191+G191,"ERRO: finalizados inconsistentes",IF(G191&lt;&gt;SUM(H191:J191),"ERRO: reprovações inconsistentes","OK")))))</f>
        <v/>
      </c>
    </row>
    <row r="192" ht="15" customHeight="1" s="131">
      <c r="A192" s="320" t="n"/>
      <c r="B192" s="323" t="n"/>
      <c r="C192" s="323" t="n"/>
      <c r="D192" s="328" t="n"/>
      <c r="E192" s="328" t="n"/>
      <c r="F192" s="328" t="n"/>
      <c r="G192" s="329">
        <f>IF(COUNTA(A192:C192)=0,"",SUM(H192:J192))</f>
        <v/>
      </c>
      <c r="H192" s="328" t="n"/>
      <c r="I192" s="330" t="n"/>
      <c r="J192" s="331" t="n"/>
      <c r="K192" s="331" t="n"/>
      <c r="L192" s="331" t="n"/>
      <c r="M192" s="332" t="n"/>
      <c r="N192" s="302">
        <f>IF(L192&gt;0,M192/L192,"")</f>
        <v/>
      </c>
      <c r="O192" s="317">
        <f>IF(E192&gt;0,F192/E192*100,"")</f>
        <v/>
      </c>
      <c r="P192" s="275">
        <f>IF(COUNTA(A192:C192)=0,"",IF(OR(A192="",B192="",C192="",D192&lt;0,E192&lt;0,F192&lt;0,H192&lt;0,I192&lt;0,J192&lt;0,K192&lt;0,L192&lt;0),"ERRO: valores inválidos",IF(D192&lt;&gt;E192+K192,"ERRO: total inconsistente",IF(E192&lt;&gt;F192+G192,"ERRO: finalizados inconsistentes",IF(G192&lt;&gt;SUM(H192:J192),"ERRO: reprovações inconsistentes","OK")))))</f>
        <v/>
      </c>
    </row>
    <row r="193" ht="15" customHeight="1" s="131">
      <c r="A193" s="320" t="n"/>
      <c r="B193" s="323" t="n"/>
      <c r="C193" s="323" t="n"/>
      <c r="D193" s="328" t="n"/>
      <c r="E193" s="328" t="n"/>
      <c r="F193" s="328" t="n"/>
      <c r="G193" s="329">
        <f>IF(COUNTA(A193:C193)=0,"",SUM(H193:J193))</f>
        <v/>
      </c>
      <c r="H193" s="328" t="n"/>
      <c r="I193" s="330" t="n"/>
      <c r="J193" s="331" t="n"/>
      <c r="K193" s="331" t="n"/>
      <c r="L193" s="331" t="n"/>
      <c r="M193" s="332" t="n"/>
      <c r="N193" s="302">
        <f>IF(L193&gt;0,M193/L193,"")</f>
        <v/>
      </c>
      <c r="O193" s="317">
        <f>IF(E193&gt;0,F193/E193*100,"")</f>
        <v/>
      </c>
      <c r="P193" s="275">
        <f>IF(COUNTA(A193:C193)=0,"",IF(OR(A193="",B193="",C193="",D193&lt;0,E193&lt;0,F193&lt;0,H193&lt;0,I193&lt;0,J193&lt;0,K193&lt;0,L193&lt;0),"ERRO: valores inválidos",IF(D193&lt;&gt;E193+K193,"ERRO: total inconsistente",IF(E193&lt;&gt;F193+G193,"ERRO: finalizados inconsistentes",IF(G193&lt;&gt;SUM(H193:J193),"ERRO: reprovações inconsistentes","OK")))))</f>
        <v/>
      </c>
    </row>
    <row r="194" ht="15" customHeight="1" s="131">
      <c r="A194" s="320" t="n"/>
      <c r="B194" s="323" t="n"/>
      <c r="C194" s="323" t="n"/>
      <c r="D194" s="328" t="n"/>
      <c r="E194" s="328" t="n"/>
      <c r="F194" s="328" t="n"/>
      <c r="G194" s="329">
        <f>IF(COUNTA(A194:C194)=0,"",SUM(H194:J194))</f>
        <v/>
      </c>
      <c r="H194" s="328" t="n"/>
      <c r="I194" s="330" t="n"/>
      <c r="J194" s="331" t="n"/>
      <c r="K194" s="331" t="n"/>
      <c r="L194" s="331" t="n"/>
      <c r="M194" s="332" t="n"/>
      <c r="N194" s="302">
        <f>IF(L194&gt;0,M194/L194,"")</f>
        <v/>
      </c>
      <c r="O194" s="317">
        <f>IF(E194&gt;0,F194/E194*100,"")</f>
        <v/>
      </c>
      <c r="P194" s="275">
        <f>IF(COUNTA(A194:C194)=0,"",IF(OR(A194="",B194="",C194="",D194&lt;0,E194&lt;0,F194&lt;0,H194&lt;0,I194&lt;0,J194&lt;0,K194&lt;0,L194&lt;0),"ERRO: valores inválidos",IF(D194&lt;&gt;E194+K194,"ERRO: total inconsistente",IF(E194&lt;&gt;F194+G194,"ERRO: finalizados inconsistentes",IF(G194&lt;&gt;SUM(H194:J194),"ERRO: reprovações inconsistentes","OK")))))</f>
        <v/>
      </c>
    </row>
    <row r="195" ht="15" customHeight="1" s="131">
      <c r="A195" s="320" t="n"/>
      <c r="B195" s="323" t="n"/>
      <c r="C195" s="323" t="n"/>
      <c r="D195" s="328" t="n"/>
      <c r="E195" s="328" t="n"/>
      <c r="F195" s="328" t="n"/>
      <c r="G195" s="329">
        <f>IF(COUNTA(A195:C195)=0,"",SUM(H195:J195))</f>
        <v/>
      </c>
      <c r="H195" s="328" t="n"/>
      <c r="I195" s="330" t="n"/>
      <c r="J195" s="331" t="n"/>
      <c r="K195" s="331" t="n"/>
      <c r="L195" s="331" t="n"/>
      <c r="M195" s="332" t="n"/>
      <c r="N195" s="302">
        <f>IF(L195&gt;0,M195/L195,"")</f>
        <v/>
      </c>
      <c r="O195" s="317">
        <f>IF(E195&gt;0,F195/E195*100,"")</f>
        <v/>
      </c>
      <c r="P195" s="275">
        <f>IF(COUNTA(A195:C195)=0,"",IF(OR(A195="",B195="",C195="",D195&lt;0,E195&lt;0,F195&lt;0,H195&lt;0,I195&lt;0,J195&lt;0,K195&lt;0,L195&lt;0),"ERRO: valores inválidos",IF(D195&lt;&gt;E195+K195,"ERRO: total inconsistente",IF(E195&lt;&gt;F195+G195,"ERRO: finalizados inconsistentes",IF(G195&lt;&gt;SUM(H195:J195),"ERRO: reprovações inconsistentes","OK")))))</f>
        <v/>
      </c>
    </row>
    <row r="196" ht="15" customHeight="1" s="131">
      <c r="A196" s="320" t="n"/>
      <c r="B196" s="323" t="n"/>
      <c r="C196" s="323" t="n"/>
      <c r="D196" s="328" t="n"/>
      <c r="E196" s="328" t="n"/>
      <c r="F196" s="328" t="n"/>
      <c r="G196" s="329">
        <f>IF(COUNTA(A196:C196)=0,"",SUM(H196:J196))</f>
        <v/>
      </c>
      <c r="H196" s="328" t="n"/>
      <c r="I196" s="330" t="n"/>
      <c r="J196" s="331" t="n"/>
      <c r="K196" s="331" t="n"/>
      <c r="L196" s="331" t="n"/>
      <c r="M196" s="332" t="n"/>
      <c r="N196" s="302">
        <f>IF(L196&gt;0,M196/L196,"")</f>
        <v/>
      </c>
      <c r="O196" s="317">
        <f>IF(E196&gt;0,F196/E196*100,"")</f>
        <v/>
      </c>
      <c r="P196" s="275">
        <f>IF(COUNTA(A196:C196)=0,"",IF(OR(A196="",B196="",C196="",D196&lt;0,E196&lt;0,F196&lt;0,H196&lt;0,I196&lt;0,J196&lt;0,K196&lt;0,L196&lt;0),"ERRO: valores inválidos",IF(D196&lt;&gt;E196+K196,"ERRO: total inconsistente",IF(E196&lt;&gt;F196+G196,"ERRO: finalizados inconsistentes",IF(G196&lt;&gt;SUM(H196:J196),"ERRO: reprovações inconsistentes","OK")))))</f>
        <v/>
      </c>
    </row>
    <row r="197" ht="15" customHeight="1" s="131">
      <c r="A197" s="320" t="n"/>
      <c r="B197" s="323" t="n"/>
      <c r="C197" s="323" t="n"/>
      <c r="D197" s="328" t="n"/>
      <c r="E197" s="328" t="n"/>
      <c r="F197" s="328" t="n"/>
      <c r="G197" s="329">
        <f>IF(COUNTA(A197:C197)=0,"",SUM(H197:J197))</f>
        <v/>
      </c>
      <c r="H197" s="328" t="n"/>
      <c r="I197" s="330" t="n"/>
      <c r="J197" s="331" t="n"/>
      <c r="K197" s="331" t="n"/>
      <c r="L197" s="331" t="n"/>
      <c r="M197" s="332" t="n"/>
      <c r="N197" s="302">
        <f>IF(L197&gt;0,M197/L197,"")</f>
        <v/>
      </c>
      <c r="O197" s="317">
        <f>IF(E197&gt;0,F197/E197*100,"")</f>
        <v/>
      </c>
      <c r="P197" s="275">
        <f>IF(COUNTA(A197:C197)=0,"",IF(OR(A197="",B197="",C197="",D197&lt;0,E197&lt;0,F197&lt;0,H197&lt;0,I197&lt;0,J197&lt;0,K197&lt;0,L197&lt;0),"ERRO: valores inválidos",IF(D197&lt;&gt;E197+K197,"ERRO: total inconsistente",IF(E197&lt;&gt;F197+G197,"ERRO: finalizados inconsistentes",IF(G197&lt;&gt;SUM(H197:J197),"ERRO: reprovações inconsistentes","OK")))))</f>
        <v/>
      </c>
    </row>
    <row r="198" ht="15" customHeight="1" s="131">
      <c r="A198" s="320" t="n"/>
      <c r="B198" s="323" t="n"/>
      <c r="C198" s="323" t="n"/>
      <c r="D198" s="328" t="n"/>
      <c r="E198" s="328" t="n"/>
      <c r="F198" s="328" t="n"/>
      <c r="G198" s="329">
        <f>IF(COUNTA(A198:C198)=0,"",SUM(H198:J198))</f>
        <v/>
      </c>
      <c r="H198" s="328" t="n"/>
      <c r="I198" s="330" t="n"/>
      <c r="J198" s="331" t="n"/>
      <c r="K198" s="331" t="n"/>
      <c r="L198" s="331" t="n"/>
      <c r="M198" s="332" t="n"/>
      <c r="N198" s="302">
        <f>IF(L198&gt;0,M198/L198,"")</f>
        <v/>
      </c>
      <c r="O198" s="317">
        <f>IF(E198&gt;0,F198/E198*100,"")</f>
        <v/>
      </c>
      <c r="P198" s="275">
        <f>IF(COUNTA(A198:C198)=0,"",IF(OR(A198="",B198="",C198="",D198&lt;0,E198&lt;0,F198&lt;0,H198&lt;0,I198&lt;0,J198&lt;0,K198&lt;0,L198&lt;0),"ERRO: valores inválidos",IF(D198&lt;&gt;E198+K198,"ERRO: total inconsistente",IF(E198&lt;&gt;F198+G198,"ERRO: finalizados inconsistentes",IF(G198&lt;&gt;SUM(H198:J198),"ERRO: reprovações inconsistentes","OK")))))</f>
        <v/>
      </c>
    </row>
    <row r="199" ht="15" customHeight="1" s="131">
      <c r="A199" s="320" t="n"/>
      <c r="B199" s="323" t="n"/>
      <c r="C199" s="323" t="n"/>
      <c r="D199" s="328" t="n"/>
      <c r="E199" s="328" t="n"/>
      <c r="F199" s="328" t="n"/>
      <c r="G199" s="329">
        <f>IF(COUNTA(A199:C199)=0,"",SUM(H199:J199))</f>
        <v/>
      </c>
      <c r="H199" s="328" t="n"/>
      <c r="I199" s="330" t="n"/>
      <c r="J199" s="331" t="n"/>
      <c r="K199" s="331" t="n"/>
      <c r="L199" s="331" t="n"/>
      <c r="M199" s="332" t="n"/>
      <c r="N199" s="302">
        <f>IF(L199&gt;0,M199/L199,"")</f>
        <v/>
      </c>
      <c r="O199" s="317">
        <f>IF(E199&gt;0,F199/E199*100,"")</f>
        <v/>
      </c>
      <c r="P199" s="275">
        <f>IF(COUNTA(A199:C199)=0,"",IF(OR(A199="",B199="",C199="",D199&lt;0,E199&lt;0,F199&lt;0,H199&lt;0,I199&lt;0,J199&lt;0,K199&lt;0,L199&lt;0),"ERRO: valores inválidos",IF(D199&lt;&gt;E199+K199,"ERRO: total inconsistente",IF(E199&lt;&gt;F199+G199,"ERRO: finalizados inconsistentes",IF(G199&lt;&gt;SUM(H199:J199),"ERRO: reprovações inconsistentes","OK")))))</f>
        <v/>
      </c>
    </row>
    <row r="200" ht="15" customHeight="1" s="131">
      <c r="A200" s="320" t="n"/>
      <c r="B200" s="323" t="n"/>
      <c r="C200" s="323" t="n"/>
      <c r="D200" s="328" t="n"/>
      <c r="E200" s="328" t="n"/>
      <c r="F200" s="328" t="n"/>
      <c r="G200" s="329">
        <f>IF(COUNTA(A200:C200)=0,"",SUM(H200:J200))</f>
        <v/>
      </c>
      <c r="H200" s="328" t="n"/>
      <c r="I200" s="330" t="n"/>
      <c r="J200" s="331" t="n"/>
      <c r="K200" s="331" t="n"/>
      <c r="L200" s="331" t="n"/>
      <c r="M200" s="332" t="n"/>
      <c r="N200" s="302">
        <f>IF(L200&gt;0,M200/L200,"")</f>
        <v/>
      </c>
      <c r="O200" s="317">
        <f>IF(E200&gt;0,F200/E200*100,"")</f>
        <v/>
      </c>
      <c r="P200" s="275">
        <f>IF(COUNTA(A200:C200)=0,"",IF(OR(A200="",B200="",C200="",D200&lt;0,E200&lt;0,F200&lt;0,H200&lt;0,I200&lt;0,J200&lt;0,K200&lt;0,L200&lt;0),"ERRO: valores inválidos",IF(D200&lt;&gt;E200+K200,"ERRO: total inconsistente",IF(E200&lt;&gt;F200+G200,"ERRO: finalizados inconsistentes",IF(G200&lt;&gt;SUM(H200:J200),"ERRO: reprovações inconsistentes","OK")))))</f>
        <v/>
      </c>
    </row>
    <row r="201" ht="15" customHeight="1" s="131">
      <c r="A201" s="320" t="n"/>
      <c r="B201" s="323" t="n"/>
      <c r="C201" s="323" t="n"/>
      <c r="D201" s="328" t="n"/>
      <c r="E201" s="328" t="n"/>
      <c r="F201" s="328" t="n"/>
      <c r="G201" s="329">
        <f>IF(COUNTA(A201:C201)=0,"",SUM(H201:J201))</f>
        <v/>
      </c>
      <c r="H201" s="328" t="n"/>
      <c r="I201" s="330" t="n"/>
      <c r="J201" s="331" t="n"/>
      <c r="K201" s="331" t="n"/>
      <c r="L201" s="331" t="n"/>
      <c r="M201" s="332" t="n"/>
      <c r="N201" s="302">
        <f>IF(L201&gt;0,M201/L201,"")</f>
        <v/>
      </c>
      <c r="O201" s="317">
        <f>IF(E201&gt;0,F201/E201*100,"")</f>
        <v/>
      </c>
      <c r="P201" s="275">
        <f>IF(COUNTA(A201:C201)=0,"",IF(OR(A201="",B201="",C201="",D201&lt;0,E201&lt;0,F201&lt;0,H201&lt;0,I201&lt;0,J201&lt;0,K201&lt;0,L201&lt;0),"ERRO: valores inválidos",IF(D201&lt;&gt;E201+K201,"ERRO: total inconsistente",IF(E201&lt;&gt;F201+G201,"ERRO: finalizados inconsistentes",IF(G201&lt;&gt;SUM(H201:J201),"ERRO: reprovações inconsistentes","OK")))))</f>
        <v/>
      </c>
    </row>
    <row r="202" ht="15" customHeight="1" s="131">
      <c r="A202" s="320" t="n"/>
      <c r="B202" s="323" t="n"/>
      <c r="C202" s="323" t="n"/>
      <c r="D202" s="328" t="n"/>
      <c r="E202" s="328" t="n"/>
      <c r="F202" s="328" t="n"/>
      <c r="G202" s="329">
        <f>IF(COUNTA(A202:C202)=0,"",SUM(H202:J202))</f>
        <v/>
      </c>
      <c r="H202" s="328" t="n"/>
      <c r="I202" s="330" t="n"/>
      <c r="J202" s="331" t="n"/>
      <c r="K202" s="331" t="n"/>
      <c r="L202" s="331" t="n"/>
      <c r="M202" s="332" t="n"/>
      <c r="N202" s="302">
        <f>IF(L202&gt;0,M202/L202,"")</f>
        <v/>
      </c>
      <c r="O202" s="317">
        <f>IF(E202&gt;0,F202/E202*100,"")</f>
        <v/>
      </c>
      <c r="P202" s="275">
        <f>IF(COUNTA(A202:C202)=0,"",IF(OR(A202="",B202="",C202="",D202&lt;0,E202&lt;0,F202&lt;0,H202&lt;0,I202&lt;0,J202&lt;0,K202&lt;0,L202&lt;0),"ERRO: valores inválidos",IF(D202&lt;&gt;E202+K202,"ERRO: total inconsistente",IF(E202&lt;&gt;F202+G202,"ERRO: finalizados inconsistentes",IF(G202&lt;&gt;SUM(H202:J202),"ERRO: reprovações inconsistentes","OK")))))</f>
        <v/>
      </c>
    </row>
    <row r="203" ht="15" customHeight="1" s="131">
      <c r="A203" s="320" t="n"/>
      <c r="B203" s="323" t="n"/>
      <c r="C203" s="323" t="n"/>
      <c r="D203" s="328" t="n"/>
      <c r="E203" s="328" t="n"/>
      <c r="F203" s="328" t="n"/>
      <c r="G203" s="329">
        <f>IF(COUNTA(A203:C203)=0,"",SUM(H203:J203))</f>
        <v/>
      </c>
      <c r="H203" s="328" t="n"/>
      <c r="I203" s="330" t="n"/>
      <c r="J203" s="331" t="n"/>
      <c r="K203" s="331" t="n"/>
      <c r="L203" s="331" t="n"/>
      <c r="M203" s="332" t="n"/>
      <c r="N203" s="302">
        <f>IF(L203&gt;0,M203/L203,"")</f>
        <v/>
      </c>
      <c r="O203" s="317">
        <f>IF(E203&gt;0,F203/E203*100,"")</f>
        <v/>
      </c>
      <c r="P203" s="275">
        <f>IF(COUNTA(A203:C203)=0,"",IF(OR(A203="",B203="",C203="",D203&lt;0,E203&lt;0,F203&lt;0,H203&lt;0,I203&lt;0,J203&lt;0,K203&lt;0,L203&lt;0),"ERRO: valores inválidos",IF(D203&lt;&gt;E203+K203,"ERRO: total inconsistente",IF(E203&lt;&gt;F203+G203,"ERRO: finalizados inconsistentes",IF(G203&lt;&gt;SUM(H203:J203),"ERRO: reprovações inconsistentes","OK")))))</f>
        <v/>
      </c>
    </row>
    <row r="204" ht="15" customHeight="1" s="131">
      <c r="A204" s="320" t="n"/>
      <c r="B204" s="323" t="n"/>
      <c r="C204" s="323" t="n"/>
      <c r="D204" s="328" t="n"/>
      <c r="E204" s="328" t="n"/>
      <c r="F204" s="328" t="n"/>
      <c r="G204" s="329">
        <f>IF(COUNTA(A204:C204)=0,"",SUM(H204:J204))</f>
        <v/>
      </c>
      <c r="H204" s="328" t="n"/>
      <c r="I204" s="330" t="n"/>
      <c r="J204" s="331" t="n"/>
      <c r="K204" s="331" t="n"/>
      <c r="L204" s="331" t="n"/>
      <c r="M204" s="332" t="n"/>
      <c r="N204" s="302">
        <f>IF(L204&gt;0,M204/L204,"")</f>
        <v/>
      </c>
      <c r="O204" s="317">
        <f>IF(E204&gt;0,F204/E204*100,"")</f>
        <v/>
      </c>
      <c r="P204" s="275">
        <f>IF(COUNTA(A204:C204)=0,"",IF(OR(A204="",B204="",C204="",D204&lt;0,E204&lt;0,F204&lt;0,H204&lt;0,I204&lt;0,J204&lt;0,K204&lt;0,L204&lt;0),"ERRO: valores inválidos",IF(D204&lt;&gt;E204+K204,"ERRO: total inconsistente",IF(E204&lt;&gt;F204+G204,"ERRO: finalizados inconsistentes",IF(G204&lt;&gt;SUM(H204:J204),"ERRO: reprovações inconsistentes","OK")))))</f>
        <v/>
      </c>
    </row>
    <row r="205" ht="15" customHeight="1" s="131">
      <c r="A205" s="320" t="n"/>
      <c r="B205" s="323" t="n"/>
      <c r="C205" s="323" t="n"/>
      <c r="D205" s="328" t="n"/>
      <c r="E205" s="328" t="n"/>
      <c r="F205" s="328" t="n"/>
      <c r="G205" s="329">
        <f>IF(COUNTA(A205:C205)=0,"",SUM(H205:J205))</f>
        <v/>
      </c>
      <c r="H205" s="328" t="n"/>
      <c r="I205" s="330" t="n"/>
      <c r="J205" s="331" t="n"/>
      <c r="K205" s="331" t="n"/>
      <c r="L205" s="331" t="n"/>
      <c r="M205" s="332" t="n"/>
      <c r="N205" s="302">
        <f>IF(L205&gt;0,M205/L205,"")</f>
        <v/>
      </c>
      <c r="O205" s="317">
        <f>IF(E205&gt;0,F205/E205*100,"")</f>
        <v/>
      </c>
      <c r="P205" s="275">
        <f>IF(COUNTA(A205:C205)=0,"",IF(OR(A205="",B205="",C205="",D205&lt;0,E205&lt;0,F205&lt;0,H205&lt;0,I205&lt;0,J205&lt;0,K205&lt;0,L205&lt;0),"ERRO: valores inválidos",IF(D205&lt;&gt;E205+K205,"ERRO: total inconsistente",IF(E205&lt;&gt;F205+G205,"ERRO: finalizados inconsistentes",IF(G205&lt;&gt;SUM(H205:J205),"ERRO: reprovações inconsistentes","OK")))))</f>
        <v/>
      </c>
    </row>
    <row r="206" ht="15" customHeight="1" s="131">
      <c r="A206" s="320" t="n"/>
      <c r="B206" s="323" t="n"/>
      <c r="C206" s="323" t="n"/>
      <c r="D206" s="328" t="n"/>
      <c r="E206" s="328" t="n"/>
      <c r="F206" s="328" t="n"/>
      <c r="G206" s="329">
        <f>IF(COUNTA(A206:C206)=0,"",SUM(H206:J206))</f>
        <v/>
      </c>
      <c r="H206" s="328" t="n"/>
      <c r="I206" s="330" t="n"/>
      <c r="J206" s="331" t="n"/>
      <c r="K206" s="331" t="n"/>
      <c r="L206" s="331" t="n"/>
      <c r="M206" s="332" t="n"/>
      <c r="N206" s="302">
        <f>IF(L206&gt;0,M206/L206,"")</f>
        <v/>
      </c>
      <c r="O206" s="317">
        <f>IF(E206&gt;0,F206/E206*100,"")</f>
        <v/>
      </c>
      <c r="P206" s="275">
        <f>IF(COUNTA(A206:C206)=0,"",IF(OR(A206="",B206="",C206="",D206&lt;0,E206&lt;0,F206&lt;0,H206&lt;0,I206&lt;0,J206&lt;0,K206&lt;0,L206&lt;0),"ERRO: valores inválidos",IF(D206&lt;&gt;E206+K206,"ERRO: total inconsistente",IF(E206&lt;&gt;F206+G206,"ERRO: finalizados inconsistentes",IF(G206&lt;&gt;SUM(H206:J206),"ERRO: reprovações inconsistentes","OK")))))</f>
        <v/>
      </c>
    </row>
    <row r="207" ht="15" customHeight="1" s="131">
      <c r="A207" s="320" t="n"/>
      <c r="B207" s="323" t="n"/>
      <c r="C207" s="323" t="n"/>
      <c r="D207" s="328" t="n"/>
      <c r="E207" s="328" t="n"/>
      <c r="F207" s="328" t="n"/>
      <c r="G207" s="329">
        <f>IF(COUNTA(A207:C207)=0,"",SUM(H207:J207))</f>
        <v/>
      </c>
      <c r="H207" s="328" t="n"/>
      <c r="I207" s="330" t="n"/>
      <c r="J207" s="331" t="n"/>
      <c r="K207" s="331" t="n"/>
      <c r="L207" s="331" t="n"/>
      <c r="M207" s="332" t="n"/>
      <c r="N207" s="302">
        <f>IF(L207&gt;0,M207/L207,"")</f>
        <v/>
      </c>
      <c r="O207" s="317">
        <f>IF(E207&gt;0,F207/E207*100,"")</f>
        <v/>
      </c>
      <c r="P207" s="275">
        <f>IF(COUNTA(A207:C207)=0,"",IF(OR(A207="",B207="",C207="",D207&lt;0,E207&lt;0,F207&lt;0,H207&lt;0,I207&lt;0,J207&lt;0,K207&lt;0,L207&lt;0),"ERRO: valores inválidos",IF(D207&lt;&gt;E207+K207,"ERRO: total inconsistente",IF(E207&lt;&gt;F207+G207,"ERRO: finalizados inconsistentes",IF(G207&lt;&gt;SUM(H207:J207),"ERRO: reprovações inconsistentes","OK")))))</f>
        <v/>
      </c>
    </row>
    <row r="208" ht="15" customHeight="1" s="131">
      <c r="A208" s="320" t="n"/>
      <c r="B208" s="323" t="n"/>
      <c r="C208" s="323" t="n"/>
      <c r="D208" s="328" t="n"/>
      <c r="E208" s="328" t="n"/>
      <c r="F208" s="328" t="n"/>
      <c r="G208" s="329">
        <f>IF(COUNTA(A208:C208)=0,"",SUM(H208:J208))</f>
        <v/>
      </c>
      <c r="H208" s="328" t="n"/>
      <c r="I208" s="330" t="n"/>
      <c r="J208" s="331" t="n"/>
      <c r="K208" s="331" t="n"/>
      <c r="L208" s="331" t="n"/>
      <c r="M208" s="332" t="n"/>
      <c r="N208" s="302">
        <f>IF(L208&gt;0,M208/L208,"")</f>
        <v/>
      </c>
      <c r="O208" s="317">
        <f>IF(E208&gt;0,F208/E208*100,"")</f>
        <v/>
      </c>
      <c r="P208" s="275">
        <f>IF(COUNTA(A208:C208)=0,"",IF(OR(A208="",B208="",C208="",D208&lt;0,E208&lt;0,F208&lt;0,H208&lt;0,I208&lt;0,J208&lt;0,K208&lt;0,L208&lt;0),"ERRO: valores inválidos",IF(D208&lt;&gt;E208+K208,"ERRO: total inconsistente",IF(E208&lt;&gt;F208+G208,"ERRO: finalizados inconsistentes",IF(G208&lt;&gt;SUM(H208:J208),"ERRO: reprovações inconsistentes","OK")))))</f>
        <v/>
      </c>
    </row>
    <row r="209" ht="15" customHeight="1" s="131">
      <c r="A209" s="320" t="n"/>
      <c r="B209" s="323" t="n"/>
      <c r="C209" s="323" t="n"/>
      <c r="D209" s="328" t="n"/>
      <c r="E209" s="328" t="n"/>
      <c r="F209" s="328" t="n"/>
      <c r="G209" s="329">
        <f>IF(COUNTA(A209:C209)=0,"",SUM(H209:J209))</f>
        <v/>
      </c>
      <c r="H209" s="328" t="n"/>
      <c r="I209" s="330" t="n"/>
      <c r="J209" s="331" t="n"/>
      <c r="K209" s="331" t="n"/>
      <c r="L209" s="331" t="n"/>
      <c r="M209" s="332" t="n"/>
      <c r="N209" s="302">
        <f>IF(L209&gt;0,M209/L209,"")</f>
        <v/>
      </c>
      <c r="O209" s="317">
        <f>IF(E209&gt;0,F209/E209*100,"")</f>
        <v/>
      </c>
      <c r="P209" s="275">
        <f>IF(COUNTA(A209:C209)=0,"",IF(OR(A209="",B209="",C209="",D209&lt;0,E209&lt;0,F209&lt;0,H209&lt;0,I209&lt;0,J209&lt;0,K209&lt;0,L209&lt;0),"ERRO: valores inválidos",IF(D209&lt;&gt;E209+K209,"ERRO: total inconsistente",IF(E209&lt;&gt;F209+G209,"ERRO: finalizados inconsistentes",IF(G209&lt;&gt;SUM(H209:J209),"ERRO: reprovações inconsistentes","OK")))))</f>
        <v/>
      </c>
    </row>
    <row r="210" ht="15" customHeight="1" s="131">
      <c r="A210" s="320" t="n"/>
      <c r="B210" s="323" t="n"/>
      <c r="C210" s="323" t="n"/>
      <c r="D210" s="328" t="n"/>
      <c r="E210" s="328" t="n"/>
      <c r="F210" s="328" t="n"/>
      <c r="G210" s="329">
        <f>IF(COUNTA(A210:C210)=0,"",SUM(H210:J210))</f>
        <v/>
      </c>
      <c r="H210" s="328" t="n"/>
      <c r="I210" s="330" t="n"/>
      <c r="J210" s="331" t="n"/>
      <c r="K210" s="331" t="n"/>
      <c r="L210" s="331" t="n"/>
      <c r="M210" s="332" t="n"/>
      <c r="N210" s="302">
        <f>IF(L210&gt;0,M210/L210,"")</f>
        <v/>
      </c>
      <c r="O210" s="317">
        <f>IF(E210&gt;0,F210/E210*100,"")</f>
        <v/>
      </c>
      <c r="P210" s="275">
        <f>IF(COUNTA(A210:C210)=0,"",IF(OR(A210="",B210="",C210="",D210&lt;0,E210&lt;0,F210&lt;0,H210&lt;0,I210&lt;0,J210&lt;0,K210&lt;0,L210&lt;0),"ERRO: valores inválidos",IF(D210&lt;&gt;E210+K210,"ERRO: total inconsistente",IF(E210&lt;&gt;F210+G210,"ERRO: finalizados inconsistentes",IF(G210&lt;&gt;SUM(H210:J210),"ERRO: reprovações inconsistentes","OK")))))</f>
        <v/>
      </c>
    </row>
    <row r="211" ht="15" customHeight="1" s="131">
      <c r="A211" s="320" t="n"/>
      <c r="B211" s="323" t="n"/>
      <c r="C211" s="323" t="n"/>
      <c r="D211" s="328" t="n"/>
      <c r="E211" s="328" t="n"/>
      <c r="F211" s="328" t="n"/>
      <c r="G211" s="329">
        <f>IF(COUNTA(A211:C211)=0,"",SUM(H211:J211))</f>
        <v/>
      </c>
      <c r="H211" s="328" t="n"/>
      <c r="I211" s="330" t="n"/>
      <c r="J211" s="331" t="n"/>
      <c r="K211" s="331" t="n"/>
      <c r="L211" s="331" t="n"/>
      <c r="M211" s="332" t="n"/>
      <c r="N211" s="302">
        <f>IF(L211&gt;0,M211/L211,"")</f>
        <v/>
      </c>
      <c r="O211" s="317">
        <f>IF(E211&gt;0,F211/E211*100,"")</f>
        <v/>
      </c>
      <c r="P211" s="275">
        <f>IF(COUNTA(A211:C211)=0,"",IF(OR(A211="",B211="",C211="",D211&lt;0,E211&lt;0,F211&lt;0,H211&lt;0,I211&lt;0,J211&lt;0,K211&lt;0,L211&lt;0),"ERRO: valores inválidos",IF(D211&lt;&gt;E211+K211,"ERRO: total inconsistente",IF(E211&lt;&gt;F211+G211,"ERRO: finalizados inconsistentes",IF(G211&lt;&gt;SUM(H211:J211),"ERRO: reprovações inconsistentes","OK")))))</f>
        <v/>
      </c>
    </row>
    <row r="212" ht="15" customHeight="1" s="131">
      <c r="A212" s="320" t="n"/>
      <c r="B212" s="323" t="n"/>
      <c r="C212" s="323" t="n"/>
      <c r="D212" s="328" t="n"/>
      <c r="E212" s="328" t="n"/>
      <c r="F212" s="328" t="n"/>
      <c r="G212" s="329">
        <f>IF(COUNTA(A212:C212)=0,"",SUM(H212:J212))</f>
        <v/>
      </c>
      <c r="H212" s="328" t="n"/>
      <c r="I212" s="330" t="n"/>
      <c r="J212" s="331" t="n"/>
      <c r="K212" s="331" t="n"/>
      <c r="L212" s="331" t="n"/>
      <c r="M212" s="332" t="n"/>
      <c r="N212" s="302">
        <f>IF(L212&gt;0,M212/L212,"")</f>
        <v/>
      </c>
      <c r="O212" s="317">
        <f>IF(E212&gt;0,F212/E212*100,"")</f>
        <v/>
      </c>
      <c r="P212" s="275">
        <f>IF(COUNTA(A212:C212)=0,"",IF(OR(A212="",B212="",C212="",D212&lt;0,E212&lt;0,F212&lt;0,H212&lt;0,I212&lt;0,J212&lt;0,K212&lt;0,L212&lt;0),"ERRO: valores inválidos",IF(D212&lt;&gt;E212+K212,"ERRO: total inconsistente",IF(E212&lt;&gt;F212+G212,"ERRO: finalizados inconsistentes",IF(G212&lt;&gt;SUM(H212:J212),"ERRO: reprovações inconsistentes","OK")))))</f>
        <v/>
      </c>
    </row>
    <row r="213" ht="15" customHeight="1" s="131">
      <c r="A213" s="320" t="n"/>
      <c r="B213" s="323" t="n"/>
      <c r="C213" s="323" t="n"/>
      <c r="D213" s="328" t="n"/>
      <c r="E213" s="328" t="n"/>
      <c r="F213" s="328" t="n"/>
      <c r="G213" s="329">
        <f>IF(COUNTA(A213:C213)=0,"",SUM(H213:J213))</f>
        <v/>
      </c>
      <c r="H213" s="328" t="n"/>
      <c r="I213" s="330" t="n"/>
      <c r="J213" s="331" t="n"/>
      <c r="K213" s="331" t="n"/>
      <c r="L213" s="331" t="n"/>
      <c r="M213" s="332" t="n"/>
      <c r="N213" s="302">
        <f>IF(L213&gt;0,M213/L213,"")</f>
        <v/>
      </c>
      <c r="O213" s="317">
        <f>IF(E213&gt;0,F213/E213*100,"")</f>
        <v/>
      </c>
      <c r="P213" s="275">
        <f>IF(COUNTA(A213:C213)=0,"",IF(OR(A213="",B213="",C213="",D213&lt;0,E213&lt;0,F213&lt;0,H213&lt;0,I213&lt;0,J213&lt;0,K213&lt;0,L213&lt;0),"ERRO: valores inválidos",IF(D213&lt;&gt;E213+K213,"ERRO: total inconsistente",IF(E213&lt;&gt;F213+G213,"ERRO: finalizados inconsistentes",IF(G213&lt;&gt;SUM(H213:J213),"ERRO: reprovações inconsistentes","OK")))))</f>
        <v/>
      </c>
    </row>
    <row r="214" ht="15" customHeight="1" s="131">
      <c r="A214" s="320" t="n"/>
      <c r="B214" s="323" t="n"/>
      <c r="C214" s="323" t="n"/>
      <c r="D214" s="328" t="n"/>
      <c r="E214" s="328" t="n"/>
      <c r="F214" s="328" t="n"/>
      <c r="G214" s="329">
        <f>IF(COUNTA(A214:C214)=0,"",SUM(H214:J214))</f>
        <v/>
      </c>
      <c r="H214" s="328" t="n"/>
      <c r="I214" s="330" t="n"/>
      <c r="J214" s="331" t="n"/>
      <c r="K214" s="331" t="n"/>
      <c r="L214" s="331" t="n"/>
      <c r="M214" s="332" t="n"/>
      <c r="N214" s="302">
        <f>IF(L214&gt;0,M214/L214,"")</f>
        <v/>
      </c>
      <c r="O214" s="317">
        <f>IF(E214&gt;0,F214/E214*100,"")</f>
        <v/>
      </c>
      <c r="P214" s="275">
        <f>IF(COUNTA(A214:C214)=0,"",IF(OR(A214="",B214="",C214="",D214&lt;0,E214&lt;0,F214&lt;0,H214&lt;0,I214&lt;0,J214&lt;0,K214&lt;0,L214&lt;0),"ERRO: valores inválidos",IF(D214&lt;&gt;E214+K214,"ERRO: total inconsistente",IF(E214&lt;&gt;F214+G214,"ERRO: finalizados inconsistentes",IF(G214&lt;&gt;SUM(H214:J214),"ERRO: reprovações inconsistentes","OK")))))</f>
        <v/>
      </c>
    </row>
    <row r="215" ht="15" customHeight="1" s="131">
      <c r="A215" s="320" t="n"/>
      <c r="B215" s="323" t="n"/>
      <c r="C215" s="323" t="n"/>
      <c r="D215" s="328" t="n"/>
      <c r="E215" s="328" t="n"/>
      <c r="F215" s="328" t="n"/>
      <c r="G215" s="329">
        <f>IF(COUNTA(A215:C215)=0,"",SUM(H215:J215))</f>
        <v/>
      </c>
      <c r="H215" s="328" t="n"/>
      <c r="I215" s="330" t="n"/>
      <c r="J215" s="331" t="n"/>
      <c r="K215" s="331" t="n"/>
      <c r="L215" s="331" t="n"/>
      <c r="M215" s="332" t="n"/>
      <c r="N215" s="302">
        <f>IF(L215&gt;0,M215/L215,"")</f>
        <v/>
      </c>
      <c r="O215" s="317">
        <f>IF(E215&gt;0,F215/E215*100,"")</f>
        <v/>
      </c>
      <c r="P215" s="275">
        <f>IF(COUNTA(A215:C215)=0,"",IF(OR(A215="",B215="",C215="",D215&lt;0,E215&lt;0,F215&lt;0,H215&lt;0,I215&lt;0,J215&lt;0,K215&lt;0,L215&lt;0),"ERRO: valores inválidos",IF(D215&lt;&gt;E215+K215,"ERRO: total inconsistente",IF(E215&lt;&gt;F215+G215,"ERRO: finalizados inconsistentes",IF(G215&lt;&gt;SUM(H215:J215),"ERRO: reprovações inconsistentes","OK")))))</f>
        <v/>
      </c>
    </row>
    <row r="216" ht="15" customHeight="1" s="131">
      <c r="A216" s="320" t="n"/>
      <c r="B216" s="323" t="n"/>
      <c r="C216" s="323" t="n"/>
      <c r="D216" s="328" t="n"/>
      <c r="E216" s="328" t="n"/>
      <c r="F216" s="328" t="n"/>
      <c r="G216" s="329">
        <f>IF(COUNTA(A216:C216)=0,"",SUM(H216:J216))</f>
        <v/>
      </c>
      <c r="H216" s="328" t="n"/>
      <c r="I216" s="330" t="n"/>
      <c r="J216" s="331" t="n"/>
      <c r="K216" s="331" t="n"/>
      <c r="L216" s="331" t="n"/>
      <c r="M216" s="332" t="n"/>
      <c r="N216" s="302">
        <f>IF(L216&gt;0,M216/L216,"")</f>
        <v/>
      </c>
      <c r="O216" s="317">
        <f>IF(E216&gt;0,F216/E216*100,"")</f>
        <v/>
      </c>
      <c r="P216" s="275">
        <f>IF(COUNTA(A216:C216)=0,"",IF(OR(A216="",B216="",C216="",D216&lt;0,E216&lt;0,F216&lt;0,H216&lt;0,I216&lt;0,J216&lt;0,K216&lt;0,L216&lt;0),"ERRO: valores inválidos",IF(D216&lt;&gt;E216+K216,"ERRO: total inconsistente",IF(E216&lt;&gt;F216+G216,"ERRO: finalizados inconsistentes",IF(G216&lt;&gt;SUM(H216:J216),"ERRO: reprovações inconsistentes","OK")))))</f>
        <v/>
      </c>
    </row>
    <row r="217" ht="15" customHeight="1" s="131">
      <c r="A217" s="320" t="n"/>
      <c r="B217" s="323" t="n"/>
      <c r="C217" s="323" t="n"/>
      <c r="D217" s="328" t="n"/>
      <c r="E217" s="328" t="n"/>
      <c r="F217" s="328" t="n"/>
      <c r="G217" s="329">
        <f>IF(COUNTA(A217:C217)=0,"",SUM(H217:J217))</f>
        <v/>
      </c>
      <c r="H217" s="328" t="n"/>
      <c r="I217" s="330" t="n"/>
      <c r="J217" s="331" t="n"/>
      <c r="K217" s="331" t="n"/>
      <c r="L217" s="331" t="n"/>
      <c r="M217" s="332" t="n"/>
      <c r="N217" s="302">
        <f>IF(L217&gt;0,M217/L217,"")</f>
        <v/>
      </c>
      <c r="O217" s="317">
        <f>IF(E217&gt;0,F217/E217*100,"")</f>
        <v/>
      </c>
      <c r="P217" s="275">
        <f>IF(COUNTA(A217:C217)=0,"",IF(OR(A217="",B217="",C217="",D217&lt;0,E217&lt;0,F217&lt;0,H217&lt;0,I217&lt;0,J217&lt;0,K217&lt;0,L217&lt;0),"ERRO: valores inválidos",IF(D217&lt;&gt;E217+K217,"ERRO: total inconsistente",IF(E217&lt;&gt;F217+G217,"ERRO: finalizados inconsistentes",IF(G217&lt;&gt;SUM(H217:J217),"ERRO: reprovações inconsistentes","OK")))))</f>
        <v/>
      </c>
    </row>
    <row r="218" ht="15" customHeight="1" s="131">
      <c r="A218" s="320" t="n"/>
      <c r="B218" s="323" t="n"/>
      <c r="C218" s="323" t="n"/>
      <c r="D218" s="328" t="n"/>
      <c r="E218" s="328" t="n"/>
      <c r="F218" s="328" t="n"/>
      <c r="G218" s="329">
        <f>IF(COUNTA(A218:C218)=0,"",SUM(H218:J218))</f>
        <v/>
      </c>
      <c r="H218" s="328" t="n"/>
      <c r="I218" s="330" t="n"/>
      <c r="J218" s="331" t="n"/>
      <c r="K218" s="331" t="n"/>
      <c r="L218" s="331" t="n"/>
      <c r="M218" s="332" t="n"/>
      <c r="N218" s="302">
        <f>IF(L218&gt;0,M218/L218,"")</f>
        <v/>
      </c>
      <c r="O218" s="317">
        <f>IF(E218&gt;0,F218/E218*100,"")</f>
        <v/>
      </c>
      <c r="P218" s="275">
        <f>IF(COUNTA(A218:C218)=0,"",IF(OR(A218="",B218="",C218="",D218&lt;0,E218&lt;0,F218&lt;0,H218&lt;0,I218&lt;0,J218&lt;0,K218&lt;0,L218&lt;0),"ERRO: valores inválidos",IF(D218&lt;&gt;E218+K218,"ERRO: total inconsistente",IF(E218&lt;&gt;F218+G218,"ERRO: finalizados inconsistentes",IF(G218&lt;&gt;SUM(H218:J218),"ERRO: reprovações inconsistentes","OK")))))</f>
        <v/>
      </c>
    </row>
    <row r="219" ht="15" customHeight="1" s="131">
      <c r="A219" s="320" t="n"/>
      <c r="B219" s="323" t="n"/>
      <c r="C219" s="323" t="n"/>
      <c r="D219" s="328" t="n"/>
      <c r="E219" s="328" t="n"/>
      <c r="F219" s="328" t="n"/>
      <c r="G219" s="329">
        <f>IF(COUNTA(A219:C219)=0,"",SUM(H219:J219))</f>
        <v/>
      </c>
      <c r="H219" s="328" t="n"/>
      <c r="I219" s="330" t="n"/>
      <c r="J219" s="331" t="n"/>
      <c r="K219" s="331" t="n"/>
      <c r="L219" s="331" t="n"/>
      <c r="M219" s="332" t="n"/>
      <c r="N219" s="302">
        <f>IF(L219&gt;0,M219/L219,"")</f>
        <v/>
      </c>
      <c r="O219" s="317">
        <f>IF(E219&gt;0,F219/E219*100,"")</f>
        <v/>
      </c>
      <c r="P219" s="275">
        <f>IF(COUNTA(A219:C219)=0,"",IF(OR(A219="",B219="",C219="",D219&lt;0,E219&lt;0,F219&lt;0,H219&lt;0,I219&lt;0,J219&lt;0,K219&lt;0,L219&lt;0),"ERRO: valores inválidos",IF(D219&lt;&gt;E219+K219,"ERRO: total inconsistente",IF(E219&lt;&gt;F219+G219,"ERRO: finalizados inconsistentes",IF(G219&lt;&gt;SUM(H219:J219),"ERRO: reprovações inconsistentes","OK")))))</f>
        <v/>
      </c>
    </row>
    <row r="220" ht="15" customHeight="1" s="131">
      <c r="A220" s="320" t="n"/>
      <c r="B220" s="323" t="n"/>
      <c r="C220" s="323" t="n"/>
      <c r="D220" s="328" t="n"/>
      <c r="E220" s="328" t="n"/>
      <c r="F220" s="328" t="n"/>
      <c r="G220" s="329">
        <f>IF(COUNTA(A220:C220)=0,"",SUM(H220:J220))</f>
        <v/>
      </c>
      <c r="H220" s="328" t="n"/>
      <c r="I220" s="330" t="n"/>
      <c r="J220" s="331" t="n"/>
      <c r="K220" s="331" t="n"/>
      <c r="L220" s="331" t="n"/>
      <c r="M220" s="332" t="n"/>
      <c r="N220" s="302">
        <f>IF(L220&gt;0,M220/L220,"")</f>
        <v/>
      </c>
      <c r="O220" s="317">
        <f>IF(E220&gt;0,F220/E220*100,"")</f>
        <v/>
      </c>
      <c r="P220" s="275">
        <f>IF(COUNTA(A220:C220)=0,"",IF(OR(A220="",B220="",C220="",D220&lt;0,E220&lt;0,F220&lt;0,H220&lt;0,I220&lt;0,J220&lt;0,K220&lt;0,L220&lt;0),"ERRO: valores inválidos",IF(D220&lt;&gt;E220+K220,"ERRO: total inconsistente",IF(E220&lt;&gt;F220+G220,"ERRO: finalizados inconsistentes",IF(G220&lt;&gt;SUM(H220:J220),"ERRO: reprovações inconsistentes","OK")))))</f>
        <v/>
      </c>
    </row>
    <row r="221" ht="15" customHeight="1" s="131">
      <c r="A221" s="320" t="n"/>
      <c r="B221" s="323" t="n"/>
      <c r="C221" s="323" t="n"/>
      <c r="D221" s="328" t="n"/>
      <c r="E221" s="328" t="n"/>
      <c r="F221" s="328" t="n"/>
      <c r="G221" s="329">
        <f>IF(COUNTA(A221:C221)=0,"",SUM(H221:J221))</f>
        <v/>
      </c>
      <c r="H221" s="328" t="n"/>
      <c r="I221" s="330" t="n"/>
      <c r="J221" s="331" t="n"/>
      <c r="K221" s="331" t="n"/>
      <c r="L221" s="331" t="n"/>
      <c r="M221" s="332" t="n"/>
      <c r="N221" s="302">
        <f>IF(L221&gt;0,M221/L221,"")</f>
        <v/>
      </c>
      <c r="O221" s="317">
        <f>IF(E221&gt;0,F221/E221*100,"")</f>
        <v/>
      </c>
      <c r="P221" s="275">
        <f>IF(COUNTA(A221:C221)=0,"",IF(OR(A221="",B221="",C221="",D221&lt;0,E221&lt;0,F221&lt;0,H221&lt;0,I221&lt;0,J221&lt;0,K221&lt;0,L221&lt;0),"ERRO: valores inválidos",IF(D221&lt;&gt;E221+K221,"ERRO: total inconsistente",IF(E221&lt;&gt;F221+G221,"ERRO: finalizados inconsistentes",IF(G221&lt;&gt;SUM(H221:J221),"ERRO: reprovações inconsistentes","OK")))))</f>
        <v/>
      </c>
    </row>
    <row r="222" ht="15" customHeight="1" s="131">
      <c r="A222" s="320" t="n"/>
      <c r="B222" s="323" t="n"/>
      <c r="C222" s="323" t="n"/>
      <c r="D222" s="328" t="n"/>
      <c r="E222" s="328" t="n"/>
      <c r="F222" s="328" t="n"/>
      <c r="G222" s="329">
        <f>IF(COUNTA(A222:C222)=0,"",SUM(H222:J222))</f>
        <v/>
      </c>
      <c r="H222" s="328" t="n"/>
      <c r="I222" s="330" t="n"/>
      <c r="J222" s="331" t="n"/>
      <c r="K222" s="331" t="n"/>
      <c r="L222" s="331" t="n"/>
      <c r="M222" s="332" t="n"/>
      <c r="N222" s="302">
        <f>IF(L222&gt;0,M222/L222,"")</f>
        <v/>
      </c>
      <c r="O222" s="317">
        <f>IF(E222&gt;0,F222/E222*100,"")</f>
        <v/>
      </c>
      <c r="P222" s="275">
        <f>IF(COUNTA(A222:C222)=0,"",IF(OR(A222="",B222="",C222="",D222&lt;0,E222&lt;0,F222&lt;0,H222&lt;0,I222&lt;0,J222&lt;0,K222&lt;0,L222&lt;0),"ERRO: valores inválidos",IF(D222&lt;&gt;E222+K222,"ERRO: total inconsistente",IF(E222&lt;&gt;F222+G222,"ERRO: finalizados inconsistentes",IF(G222&lt;&gt;SUM(H222:J222),"ERRO: reprovações inconsistentes","OK")))))</f>
        <v/>
      </c>
    </row>
    <row r="223" ht="15" customHeight="1" s="131">
      <c r="A223" s="320" t="n"/>
      <c r="B223" s="323" t="n"/>
      <c r="C223" s="323" t="n"/>
      <c r="D223" s="328" t="n"/>
      <c r="E223" s="328" t="n"/>
      <c r="F223" s="328" t="n"/>
      <c r="G223" s="329">
        <f>IF(COUNTA(A223:C223)=0,"",SUM(H223:J223))</f>
        <v/>
      </c>
      <c r="H223" s="328" t="n"/>
      <c r="I223" s="330" t="n"/>
      <c r="J223" s="331" t="n"/>
      <c r="K223" s="331" t="n"/>
      <c r="L223" s="331" t="n"/>
      <c r="M223" s="332" t="n"/>
      <c r="N223" s="302">
        <f>IF(L223&gt;0,M223/L223,"")</f>
        <v/>
      </c>
      <c r="O223" s="317">
        <f>IF(E223&gt;0,F223/E223*100,"")</f>
        <v/>
      </c>
      <c r="P223" s="275">
        <f>IF(COUNTA(A223:C223)=0,"",IF(OR(A223="",B223="",C223="",D223&lt;0,E223&lt;0,F223&lt;0,H223&lt;0,I223&lt;0,J223&lt;0,K223&lt;0,L223&lt;0),"ERRO: valores inválidos",IF(D223&lt;&gt;E223+K223,"ERRO: total inconsistente",IF(E223&lt;&gt;F223+G223,"ERRO: finalizados inconsistentes",IF(G223&lt;&gt;SUM(H223:J223),"ERRO: reprovações inconsistentes","OK")))))</f>
        <v/>
      </c>
    </row>
    <row r="224" ht="15" customHeight="1" s="131">
      <c r="A224" s="320" t="n"/>
      <c r="B224" s="323" t="n"/>
      <c r="C224" s="323" t="n"/>
      <c r="D224" s="328" t="n"/>
      <c r="E224" s="328" t="n"/>
      <c r="F224" s="328" t="n"/>
      <c r="G224" s="329">
        <f>IF(COUNTA(A224:C224)=0,"",SUM(H224:J224))</f>
        <v/>
      </c>
      <c r="H224" s="328" t="n"/>
      <c r="I224" s="330" t="n"/>
      <c r="J224" s="331" t="n"/>
      <c r="K224" s="331" t="n"/>
      <c r="L224" s="331" t="n"/>
      <c r="M224" s="332" t="n"/>
      <c r="N224" s="302">
        <f>IF(L224&gt;0,M224/L224,"")</f>
        <v/>
      </c>
      <c r="O224" s="317">
        <f>IF(E224&gt;0,F224/E224*100,"")</f>
        <v/>
      </c>
      <c r="P224" s="275">
        <f>IF(COUNTA(A224:C224)=0,"",IF(OR(A224="",B224="",C224="",D224&lt;0,E224&lt;0,F224&lt;0,H224&lt;0,I224&lt;0,J224&lt;0,K224&lt;0,L224&lt;0),"ERRO: valores inválidos",IF(D224&lt;&gt;E224+K224,"ERRO: total inconsistente",IF(E224&lt;&gt;F224+G224,"ERRO: finalizados inconsistentes",IF(G224&lt;&gt;SUM(H224:J224),"ERRO: reprovações inconsistentes","OK")))))</f>
        <v/>
      </c>
    </row>
    <row r="225" ht="15" customHeight="1" s="131">
      <c r="A225" s="320" t="n"/>
      <c r="B225" s="323" t="n"/>
      <c r="C225" s="323" t="n"/>
      <c r="D225" s="328" t="n"/>
      <c r="E225" s="328" t="n"/>
      <c r="F225" s="328" t="n"/>
      <c r="G225" s="329">
        <f>IF(COUNTA(A225:C225)=0,"",SUM(H225:J225))</f>
        <v/>
      </c>
      <c r="H225" s="328" t="n"/>
      <c r="I225" s="330" t="n"/>
      <c r="J225" s="331" t="n"/>
      <c r="K225" s="331" t="n"/>
      <c r="L225" s="331" t="n"/>
      <c r="M225" s="332" t="n"/>
      <c r="N225" s="302">
        <f>IF(L225&gt;0,M225/L225,"")</f>
        <v/>
      </c>
      <c r="O225" s="317">
        <f>IF(E225&gt;0,F225/E225*100,"")</f>
        <v/>
      </c>
      <c r="P225" s="275">
        <f>IF(COUNTA(A225:C225)=0,"",IF(OR(A225="",B225="",C225="",D225&lt;0,E225&lt;0,F225&lt;0,H225&lt;0,I225&lt;0,J225&lt;0,K225&lt;0,L225&lt;0),"ERRO: valores inválidos",IF(D225&lt;&gt;E225+K225,"ERRO: total inconsistente",IF(E225&lt;&gt;F225+G225,"ERRO: finalizados inconsistentes",IF(G225&lt;&gt;SUM(H225:J225),"ERRO: reprovações inconsistentes","OK")))))</f>
        <v/>
      </c>
    </row>
    <row r="226" ht="15" customHeight="1" s="131">
      <c r="A226" s="320" t="n"/>
      <c r="B226" s="323" t="n"/>
      <c r="C226" s="323" t="n"/>
      <c r="D226" s="328" t="n"/>
      <c r="E226" s="328" t="n"/>
      <c r="F226" s="328" t="n"/>
      <c r="G226" s="329">
        <f>IF(COUNTA(A226:C226)=0,"",SUM(H226:J226))</f>
        <v/>
      </c>
      <c r="H226" s="328" t="n"/>
      <c r="I226" s="330" t="n"/>
      <c r="J226" s="331" t="n"/>
      <c r="K226" s="331" t="n"/>
      <c r="L226" s="331" t="n"/>
      <c r="M226" s="332" t="n"/>
      <c r="N226" s="302">
        <f>IF(L226&gt;0,M226/L226,"")</f>
        <v/>
      </c>
      <c r="O226" s="317">
        <f>IF(E226&gt;0,F226/E226*100,"")</f>
        <v/>
      </c>
      <c r="P226" s="275">
        <f>IF(COUNTA(A226:C226)=0,"",IF(OR(A226="",B226="",C226="",D226&lt;0,E226&lt;0,F226&lt;0,H226&lt;0,I226&lt;0,J226&lt;0,K226&lt;0,L226&lt;0),"ERRO: valores inválidos",IF(D226&lt;&gt;E226+K226,"ERRO: total inconsistente",IF(E226&lt;&gt;F226+G226,"ERRO: finalizados inconsistentes",IF(G226&lt;&gt;SUM(H226:J226),"ERRO: reprovações inconsistentes","OK")))))</f>
        <v/>
      </c>
    </row>
    <row r="227" ht="15" customHeight="1" s="131">
      <c r="A227" s="320" t="n"/>
      <c r="B227" s="323" t="n"/>
      <c r="C227" s="323" t="n"/>
      <c r="D227" s="328" t="n"/>
      <c r="E227" s="328" t="n"/>
      <c r="F227" s="328" t="n"/>
      <c r="G227" s="329">
        <f>IF(COUNTA(A227:C227)=0,"",SUM(H227:J227))</f>
        <v/>
      </c>
      <c r="H227" s="328" t="n"/>
      <c r="I227" s="330" t="n"/>
      <c r="J227" s="331" t="n"/>
      <c r="K227" s="331" t="n"/>
      <c r="L227" s="331" t="n"/>
      <c r="M227" s="332" t="n"/>
      <c r="N227" s="302">
        <f>IF(L227&gt;0,M227/L227,"")</f>
        <v/>
      </c>
      <c r="O227" s="317">
        <f>IF(E227&gt;0,F227/E227*100,"")</f>
        <v/>
      </c>
      <c r="P227" s="275">
        <f>IF(COUNTA(A227:C227)=0,"",IF(OR(A227="",B227="",C227="",D227&lt;0,E227&lt;0,F227&lt;0,H227&lt;0,I227&lt;0,J227&lt;0,K227&lt;0,L227&lt;0),"ERRO: valores inválidos",IF(D227&lt;&gt;E227+K227,"ERRO: total inconsistente",IF(E227&lt;&gt;F227+G227,"ERRO: finalizados inconsistentes",IF(G227&lt;&gt;SUM(H227:J227),"ERRO: reprovações inconsistentes","OK")))))</f>
        <v/>
      </c>
    </row>
    <row r="228" ht="15" customHeight="1" s="131">
      <c r="A228" s="320" t="n"/>
      <c r="B228" s="323" t="n"/>
      <c r="C228" s="323" t="n"/>
      <c r="D228" s="328" t="n"/>
      <c r="E228" s="328" t="n"/>
      <c r="F228" s="328" t="n"/>
      <c r="G228" s="329">
        <f>IF(COUNTA(A228:C228)=0,"",SUM(H228:J228))</f>
        <v/>
      </c>
      <c r="H228" s="328" t="n"/>
      <c r="I228" s="330" t="n"/>
      <c r="J228" s="331" t="n"/>
      <c r="K228" s="331" t="n"/>
      <c r="L228" s="331" t="n"/>
      <c r="M228" s="332" t="n"/>
      <c r="N228" s="302">
        <f>IF(L228&gt;0,M228/L228,"")</f>
        <v/>
      </c>
      <c r="O228" s="317">
        <f>IF(E228&gt;0,F228/E228*100,"")</f>
        <v/>
      </c>
      <c r="P228" s="275">
        <f>IF(COUNTA(A228:C228)=0,"",IF(OR(A228="",B228="",C228="",D228&lt;0,E228&lt;0,F228&lt;0,H228&lt;0,I228&lt;0,J228&lt;0,K228&lt;0,L228&lt;0),"ERRO: valores inválidos",IF(D228&lt;&gt;E228+K228,"ERRO: total inconsistente",IF(E228&lt;&gt;F228+G228,"ERRO: finalizados inconsistentes",IF(G228&lt;&gt;SUM(H228:J228),"ERRO: reprovações inconsistentes","OK")))))</f>
        <v/>
      </c>
    </row>
    <row r="229" ht="15" customHeight="1" s="131">
      <c r="A229" s="320" t="n"/>
      <c r="B229" s="323" t="n"/>
      <c r="C229" s="323" t="n"/>
      <c r="D229" s="328" t="n"/>
      <c r="E229" s="328" t="n"/>
      <c r="F229" s="328" t="n"/>
      <c r="G229" s="329">
        <f>IF(COUNTA(A229:C229)=0,"",SUM(H229:J229))</f>
        <v/>
      </c>
      <c r="H229" s="328" t="n"/>
      <c r="I229" s="330" t="n"/>
      <c r="J229" s="331" t="n"/>
      <c r="K229" s="331" t="n"/>
      <c r="L229" s="331" t="n"/>
      <c r="M229" s="332" t="n"/>
      <c r="N229" s="302">
        <f>IF(L229&gt;0,M229/L229,"")</f>
        <v/>
      </c>
      <c r="O229" s="317">
        <f>IF(E229&gt;0,F229/E229*100,"")</f>
        <v/>
      </c>
      <c r="P229" s="275">
        <f>IF(COUNTA(A229:C229)=0,"",IF(OR(A229="",B229="",C229="",D229&lt;0,E229&lt;0,F229&lt;0,H229&lt;0,I229&lt;0,J229&lt;0,K229&lt;0,L229&lt;0),"ERRO: valores inválidos",IF(D229&lt;&gt;E229+K229,"ERRO: total inconsistente",IF(E229&lt;&gt;F229+G229,"ERRO: finalizados inconsistentes",IF(G229&lt;&gt;SUM(H229:J229),"ERRO: reprovações inconsistentes","OK")))))</f>
        <v/>
      </c>
    </row>
    <row r="230" ht="15" customHeight="1" s="131">
      <c r="A230" s="320" t="n"/>
      <c r="B230" s="323" t="n"/>
      <c r="C230" s="323" t="n"/>
      <c r="D230" s="328" t="n"/>
      <c r="E230" s="328" t="n"/>
      <c r="F230" s="328" t="n"/>
      <c r="G230" s="329">
        <f>IF(COUNTA(A230:C230)=0,"",SUM(H230:J230))</f>
        <v/>
      </c>
      <c r="H230" s="328" t="n"/>
      <c r="I230" s="330" t="n"/>
      <c r="J230" s="331" t="n"/>
      <c r="K230" s="331" t="n"/>
      <c r="L230" s="331" t="n"/>
      <c r="M230" s="332" t="n"/>
      <c r="N230" s="302">
        <f>IF(L230&gt;0,M230/L230,"")</f>
        <v/>
      </c>
      <c r="O230" s="317">
        <f>IF(E230&gt;0,F230/E230*100,"")</f>
        <v/>
      </c>
      <c r="P230" s="275">
        <f>IF(COUNTA(A230:C230)=0,"",IF(OR(A230="",B230="",C230="",D230&lt;0,E230&lt;0,F230&lt;0,H230&lt;0,I230&lt;0,J230&lt;0,K230&lt;0,L230&lt;0),"ERRO: valores inválidos",IF(D230&lt;&gt;E230+K230,"ERRO: total inconsistente",IF(E230&lt;&gt;F230+G230,"ERRO: finalizados inconsistentes",IF(G230&lt;&gt;SUM(H230:J230),"ERRO: reprovações inconsistentes","OK")))))</f>
        <v/>
      </c>
    </row>
    <row r="231" ht="15" customHeight="1" s="131">
      <c r="A231" s="320" t="n"/>
      <c r="B231" s="323" t="n"/>
      <c r="C231" s="323" t="n"/>
      <c r="D231" s="328" t="n"/>
      <c r="E231" s="328" t="n"/>
      <c r="F231" s="328" t="n"/>
      <c r="G231" s="329">
        <f>IF(COUNTA(A231:C231)=0,"",SUM(H231:J231))</f>
        <v/>
      </c>
      <c r="H231" s="328" t="n"/>
      <c r="I231" s="330" t="n"/>
      <c r="J231" s="331" t="n"/>
      <c r="K231" s="331" t="n"/>
      <c r="L231" s="331" t="n"/>
      <c r="M231" s="332" t="n"/>
      <c r="N231" s="302">
        <f>IF(L231&gt;0,M231/L231,"")</f>
        <v/>
      </c>
      <c r="O231" s="317">
        <f>IF(E231&gt;0,F231/E231*100,"")</f>
        <v/>
      </c>
      <c r="P231" s="275">
        <f>IF(COUNTA(A231:C231)=0,"",IF(OR(A231="",B231="",C231="",D231&lt;0,E231&lt;0,F231&lt;0,H231&lt;0,I231&lt;0,J231&lt;0,K231&lt;0,L231&lt;0),"ERRO: valores inválidos",IF(D231&lt;&gt;E231+K231,"ERRO: total inconsistente",IF(E231&lt;&gt;F231+G231,"ERRO: finalizados inconsistentes",IF(G231&lt;&gt;SUM(H231:J231),"ERRO: reprovações inconsistentes","OK")))))</f>
        <v/>
      </c>
    </row>
    <row r="232" ht="15" customHeight="1" s="131">
      <c r="A232" s="320" t="n"/>
      <c r="B232" s="323" t="n"/>
      <c r="C232" s="323" t="n"/>
      <c r="D232" s="328" t="n"/>
      <c r="E232" s="328" t="n"/>
      <c r="F232" s="328" t="n"/>
      <c r="G232" s="329">
        <f>IF(COUNTA(A232:C232)=0,"",SUM(H232:J232))</f>
        <v/>
      </c>
      <c r="H232" s="328" t="n"/>
      <c r="I232" s="330" t="n"/>
      <c r="J232" s="331" t="n"/>
      <c r="K232" s="331" t="n"/>
      <c r="L232" s="331" t="n"/>
      <c r="M232" s="332" t="n"/>
      <c r="N232" s="302">
        <f>IF(L232&gt;0,M232/L232,"")</f>
        <v/>
      </c>
      <c r="O232" s="317">
        <f>IF(E232&gt;0,F232/E232*100,"")</f>
        <v/>
      </c>
      <c r="P232" s="275">
        <f>IF(COUNTA(A232:C232)=0,"",IF(OR(A232="",B232="",C232="",D232&lt;0,E232&lt;0,F232&lt;0,H232&lt;0,I232&lt;0,J232&lt;0,K232&lt;0,L232&lt;0),"ERRO: valores inválidos",IF(D232&lt;&gt;E232+K232,"ERRO: total inconsistente",IF(E232&lt;&gt;F232+G232,"ERRO: finalizados inconsistentes",IF(G232&lt;&gt;SUM(H232:J232),"ERRO: reprovações inconsistentes","OK")))))</f>
        <v/>
      </c>
    </row>
    <row r="233" ht="15" customHeight="1" s="131">
      <c r="A233" s="320" t="n"/>
      <c r="B233" s="323" t="n"/>
      <c r="C233" s="323" t="n"/>
      <c r="D233" s="328" t="n"/>
      <c r="E233" s="328" t="n"/>
      <c r="F233" s="328" t="n"/>
      <c r="G233" s="329">
        <f>IF(COUNTA(A233:C233)=0,"",SUM(H233:J233))</f>
        <v/>
      </c>
      <c r="H233" s="328" t="n"/>
      <c r="I233" s="330" t="n"/>
      <c r="J233" s="331" t="n"/>
      <c r="K233" s="331" t="n"/>
      <c r="L233" s="331" t="n"/>
      <c r="M233" s="332" t="n"/>
      <c r="N233" s="302">
        <f>IF(L233&gt;0,M233/L233,"")</f>
        <v/>
      </c>
      <c r="O233" s="317">
        <f>IF(E233&gt;0,F233/E233*100,"")</f>
        <v/>
      </c>
      <c r="P233" s="275">
        <f>IF(COUNTA(A233:C233)=0,"",IF(OR(A233="",B233="",C233="",D233&lt;0,E233&lt;0,F233&lt;0,H233&lt;0,I233&lt;0,J233&lt;0,K233&lt;0,L233&lt;0),"ERRO: valores inválidos",IF(D233&lt;&gt;E233+K233,"ERRO: total inconsistente",IF(E233&lt;&gt;F233+G233,"ERRO: finalizados inconsistentes",IF(G233&lt;&gt;SUM(H233:J233),"ERRO: reprovações inconsistentes","OK")))))</f>
        <v/>
      </c>
    </row>
    <row r="234" ht="15" customHeight="1" s="131">
      <c r="A234" s="320" t="n"/>
      <c r="B234" s="323" t="n"/>
      <c r="C234" s="323" t="n"/>
      <c r="D234" s="328" t="n"/>
      <c r="E234" s="328" t="n"/>
      <c r="F234" s="328" t="n"/>
      <c r="G234" s="329">
        <f>IF(COUNTA(A234:C234)=0,"",SUM(H234:J234))</f>
        <v/>
      </c>
      <c r="H234" s="328" t="n"/>
      <c r="I234" s="330" t="n"/>
      <c r="J234" s="331" t="n"/>
      <c r="K234" s="331" t="n"/>
      <c r="L234" s="331" t="n"/>
      <c r="M234" s="332" t="n"/>
      <c r="N234" s="302">
        <f>IF(L234&gt;0,M234/L234,"")</f>
        <v/>
      </c>
      <c r="O234" s="317">
        <f>IF(E234&gt;0,F234/E234*100,"")</f>
        <v/>
      </c>
      <c r="P234" s="275">
        <f>IF(COUNTA(A234:C234)=0,"",IF(OR(A234="",B234="",C234="",D234&lt;0,E234&lt;0,F234&lt;0,H234&lt;0,I234&lt;0,J234&lt;0,K234&lt;0,L234&lt;0),"ERRO: valores inválidos",IF(D234&lt;&gt;E234+K234,"ERRO: total inconsistente",IF(E234&lt;&gt;F234+G234,"ERRO: finalizados inconsistentes",IF(G234&lt;&gt;SUM(H234:J234),"ERRO: reprovações inconsistentes","OK")))))</f>
        <v/>
      </c>
    </row>
    <row r="235" ht="15" customHeight="1" s="131">
      <c r="A235" s="320" t="n"/>
      <c r="B235" s="323" t="n"/>
      <c r="C235" s="323" t="n"/>
      <c r="D235" s="328" t="n"/>
      <c r="E235" s="328" t="n"/>
      <c r="F235" s="328" t="n"/>
      <c r="G235" s="329">
        <f>IF(COUNTA(A235:C235)=0,"",SUM(H235:J235))</f>
        <v/>
      </c>
      <c r="H235" s="328" t="n"/>
      <c r="I235" s="330" t="n"/>
      <c r="J235" s="331" t="n"/>
      <c r="K235" s="331" t="n"/>
      <c r="L235" s="331" t="n"/>
      <c r="M235" s="332" t="n"/>
      <c r="N235" s="302">
        <f>IF(L235&gt;0,M235/L235,"")</f>
        <v/>
      </c>
      <c r="O235" s="317">
        <f>IF(E235&gt;0,F235/E235*100,"")</f>
        <v/>
      </c>
      <c r="P235" s="275">
        <f>IF(COUNTA(A235:C235)=0,"",IF(OR(A235="",B235="",C235="",D235&lt;0,E235&lt;0,F235&lt;0,H235&lt;0,I235&lt;0,J235&lt;0,K235&lt;0,L235&lt;0),"ERRO: valores inválidos",IF(D235&lt;&gt;E235+K235,"ERRO: total inconsistente",IF(E235&lt;&gt;F235+G235,"ERRO: finalizados inconsistentes",IF(G235&lt;&gt;SUM(H235:J235),"ERRO: reprovações inconsistentes","OK")))))</f>
        <v/>
      </c>
    </row>
    <row r="236" ht="15" customHeight="1" s="131">
      <c r="A236" s="320" t="n"/>
      <c r="B236" s="323" t="n"/>
      <c r="C236" s="323" t="n"/>
      <c r="D236" s="328" t="n"/>
      <c r="E236" s="328" t="n"/>
      <c r="F236" s="328" t="n"/>
      <c r="G236" s="329">
        <f>IF(COUNTA(A236:C236)=0,"",SUM(H236:J236))</f>
        <v/>
      </c>
      <c r="H236" s="328" t="n"/>
      <c r="I236" s="330" t="n"/>
      <c r="J236" s="331" t="n"/>
      <c r="K236" s="331" t="n"/>
      <c r="L236" s="331" t="n"/>
      <c r="M236" s="332" t="n"/>
      <c r="N236" s="302">
        <f>IF(L236&gt;0,M236/L236,"")</f>
        <v/>
      </c>
      <c r="O236" s="317">
        <f>IF(E236&gt;0,F236/E236*100,"")</f>
        <v/>
      </c>
      <c r="P236" s="275">
        <f>IF(COUNTA(A236:C236)=0,"",IF(OR(A236="",B236="",C236="",D236&lt;0,E236&lt;0,F236&lt;0,H236&lt;0,I236&lt;0,J236&lt;0,K236&lt;0,L236&lt;0),"ERRO: valores inválidos",IF(D236&lt;&gt;E236+K236,"ERRO: total inconsistente",IF(E236&lt;&gt;F236+G236,"ERRO: finalizados inconsistentes",IF(G236&lt;&gt;SUM(H236:J236),"ERRO: reprovações inconsistentes","OK")))))</f>
        <v/>
      </c>
    </row>
    <row r="237" ht="15" customHeight="1" s="131">
      <c r="A237" s="320" t="n"/>
      <c r="B237" s="323" t="n"/>
      <c r="C237" s="323" t="n"/>
      <c r="D237" s="328" t="n"/>
      <c r="E237" s="328" t="n"/>
      <c r="F237" s="328" t="n"/>
      <c r="G237" s="329">
        <f>IF(COUNTA(A237:C237)=0,"",SUM(H237:J237))</f>
        <v/>
      </c>
      <c r="H237" s="328" t="n"/>
      <c r="I237" s="330" t="n"/>
      <c r="J237" s="331" t="n"/>
      <c r="K237" s="331" t="n"/>
      <c r="L237" s="331" t="n"/>
      <c r="M237" s="332" t="n"/>
      <c r="N237" s="302">
        <f>IF(L237&gt;0,M237/L237,"")</f>
        <v/>
      </c>
      <c r="O237" s="317">
        <f>IF(E237&gt;0,F237/E237*100,"")</f>
        <v/>
      </c>
      <c r="P237" s="275">
        <f>IF(COUNTA(A237:C237)=0,"",IF(OR(A237="",B237="",C237="",D237&lt;0,E237&lt;0,F237&lt;0,H237&lt;0,I237&lt;0,J237&lt;0,K237&lt;0,L237&lt;0),"ERRO: valores inválidos",IF(D237&lt;&gt;E237+K237,"ERRO: total inconsistente",IF(E237&lt;&gt;F237+G237,"ERRO: finalizados inconsistentes",IF(G237&lt;&gt;SUM(H237:J237),"ERRO: reprovações inconsistentes","OK")))))</f>
        <v/>
      </c>
    </row>
    <row r="238" ht="15" customHeight="1" s="131">
      <c r="A238" s="320" t="n"/>
      <c r="B238" s="323" t="n"/>
      <c r="C238" s="323" t="n"/>
      <c r="D238" s="328" t="n"/>
      <c r="E238" s="328" t="n"/>
      <c r="F238" s="328" t="n"/>
      <c r="G238" s="329">
        <f>IF(COUNTA(A238:C238)=0,"",SUM(H238:J238))</f>
        <v/>
      </c>
      <c r="H238" s="328" t="n"/>
      <c r="I238" s="330" t="n"/>
      <c r="J238" s="331" t="n"/>
      <c r="K238" s="331" t="n"/>
      <c r="L238" s="331" t="n"/>
      <c r="M238" s="332" t="n"/>
      <c r="N238" s="302">
        <f>IF(L238&gt;0,M238/L238,"")</f>
        <v/>
      </c>
      <c r="O238" s="317">
        <f>IF(E238&gt;0,F238/E238*100,"")</f>
        <v/>
      </c>
      <c r="P238" s="275">
        <f>IF(COUNTA(A238:C238)=0,"",IF(OR(A238="",B238="",C238="",D238&lt;0,E238&lt;0,F238&lt;0,H238&lt;0,I238&lt;0,J238&lt;0,K238&lt;0,L238&lt;0),"ERRO: valores inválidos",IF(D238&lt;&gt;E238+K238,"ERRO: total inconsistente",IF(E238&lt;&gt;F238+G238,"ERRO: finalizados inconsistentes",IF(G238&lt;&gt;SUM(H238:J238),"ERRO: reprovações inconsistentes","OK")))))</f>
        <v/>
      </c>
    </row>
    <row r="239" ht="15" customHeight="1" s="131">
      <c r="A239" s="320" t="n"/>
      <c r="B239" s="323" t="n"/>
      <c r="C239" s="323" t="n"/>
      <c r="D239" s="328" t="n"/>
      <c r="E239" s="328" t="n"/>
      <c r="F239" s="328" t="n"/>
      <c r="G239" s="329">
        <f>IF(COUNTA(A239:C239)=0,"",SUM(H239:J239))</f>
        <v/>
      </c>
      <c r="H239" s="328" t="n"/>
      <c r="I239" s="330" t="n"/>
      <c r="J239" s="331" t="n"/>
      <c r="K239" s="331" t="n"/>
      <c r="L239" s="331" t="n"/>
      <c r="M239" s="332" t="n"/>
      <c r="N239" s="302">
        <f>IF(L239&gt;0,M239/L239,"")</f>
        <v/>
      </c>
      <c r="O239" s="317">
        <f>IF(E239&gt;0,F239/E239*100,"")</f>
        <v/>
      </c>
      <c r="P239" s="275">
        <f>IF(COUNTA(A239:C239)=0,"",IF(OR(A239="",B239="",C239="",D239&lt;0,E239&lt;0,F239&lt;0,H239&lt;0,I239&lt;0,J239&lt;0,K239&lt;0,L239&lt;0),"ERRO: valores inválidos",IF(D239&lt;&gt;E239+K239,"ERRO: total inconsistente",IF(E239&lt;&gt;F239+G239,"ERRO: finalizados inconsistentes",IF(G239&lt;&gt;SUM(H239:J239),"ERRO: reprovações inconsistentes","OK")))))</f>
        <v/>
      </c>
    </row>
    <row r="240" ht="15" customHeight="1" s="131">
      <c r="A240" s="320" t="n"/>
      <c r="B240" s="323" t="n"/>
      <c r="C240" s="323" t="n"/>
      <c r="D240" s="328" t="n"/>
      <c r="E240" s="328" t="n"/>
      <c r="F240" s="328" t="n"/>
      <c r="G240" s="329">
        <f>IF(COUNTA(A240:C240)=0,"",SUM(H240:J240))</f>
        <v/>
      </c>
      <c r="H240" s="328" t="n"/>
      <c r="I240" s="330" t="n"/>
      <c r="J240" s="331" t="n"/>
      <c r="K240" s="331" t="n"/>
      <c r="L240" s="331" t="n"/>
      <c r="M240" s="332" t="n"/>
      <c r="N240" s="302">
        <f>IF(L240&gt;0,M240/L240,"")</f>
        <v/>
      </c>
      <c r="O240" s="317">
        <f>IF(E240&gt;0,F240/E240*100,"")</f>
        <v/>
      </c>
      <c r="P240" s="275">
        <f>IF(COUNTA(A240:C240)=0,"",IF(OR(A240="",B240="",C240="",D240&lt;0,E240&lt;0,F240&lt;0,H240&lt;0,I240&lt;0,J240&lt;0,K240&lt;0,L240&lt;0),"ERRO: valores inválidos",IF(D240&lt;&gt;E240+K240,"ERRO: total inconsistente",IF(E240&lt;&gt;F240+G240,"ERRO: finalizados inconsistentes",IF(G240&lt;&gt;SUM(H240:J240),"ERRO: reprovações inconsistentes","OK")))))</f>
        <v/>
      </c>
    </row>
    <row r="241" ht="15" customHeight="1" s="131">
      <c r="A241" s="320" t="n"/>
      <c r="B241" s="323" t="n"/>
      <c r="C241" s="323" t="n"/>
      <c r="D241" s="328" t="n"/>
      <c r="E241" s="328" t="n"/>
      <c r="F241" s="328" t="n"/>
      <c r="G241" s="329">
        <f>IF(COUNTA(A241:C241)=0,"",SUM(H241:J241))</f>
        <v/>
      </c>
      <c r="H241" s="328" t="n"/>
      <c r="I241" s="330" t="n"/>
      <c r="J241" s="331" t="n"/>
      <c r="K241" s="331" t="n"/>
      <c r="L241" s="331" t="n"/>
      <c r="M241" s="332" t="n"/>
      <c r="N241" s="302">
        <f>IF(L241&gt;0,M241/L241,"")</f>
        <v/>
      </c>
      <c r="O241" s="317">
        <f>IF(E241&gt;0,F241/E241*100,"")</f>
        <v/>
      </c>
      <c r="P241" s="275">
        <f>IF(COUNTA(A241:C241)=0,"",IF(OR(A241="",B241="",C241="",D241&lt;0,E241&lt;0,F241&lt;0,H241&lt;0,I241&lt;0,J241&lt;0,K241&lt;0,L241&lt;0),"ERRO: valores inválidos",IF(D241&lt;&gt;E241+K241,"ERRO: total inconsistente",IF(E241&lt;&gt;F241+G241,"ERRO: finalizados inconsistentes",IF(G241&lt;&gt;SUM(H241:J241),"ERRO: reprovações inconsistentes","OK")))))</f>
        <v/>
      </c>
    </row>
    <row r="242" ht="15" customHeight="1" s="131">
      <c r="A242" s="320" t="n"/>
      <c r="B242" s="323" t="n"/>
      <c r="C242" s="323" t="n"/>
      <c r="D242" s="328" t="n"/>
      <c r="E242" s="328" t="n"/>
      <c r="F242" s="328" t="n"/>
      <c r="G242" s="329">
        <f>IF(COUNTA(A242:C242)=0,"",SUM(H242:J242))</f>
        <v/>
      </c>
      <c r="H242" s="328" t="n"/>
      <c r="I242" s="330" t="n"/>
      <c r="J242" s="331" t="n"/>
      <c r="K242" s="331" t="n"/>
      <c r="L242" s="331" t="n"/>
      <c r="M242" s="332" t="n"/>
      <c r="N242" s="302">
        <f>IF(L242&gt;0,M242/L242,"")</f>
        <v/>
      </c>
      <c r="O242" s="317">
        <f>IF(E242&gt;0,F242/E242*100,"")</f>
        <v/>
      </c>
      <c r="P242" s="275">
        <f>IF(COUNTA(A242:C242)=0,"",IF(OR(A242="",B242="",C242="",D242&lt;0,E242&lt;0,F242&lt;0,H242&lt;0,I242&lt;0,J242&lt;0,K242&lt;0,L242&lt;0),"ERRO: valores inválidos",IF(D242&lt;&gt;E242+K242,"ERRO: total inconsistente",IF(E242&lt;&gt;F242+G242,"ERRO: finalizados inconsistentes",IF(G242&lt;&gt;SUM(H242:J242),"ERRO: reprovações inconsistentes","OK")))))</f>
        <v/>
      </c>
    </row>
    <row r="243" ht="15" customHeight="1" s="131">
      <c r="A243" s="320" t="n"/>
      <c r="B243" s="323" t="n"/>
      <c r="C243" s="323" t="n"/>
      <c r="D243" s="328" t="n"/>
      <c r="E243" s="328" t="n"/>
      <c r="F243" s="328" t="n"/>
      <c r="G243" s="329">
        <f>IF(COUNTA(A243:C243)=0,"",SUM(H243:J243))</f>
        <v/>
      </c>
      <c r="H243" s="328" t="n"/>
      <c r="I243" s="330" t="n"/>
      <c r="J243" s="331" t="n"/>
      <c r="K243" s="331" t="n"/>
      <c r="L243" s="331" t="n"/>
      <c r="M243" s="332" t="n"/>
      <c r="N243" s="302">
        <f>IF(L243&gt;0,M243/L243,"")</f>
        <v/>
      </c>
      <c r="O243" s="317">
        <f>IF(E243&gt;0,F243/E243*100,"")</f>
        <v/>
      </c>
      <c r="P243" s="275">
        <f>IF(COUNTA(A243:C243)=0,"",IF(OR(A243="",B243="",C243="",D243&lt;0,E243&lt;0,F243&lt;0,H243&lt;0,I243&lt;0,J243&lt;0,K243&lt;0,L243&lt;0),"ERRO: valores inválidos",IF(D243&lt;&gt;E243+K243,"ERRO: total inconsistente",IF(E243&lt;&gt;F243+G243,"ERRO: finalizados inconsistentes",IF(G243&lt;&gt;SUM(H243:J243),"ERRO: reprovações inconsistentes","OK")))))</f>
        <v/>
      </c>
    </row>
    <row r="244" ht="15" customHeight="1" s="131">
      <c r="A244" s="320" t="n"/>
      <c r="B244" s="323" t="n"/>
      <c r="C244" s="323" t="n"/>
      <c r="D244" s="328" t="n"/>
      <c r="E244" s="328" t="n"/>
      <c r="F244" s="328" t="n"/>
      <c r="G244" s="329">
        <f>IF(COUNTA(A244:C244)=0,"",SUM(H244:J244))</f>
        <v/>
      </c>
      <c r="H244" s="328" t="n"/>
      <c r="I244" s="330" t="n"/>
      <c r="J244" s="331" t="n"/>
      <c r="K244" s="331" t="n"/>
      <c r="L244" s="331" t="n"/>
      <c r="M244" s="332" t="n"/>
      <c r="N244" s="302">
        <f>IF(L244&gt;0,M244/L244,"")</f>
        <v/>
      </c>
      <c r="O244" s="317">
        <f>IF(E244&gt;0,F244/E244*100,"")</f>
        <v/>
      </c>
      <c r="P244" s="275">
        <f>IF(COUNTA(A244:C244)=0,"",IF(OR(A244="",B244="",C244="",D244&lt;0,E244&lt;0,F244&lt;0,H244&lt;0,I244&lt;0,J244&lt;0,K244&lt;0,L244&lt;0),"ERRO: valores inválidos",IF(D244&lt;&gt;E244+K244,"ERRO: total inconsistente",IF(E244&lt;&gt;F244+G244,"ERRO: finalizados inconsistentes",IF(G244&lt;&gt;SUM(H244:J244),"ERRO: reprovações inconsistentes","OK")))))</f>
        <v/>
      </c>
    </row>
    <row r="245" ht="15" customHeight="1" s="131">
      <c r="A245" s="320" t="n"/>
      <c r="B245" s="323" t="n"/>
      <c r="C245" s="323" t="n"/>
      <c r="D245" s="328" t="n"/>
      <c r="E245" s="328" t="n"/>
      <c r="F245" s="328" t="n"/>
      <c r="G245" s="329">
        <f>IF(COUNTA(A245:C245)=0,"",SUM(H245:J245))</f>
        <v/>
      </c>
      <c r="H245" s="328" t="n"/>
      <c r="I245" s="330" t="n"/>
      <c r="J245" s="331" t="n"/>
      <c r="K245" s="331" t="n"/>
      <c r="L245" s="331" t="n"/>
      <c r="M245" s="332" t="n"/>
      <c r="N245" s="302">
        <f>IF(L245&gt;0,M245/L245,"")</f>
        <v/>
      </c>
      <c r="O245" s="317">
        <f>IF(E245&gt;0,F245/E245*100,"")</f>
        <v/>
      </c>
      <c r="P245" s="275">
        <f>IF(COUNTA(A245:C245)=0,"",IF(OR(A245="",B245="",C245="",D245&lt;0,E245&lt;0,F245&lt;0,H245&lt;0,I245&lt;0,J245&lt;0,K245&lt;0,L245&lt;0),"ERRO: valores inválidos",IF(D245&lt;&gt;E245+K245,"ERRO: total inconsistente",IF(E245&lt;&gt;F245+G245,"ERRO: finalizados inconsistentes",IF(G245&lt;&gt;SUM(H245:J245),"ERRO: reprovações inconsistentes","OK")))))</f>
        <v/>
      </c>
    </row>
    <row r="246" ht="15" customHeight="1" s="131">
      <c r="A246" s="320" t="n"/>
      <c r="B246" s="323" t="n"/>
      <c r="C246" s="323" t="n"/>
      <c r="D246" s="328" t="n"/>
      <c r="E246" s="328" t="n"/>
      <c r="F246" s="328" t="n"/>
      <c r="G246" s="329">
        <f>IF(COUNTA(A246:C246)=0,"",SUM(H246:J246))</f>
        <v/>
      </c>
      <c r="H246" s="328" t="n"/>
      <c r="I246" s="330" t="n"/>
      <c r="J246" s="331" t="n"/>
      <c r="K246" s="331" t="n"/>
      <c r="L246" s="331" t="n"/>
      <c r="M246" s="332" t="n"/>
      <c r="N246" s="302">
        <f>IF(L246&gt;0,M246/L246,"")</f>
        <v/>
      </c>
      <c r="O246" s="317">
        <f>IF(E246&gt;0,F246/E246*100,"")</f>
        <v/>
      </c>
      <c r="P246" s="275">
        <f>IF(COUNTA(A246:C246)=0,"",IF(OR(A246="",B246="",C246="",D246&lt;0,E246&lt;0,F246&lt;0,H246&lt;0,I246&lt;0,J246&lt;0,K246&lt;0,L246&lt;0),"ERRO: valores inválidos",IF(D246&lt;&gt;E246+K246,"ERRO: total inconsistente",IF(E246&lt;&gt;F246+G246,"ERRO: finalizados inconsistentes",IF(G246&lt;&gt;SUM(H246:J246),"ERRO: reprovações inconsistentes","OK")))))</f>
        <v/>
      </c>
    </row>
    <row r="247" ht="15" customHeight="1" s="131">
      <c r="A247" s="320" t="n"/>
      <c r="B247" s="323" t="n"/>
      <c r="C247" s="323" t="n"/>
      <c r="D247" s="328" t="n"/>
      <c r="E247" s="328" t="n"/>
      <c r="F247" s="328" t="n"/>
      <c r="G247" s="329">
        <f>IF(COUNTA(A247:C247)=0,"",SUM(H247:J247))</f>
        <v/>
      </c>
      <c r="H247" s="328" t="n"/>
      <c r="I247" s="330" t="n"/>
      <c r="J247" s="331" t="n"/>
      <c r="K247" s="331" t="n"/>
      <c r="L247" s="331" t="n"/>
      <c r="M247" s="332" t="n"/>
      <c r="N247" s="302">
        <f>IF(L247&gt;0,M247/L247,"")</f>
        <v/>
      </c>
      <c r="O247" s="317">
        <f>IF(E247&gt;0,F247/E247*100,"")</f>
        <v/>
      </c>
      <c r="P247" s="275">
        <f>IF(COUNTA(A247:C247)=0,"",IF(OR(A247="",B247="",C247="",D247&lt;0,E247&lt;0,F247&lt;0,H247&lt;0,I247&lt;0,J247&lt;0,K247&lt;0,L247&lt;0),"ERRO: valores inválidos",IF(D247&lt;&gt;E247+K247,"ERRO: total inconsistente",IF(E247&lt;&gt;F247+G247,"ERRO: finalizados inconsistentes",IF(G247&lt;&gt;SUM(H247:J247),"ERRO: reprovações inconsistentes","OK")))))</f>
        <v/>
      </c>
    </row>
    <row r="248" ht="15" customHeight="1" s="131">
      <c r="A248" s="320" t="n"/>
      <c r="B248" s="323" t="n"/>
      <c r="C248" s="323" t="n"/>
      <c r="D248" s="328" t="n"/>
      <c r="E248" s="328" t="n"/>
      <c r="F248" s="328" t="n"/>
      <c r="G248" s="329">
        <f>IF(COUNTA(A248:C248)=0,"",SUM(H248:J248))</f>
        <v/>
      </c>
      <c r="H248" s="328" t="n"/>
      <c r="I248" s="330" t="n"/>
      <c r="J248" s="331" t="n"/>
      <c r="K248" s="331" t="n"/>
      <c r="L248" s="331" t="n"/>
      <c r="M248" s="332" t="n"/>
      <c r="N248" s="302">
        <f>IF(L248&gt;0,M248/L248,"")</f>
        <v/>
      </c>
      <c r="O248" s="317">
        <f>IF(E248&gt;0,F248/E248*100,"")</f>
        <v/>
      </c>
      <c r="P248" s="275">
        <f>IF(COUNTA(A248:C248)=0,"",IF(OR(A248="",B248="",C248="",D248&lt;0,E248&lt;0,F248&lt;0,H248&lt;0,I248&lt;0,J248&lt;0,K248&lt;0,L248&lt;0),"ERRO: valores inválidos",IF(D248&lt;&gt;E248+K248,"ERRO: total inconsistente",IF(E248&lt;&gt;F248+G248,"ERRO: finalizados inconsistentes",IF(G248&lt;&gt;SUM(H248:J248),"ERRO: reprovações inconsistentes","OK")))))</f>
        <v/>
      </c>
    </row>
    <row r="249" ht="15" customHeight="1" s="131">
      <c r="A249" s="320" t="n"/>
      <c r="B249" s="323" t="n"/>
      <c r="C249" s="323" t="n"/>
      <c r="D249" s="328" t="n"/>
      <c r="E249" s="328" t="n"/>
      <c r="F249" s="328" t="n"/>
      <c r="G249" s="329">
        <f>IF(COUNTA(A249:C249)=0,"",SUM(H249:J249))</f>
        <v/>
      </c>
      <c r="H249" s="328" t="n"/>
      <c r="I249" s="330" t="n"/>
      <c r="J249" s="331" t="n"/>
      <c r="K249" s="331" t="n"/>
      <c r="L249" s="331" t="n"/>
      <c r="M249" s="332" t="n"/>
      <c r="N249" s="302">
        <f>IF(L249&gt;0,M249/L249,"")</f>
        <v/>
      </c>
      <c r="O249" s="317">
        <f>IF(E249&gt;0,F249/E249*100,"")</f>
        <v/>
      </c>
      <c r="P249" s="275">
        <f>IF(COUNTA(A249:C249)=0,"",IF(OR(A249="",B249="",C249="",D249&lt;0,E249&lt;0,F249&lt;0,H249&lt;0,I249&lt;0,J249&lt;0,K249&lt;0,L249&lt;0),"ERRO: valores inválidos",IF(D249&lt;&gt;E249+K249,"ERRO: total inconsistente",IF(E249&lt;&gt;F249+G249,"ERRO: finalizados inconsistentes",IF(G249&lt;&gt;SUM(H249:J249),"ERRO: reprovações inconsistentes","OK")))))</f>
        <v/>
      </c>
    </row>
    <row r="250" ht="15" customHeight="1" s="131">
      <c r="A250" s="320" t="n"/>
      <c r="B250" s="323" t="n"/>
      <c r="C250" s="323" t="n"/>
      <c r="D250" s="328" t="n"/>
      <c r="E250" s="328" t="n"/>
      <c r="F250" s="328" t="n"/>
      <c r="G250" s="329">
        <f>IF(COUNTA(A250:C250)=0,"",SUM(H250:J250))</f>
        <v/>
      </c>
      <c r="H250" s="328" t="n"/>
      <c r="I250" s="330" t="n"/>
      <c r="J250" s="331" t="n"/>
      <c r="K250" s="331" t="n"/>
      <c r="L250" s="331" t="n"/>
      <c r="M250" s="332" t="n"/>
      <c r="N250" s="302">
        <f>IF(L250&gt;0,M250/L250,"")</f>
        <v/>
      </c>
      <c r="O250" s="317">
        <f>IF(E250&gt;0,F250/E250*100,"")</f>
        <v/>
      </c>
      <c r="P250" s="275">
        <f>IF(COUNTA(A250:C250)=0,"",IF(OR(A250="",B250="",C250="",D250&lt;0,E250&lt;0,F250&lt;0,H250&lt;0,I250&lt;0,J250&lt;0,K250&lt;0,L250&lt;0),"ERRO: valores inválidos",IF(D250&lt;&gt;E250+K250,"ERRO: total inconsistente",IF(E250&lt;&gt;F250+G250,"ERRO: finalizados inconsistentes",IF(G250&lt;&gt;SUM(H250:J250),"ERRO: reprovações inconsistentes","OK")))))</f>
        <v/>
      </c>
    </row>
    <row r="251" ht="15" customHeight="1" s="131">
      <c r="A251" s="320" t="n"/>
      <c r="B251" s="323" t="n"/>
      <c r="C251" s="323" t="n"/>
      <c r="D251" s="328" t="n"/>
      <c r="E251" s="328" t="n"/>
      <c r="F251" s="328" t="n"/>
      <c r="G251" s="329">
        <f>IF(COUNTA(A251:C251)=0,"",SUM(H251:J251))</f>
        <v/>
      </c>
      <c r="H251" s="328" t="n"/>
      <c r="I251" s="330" t="n"/>
      <c r="J251" s="331" t="n"/>
      <c r="K251" s="331" t="n"/>
      <c r="L251" s="331" t="n"/>
      <c r="M251" s="332" t="n"/>
      <c r="N251" s="302">
        <f>IF(L251&gt;0,M251/L251,"")</f>
        <v/>
      </c>
      <c r="O251" s="317">
        <f>IF(E251&gt;0,F251/E251*100,"")</f>
        <v/>
      </c>
      <c r="P251" s="275">
        <f>IF(COUNTA(A251:C251)=0,"",IF(OR(A251="",B251="",C251="",D251&lt;0,E251&lt;0,F251&lt;0,H251&lt;0,I251&lt;0,J251&lt;0,K251&lt;0,L251&lt;0),"ERRO: valores inválidos",IF(D251&lt;&gt;E251+K251,"ERRO: total inconsistente",IF(E251&lt;&gt;F251+G251,"ERRO: finalizados inconsistentes",IF(G251&lt;&gt;SUM(H251:J251),"ERRO: reprovações inconsistentes","OK")))))</f>
        <v/>
      </c>
    </row>
    <row r="252" ht="15" customHeight="1" s="131">
      <c r="A252" s="320" t="n"/>
      <c r="B252" s="323" t="n"/>
      <c r="C252" s="323" t="n"/>
      <c r="D252" s="328" t="n"/>
      <c r="E252" s="328" t="n"/>
      <c r="F252" s="328" t="n"/>
      <c r="G252" s="329">
        <f>IF(COUNTA(A252:C252)=0,"",SUM(H252:J252))</f>
        <v/>
      </c>
      <c r="H252" s="328" t="n"/>
      <c r="I252" s="330" t="n"/>
      <c r="J252" s="331" t="n"/>
      <c r="K252" s="331" t="n"/>
      <c r="L252" s="331" t="n"/>
      <c r="M252" s="332" t="n"/>
      <c r="N252" s="302">
        <f>IF(L252&gt;0,M252/L252,"")</f>
        <v/>
      </c>
      <c r="O252" s="317">
        <f>IF(E252&gt;0,F252/E252*100,"")</f>
        <v/>
      </c>
      <c r="P252" s="275">
        <f>IF(COUNTA(A252:C252)=0,"",IF(OR(A252="",B252="",C252="",D252&lt;0,E252&lt;0,F252&lt;0,H252&lt;0,I252&lt;0,J252&lt;0,K252&lt;0,L252&lt;0),"ERRO: valores inválidos",IF(D252&lt;&gt;E252+K252,"ERRO: total inconsistente",IF(E252&lt;&gt;F252+G252,"ERRO: finalizados inconsistentes",IF(G252&lt;&gt;SUM(H252:J252),"ERRO: reprovações inconsistentes","OK")))))</f>
        <v/>
      </c>
    </row>
    <row r="253" ht="15" customHeight="1" s="131">
      <c r="A253" s="320" t="n"/>
      <c r="B253" s="323" t="n"/>
      <c r="C253" s="323" t="n"/>
      <c r="D253" s="328" t="n"/>
      <c r="E253" s="328" t="n"/>
      <c r="F253" s="328" t="n"/>
      <c r="G253" s="329">
        <f>IF(COUNTA(A253:C253)=0,"",SUM(H253:J253))</f>
        <v/>
      </c>
      <c r="H253" s="328" t="n"/>
      <c r="I253" s="330" t="n"/>
      <c r="J253" s="331" t="n"/>
      <c r="K253" s="331" t="n"/>
      <c r="L253" s="331" t="n"/>
      <c r="M253" s="332" t="n"/>
      <c r="N253" s="302">
        <f>IF(L253&gt;0,M253/L253,"")</f>
        <v/>
      </c>
      <c r="O253" s="317">
        <f>IF(E253&gt;0,F253/E253*100,"")</f>
        <v/>
      </c>
      <c r="P253" s="275">
        <f>IF(COUNTA(A253:C253)=0,"",IF(OR(A253="",B253="",C253="",D253&lt;0,E253&lt;0,F253&lt;0,H253&lt;0,I253&lt;0,J253&lt;0,K253&lt;0,L253&lt;0),"ERRO: valores inválidos",IF(D253&lt;&gt;E253+K253,"ERRO: total inconsistente",IF(E253&lt;&gt;F253+G253,"ERRO: finalizados inconsistentes",IF(G253&lt;&gt;SUM(H253:J253),"ERRO: reprovações inconsistentes","OK")))))</f>
        <v/>
      </c>
    </row>
    <row r="254" ht="15" customHeight="1" s="131">
      <c r="A254" s="320" t="n"/>
      <c r="B254" s="323" t="n"/>
      <c r="C254" s="323" t="n"/>
      <c r="D254" s="328" t="n"/>
      <c r="E254" s="328" t="n"/>
      <c r="F254" s="328" t="n"/>
      <c r="G254" s="329">
        <f>IF(COUNTA(A254:C254)=0,"",SUM(H254:J254))</f>
        <v/>
      </c>
      <c r="H254" s="328" t="n"/>
      <c r="I254" s="330" t="n"/>
      <c r="J254" s="331" t="n"/>
      <c r="K254" s="331" t="n"/>
      <c r="L254" s="331" t="n"/>
      <c r="M254" s="332" t="n"/>
      <c r="N254" s="302">
        <f>IF(L254&gt;0,M254/L254,"")</f>
        <v/>
      </c>
      <c r="O254" s="317">
        <f>IF(E254&gt;0,F254/E254*100,"")</f>
        <v/>
      </c>
      <c r="P254" s="275">
        <f>IF(COUNTA(A254:C254)=0,"",IF(OR(A254="",B254="",C254="",D254&lt;0,E254&lt;0,F254&lt;0,H254&lt;0,I254&lt;0,J254&lt;0,K254&lt;0,L254&lt;0),"ERRO: valores inválidos",IF(D254&lt;&gt;E254+K254,"ERRO: total inconsistente",IF(E254&lt;&gt;F254+G254,"ERRO: finalizados inconsistentes",IF(G254&lt;&gt;SUM(H254:J254),"ERRO: reprovações inconsistentes","OK")))))</f>
        <v/>
      </c>
    </row>
    <row r="255" ht="15" customHeight="1" s="131">
      <c r="A255" s="320" t="n"/>
      <c r="B255" s="323" t="n"/>
      <c r="C255" s="323" t="n"/>
      <c r="D255" s="328" t="n"/>
      <c r="E255" s="328" t="n"/>
      <c r="F255" s="328" t="n"/>
      <c r="G255" s="329">
        <f>IF(COUNTA(A255:C255)=0,"",SUM(H255:J255))</f>
        <v/>
      </c>
      <c r="H255" s="328" t="n"/>
      <c r="I255" s="330" t="n"/>
      <c r="J255" s="331" t="n"/>
      <c r="K255" s="331" t="n"/>
      <c r="L255" s="331" t="n"/>
      <c r="M255" s="332" t="n"/>
      <c r="N255" s="302">
        <f>IF(L255&gt;0,M255/L255,"")</f>
        <v/>
      </c>
      <c r="O255" s="317">
        <f>IF(E255&gt;0,F255/E255*100,"")</f>
        <v/>
      </c>
      <c r="P255" s="275">
        <f>IF(COUNTA(A255:C255)=0,"",IF(OR(A255="",B255="",C255="",D255&lt;0,E255&lt;0,F255&lt;0,H255&lt;0,I255&lt;0,J255&lt;0,K255&lt;0,L255&lt;0),"ERRO: valores inválidos",IF(D255&lt;&gt;E255+K255,"ERRO: total inconsistente",IF(E255&lt;&gt;F255+G255,"ERRO: finalizados inconsistentes",IF(G255&lt;&gt;SUM(H255:J255),"ERRO: reprovações inconsistentes","OK")))))</f>
        <v/>
      </c>
    </row>
    <row r="256" ht="15" customHeight="1" s="131">
      <c r="A256" s="320" t="n"/>
      <c r="B256" s="323" t="n"/>
      <c r="C256" s="323" t="n"/>
      <c r="D256" s="328" t="n"/>
      <c r="E256" s="328" t="n"/>
      <c r="F256" s="328" t="n"/>
      <c r="G256" s="329">
        <f>IF(COUNTA(A256:C256)=0,"",SUM(H256:J256))</f>
        <v/>
      </c>
      <c r="H256" s="328" t="n"/>
      <c r="I256" s="330" t="n"/>
      <c r="J256" s="331" t="n"/>
      <c r="K256" s="331" t="n"/>
      <c r="L256" s="331" t="n"/>
      <c r="M256" s="332" t="n"/>
      <c r="N256" s="302">
        <f>IF(L256&gt;0,M256/L256,"")</f>
        <v/>
      </c>
      <c r="O256" s="317">
        <f>IF(E256&gt;0,F256/E256*100,"")</f>
        <v/>
      </c>
      <c r="P256" s="275">
        <f>IF(COUNTA(A256:C256)=0,"",IF(OR(A256="",B256="",C256="",D256&lt;0,E256&lt;0,F256&lt;0,H256&lt;0,I256&lt;0,J256&lt;0,K256&lt;0,L256&lt;0),"ERRO: valores inválidos",IF(D256&lt;&gt;E256+K256,"ERRO: total inconsistente",IF(E256&lt;&gt;F256+G256,"ERRO: finalizados inconsistentes",IF(G256&lt;&gt;SUM(H256:J256),"ERRO: reprovações inconsistentes","OK")))))</f>
        <v/>
      </c>
    </row>
    <row r="257" ht="15" customHeight="1" s="131">
      <c r="A257" s="320" t="n"/>
      <c r="B257" s="323" t="n"/>
      <c r="C257" s="323" t="n"/>
      <c r="D257" s="328" t="n"/>
      <c r="E257" s="328" t="n"/>
      <c r="F257" s="328" t="n"/>
      <c r="G257" s="329">
        <f>IF(COUNTA(A257:C257)=0,"",SUM(H257:J257))</f>
        <v/>
      </c>
      <c r="H257" s="328" t="n"/>
      <c r="I257" s="330" t="n"/>
      <c r="J257" s="331" t="n"/>
      <c r="K257" s="331" t="n"/>
      <c r="L257" s="331" t="n"/>
      <c r="M257" s="332" t="n"/>
      <c r="N257" s="302">
        <f>IF(L257&gt;0,M257/L257,"")</f>
        <v/>
      </c>
      <c r="O257" s="317">
        <f>IF(E257&gt;0,F257/E257*100,"")</f>
        <v/>
      </c>
      <c r="P257" s="275">
        <f>IF(COUNTA(A257:C257)=0,"",IF(OR(A257="",B257="",C257="",D257&lt;0,E257&lt;0,F257&lt;0,H257&lt;0,I257&lt;0,J257&lt;0,K257&lt;0,L257&lt;0),"ERRO: valores inválidos",IF(D257&lt;&gt;E257+K257,"ERRO: total inconsistente",IF(E257&lt;&gt;F257+G257,"ERRO: finalizados inconsistentes",IF(G257&lt;&gt;SUM(H257:J257),"ERRO: reprovações inconsistentes","OK")))))</f>
        <v/>
      </c>
    </row>
    <row r="258" ht="15" customHeight="1" s="131">
      <c r="A258" s="320" t="n"/>
      <c r="B258" s="323" t="n"/>
      <c r="C258" s="323" t="n"/>
      <c r="D258" s="328" t="n"/>
      <c r="E258" s="328" t="n"/>
      <c r="F258" s="328" t="n"/>
      <c r="G258" s="329">
        <f>IF(COUNTA(A258:C258)=0,"",SUM(H258:J258))</f>
        <v/>
      </c>
      <c r="H258" s="328" t="n"/>
      <c r="I258" s="330" t="n"/>
      <c r="J258" s="331" t="n"/>
      <c r="K258" s="331" t="n"/>
      <c r="L258" s="331" t="n"/>
      <c r="M258" s="332" t="n"/>
      <c r="N258" s="302">
        <f>IF(L258&gt;0,M258/L258,"")</f>
        <v/>
      </c>
      <c r="O258" s="317">
        <f>IF(E258&gt;0,F258/E258*100,"")</f>
        <v/>
      </c>
      <c r="P258" s="275">
        <f>IF(COUNTA(A258:C258)=0,"",IF(OR(A258="",B258="",C258="",D258&lt;0,E258&lt;0,F258&lt;0,H258&lt;0,I258&lt;0,J258&lt;0,K258&lt;0,L258&lt;0),"ERRO: valores inválidos",IF(D258&lt;&gt;E258+K258,"ERRO: total inconsistente",IF(E258&lt;&gt;F258+G258,"ERRO: finalizados inconsistentes",IF(G258&lt;&gt;SUM(H258:J258),"ERRO: reprovações inconsistentes","OK")))))</f>
        <v/>
      </c>
    </row>
    <row r="259" ht="15" customHeight="1" s="131">
      <c r="A259" s="320" t="n"/>
      <c r="B259" s="323" t="n"/>
      <c r="C259" s="323" t="n"/>
      <c r="D259" s="328" t="n"/>
      <c r="E259" s="328" t="n"/>
      <c r="F259" s="328" t="n"/>
      <c r="G259" s="329">
        <f>IF(COUNTA(A259:C259)=0,"",SUM(H259:J259))</f>
        <v/>
      </c>
      <c r="H259" s="328" t="n"/>
      <c r="I259" s="330" t="n"/>
      <c r="J259" s="331" t="n"/>
      <c r="K259" s="331" t="n"/>
      <c r="L259" s="331" t="n"/>
      <c r="M259" s="332" t="n"/>
      <c r="N259" s="302">
        <f>IF(L259&gt;0,M259/L259,"")</f>
        <v/>
      </c>
      <c r="O259" s="317">
        <f>IF(E259&gt;0,F259/E259*100,"")</f>
        <v/>
      </c>
      <c r="P259" s="275">
        <f>IF(COUNTA(A259:C259)=0,"",IF(OR(A259="",B259="",C259="",D259&lt;0,E259&lt;0,F259&lt;0,H259&lt;0,I259&lt;0,J259&lt;0,K259&lt;0,L259&lt;0),"ERRO: valores inválidos",IF(D259&lt;&gt;E259+K259,"ERRO: total inconsistente",IF(E259&lt;&gt;F259+G259,"ERRO: finalizados inconsistentes",IF(G259&lt;&gt;SUM(H259:J259),"ERRO: reprovações inconsistentes","OK")))))</f>
        <v/>
      </c>
    </row>
    <row r="260" ht="15" customHeight="1" s="131">
      <c r="A260" s="320" t="n"/>
      <c r="B260" s="323" t="n"/>
      <c r="C260" s="323" t="n"/>
      <c r="D260" s="328" t="n"/>
      <c r="E260" s="328" t="n"/>
      <c r="F260" s="328" t="n"/>
      <c r="G260" s="329">
        <f>IF(COUNTA(A260:C260)=0,"",SUM(H260:J260))</f>
        <v/>
      </c>
      <c r="H260" s="328" t="n"/>
      <c r="I260" s="330" t="n"/>
      <c r="J260" s="331" t="n"/>
      <c r="K260" s="331" t="n"/>
      <c r="L260" s="331" t="n"/>
      <c r="M260" s="332" t="n"/>
      <c r="N260" s="302">
        <f>IF(L260&gt;0,M260/L260,"")</f>
        <v/>
      </c>
      <c r="O260" s="317">
        <f>IF(E260&gt;0,F260/E260*100,"")</f>
        <v/>
      </c>
      <c r="P260" s="275">
        <f>IF(COUNTA(A260:C260)=0,"",IF(OR(A260="",B260="",C260="",D260&lt;0,E260&lt;0,F260&lt;0,H260&lt;0,I260&lt;0,J260&lt;0,K260&lt;0,L260&lt;0),"ERRO: valores inválidos",IF(D260&lt;&gt;E260+K260,"ERRO: total inconsistente",IF(E260&lt;&gt;F260+G260,"ERRO: finalizados inconsistentes",IF(G260&lt;&gt;SUM(H260:J260),"ERRO: reprovações inconsistentes","OK")))))</f>
        <v/>
      </c>
    </row>
    <row r="261" ht="15" customHeight="1" s="131">
      <c r="A261" s="320" t="n"/>
      <c r="B261" s="323" t="n"/>
      <c r="C261" s="323" t="n"/>
      <c r="D261" s="328" t="n"/>
      <c r="E261" s="328" t="n"/>
      <c r="F261" s="328" t="n"/>
      <c r="G261" s="329">
        <f>IF(COUNTA(A261:C261)=0,"",SUM(H261:J261))</f>
        <v/>
      </c>
      <c r="H261" s="328" t="n"/>
      <c r="I261" s="330" t="n"/>
      <c r="J261" s="331" t="n"/>
      <c r="K261" s="331" t="n"/>
      <c r="L261" s="331" t="n"/>
      <c r="M261" s="332" t="n"/>
      <c r="N261" s="302">
        <f>IF(L261&gt;0,M261/L261,"")</f>
        <v/>
      </c>
      <c r="O261" s="317">
        <f>IF(E261&gt;0,F261/E261*100,"")</f>
        <v/>
      </c>
      <c r="P261" s="275">
        <f>IF(COUNTA(A261:C261)=0,"",IF(OR(A261="",B261="",C261="",D261&lt;0,E261&lt;0,F261&lt;0,H261&lt;0,I261&lt;0,J261&lt;0,K261&lt;0,L261&lt;0),"ERRO: valores inválidos",IF(D261&lt;&gt;E261+K261,"ERRO: total inconsistente",IF(E261&lt;&gt;F261+G261,"ERRO: finalizados inconsistentes",IF(G261&lt;&gt;SUM(H261:J261),"ERRO: reprovações inconsistentes","OK")))))</f>
        <v/>
      </c>
    </row>
    <row r="262" ht="15" customHeight="1" s="131">
      <c r="A262" s="320" t="n"/>
      <c r="B262" s="323" t="n"/>
      <c r="C262" s="323" t="n"/>
      <c r="D262" s="328" t="n"/>
      <c r="E262" s="328" t="n"/>
      <c r="F262" s="328" t="n"/>
      <c r="G262" s="329">
        <f>IF(COUNTA(A262:C262)=0,"",SUM(H262:J262))</f>
        <v/>
      </c>
      <c r="H262" s="328" t="n"/>
      <c r="I262" s="330" t="n"/>
      <c r="J262" s="331" t="n"/>
      <c r="K262" s="331" t="n"/>
      <c r="L262" s="331" t="n"/>
      <c r="M262" s="332" t="n"/>
      <c r="N262" s="302">
        <f>IF(L262&gt;0,M262/L262,"")</f>
        <v/>
      </c>
      <c r="O262" s="317">
        <f>IF(E262&gt;0,F262/E262*100,"")</f>
        <v/>
      </c>
      <c r="P262" s="275">
        <f>IF(COUNTA(A262:C262)=0,"",IF(OR(A262="",B262="",C262="",D262&lt;0,E262&lt;0,F262&lt;0,H262&lt;0,I262&lt;0,J262&lt;0,K262&lt;0,L262&lt;0),"ERRO: valores inválidos",IF(D262&lt;&gt;E262+K262,"ERRO: total inconsistente",IF(E262&lt;&gt;F262+G262,"ERRO: finalizados inconsistentes",IF(G262&lt;&gt;SUM(H262:J262),"ERRO: reprovações inconsistentes","OK")))))</f>
        <v/>
      </c>
    </row>
    <row r="263" ht="15" customHeight="1" s="131">
      <c r="A263" s="320" t="n"/>
      <c r="B263" s="323" t="n"/>
      <c r="C263" s="323" t="n"/>
      <c r="D263" s="328" t="n"/>
      <c r="E263" s="328" t="n"/>
      <c r="F263" s="328" t="n"/>
      <c r="G263" s="329">
        <f>IF(COUNTA(A263:C263)=0,"",SUM(H263:J263))</f>
        <v/>
      </c>
      <c r="H263" s="328" t="n"/>
      <c r="I263" s="330" t="n"/>
      <c r="J263" s="331" t="n"/>
      <c r="K263" s="331" t="n"/>
      <c r="L263" s="331" t="n"/>
      <c r="M263" s="332" t="n"/>
      <c r="N263" s="302">
        <f>IF(L263&gt;0,M263/L263,"")</f>
        <v/>
      </c>
      <c r="O263" s="317">
        <f>IF(E263&gt;0,F263/E263*100,"")</f>
        <v/>
      </c>
      <c r="P263" s="275">
        <f>IF(COUNTA(A263:C263)=0,"",IF(OR(A263="",B263="",C263="",D263&lt;0,E263&lt;0,F263&lt;0,H263&lt;0,I263&lt;0,J263&lt;0,K263&lt;0,L263&lt;0),"ERRO: valores inválidos",IF(D263&lt;&gt;E263+K263,"ERRO: total inconsistente",IF(E263&lt;&gt;F263+G263,"ERRO: finalizados inconsistentes",IF(G263&lt;&gt;SUM(H263:J263),"ERRO: reprovações inconsistentes","OK")))))</f>
        <v/>
      </c>
    </row>
    <row r="264" ht="15" customHeight="1" s="131">
      <c r="A264" s="320" t="n"/>
      <c r="B264" s="323" t="n"/>
      <c r="C264" s="323" t="n"/>
      <c r="D264" s="328" t="n"/>
      <c r="E264" s="328" t="n"/>
      <c r="F264" s="328" t="n"/>
      <c r="G264" s="329">
        <f>IF(COUNTA(A264:C264)=0,"",SUM(H264:J264))</f>
        <v/>
      </c>
      <c r="H264" s="328" t="n"/>
      <c r="I264" s="330" t="n"/>
      <c r="J264" s="331" t="n"/>
      <c r="K264" s="331" t="n"/>
      <c r="L264" s="331" t="n"/>
      <c r="M264" s="332" t="n"/>
      <c r="N264" s="302">
        <f>IF(L264&gt;0,M264/L264,"")</f>
        <v/>
      </c>
      <c r="O264" s="317">
        <f>IF(E264&gt;0,F264/E264*100,"")</f>
        <v/>
      </c>
      <c r="P264" s="275">
        <f>IF(COUNTA(A264:C264)=0,"",IF(OR(A264="",B264="",C264="",D264&lt;0,E264&lt;0,F264&lt;0,H264&lt;0,I264&lt;0,J264&lt;0,K264&lt;0,L264&lt;0),"ERRO: valores inválidos",IF(D264&lt;&gt;E264+K264,"ERRO: total inconsistente",IF(E264&lt;&gt;F264+G264,"ERRO: finalizados inconsistentes",IF(G264&lt;&gt;SUM(H264:J264),"ERRO: reprovações inconsistentes","OK")))))</f>
        <v/>
      </c>
    </row>
    <row r="265" ht="15" customHeight="1" s="131">
      <c r="A265" s="320" t="n"/>
      <c r="B265" s="323" t="n"/>
      <c r="C265" s="323" t="n"/>
      <c r="D265" s="328" t="n"/>
      <c r="E265" s="328" t="n"/>
      <c r="F265" s="328" t="n"/>
      <c r="G265" s="329">
        <f>IF(COUNTA(A265:C265)=0,"",SUM(H265:J265))</f>
        <v/>
      </c>
      <c r="H265" s="328" t="n"/>
      <c r="I265" s="330" t="n"/>
      <c r="J265" s="331" t="n"/>
      <c r="K265" s="331" t="n"/>
      <c r="L265" s="331" t="n"/>
      <c r="M265" s="332" t="n"/>
      <c r="N265" s="302">
        <f>IF(L265&gt;0,M265/L265,"")</f>
        <v/>
      </c>
      <c r="O265" s="317">
        <f>IF(E265&gt;0,F265/E265*100,"")</f>
        <v/>
      </c>
      <c r="P265" s="275">
        <f>IF(COUNTA(A265:C265)=0,"",IF(OR(A265="",B265="",C265="",D265&lt;0,E265&lt;0,F265&lt;0,H265&lt;0,I265&lt;0,J265&lt;0,K265&lt;0,L265&lt;0),"ERRO: valores inválidos",IF(D265&lt;&gt;E265+K265,"ERRO: total inconsistente",IF(E265&lt;&gt;F265+G265,"ERRO: finalizados inconsistentes",IF(G265&lt;&gt;SUM(H265:J265),"ERRO: reprovações inconsistentes","OK")))))</f>
        <v/>
      </c>
    </row>
    <row r="266" ht="15" customHeight="1" s="131">
      <c r="A266" s="320" t="n"/>
      <c r="B266" s="323" t="n"/>
      <c r="C266" s="323" t="n"/>
      <c r="D266" s="328" t="n"/>
      <c r="E266" s="328" t="n"/>
      <c r="F266" s="328" t="n"/>
      <c r="G266" s="329">
        <f>IF(COUNTA(A266:C266)=0,"",SUM(H266:J266))</f>
        <v/>
      </c>
      <c r="H266" s="328" t="n"/>
      <c r="I266" s="330" t="n"/>
      <c r="J266" s="331" t="n"/>
      <c r="K266" s="331" t="n"/>
      <c r="L266" s="331" t="n"/>
      <c r="M266" s="332" t="n"/>
      <c r="N266" s="302">
        <f>IF(L266&gt;0,M266/L266,"")</f>
        <v/>
      </c>
      <c r="O266" s="317">
        <f>IF(E266&gt;0,F266/E266*100,"")</f>
        <v/>
      </c>
      <c r="P266" s="275">
        <f>IF(COUNTA(A266:C266)=0,"",IF(OR(A266="",B266="",C266="",D266&lt;0,E266&lt;0,F266&lt;0,H266&lt;0,I266&lt;0,J266&lt;0,K266&lt;0,L266&lt;0),"ERRO: valores inválidos",IF(D266&lt;&gt;E266+K266,"ERRO: total inconsistente",IF(E266&lt;&gt;F266+G266,"ERRO: finalizados inconsistentes",IF(G266&lt;&gt;SUM(H266:J266),"ERRO: reprovações inconsistentes","OK")))))</f>
        <v/>
      </c>
    </row>
    <row r="267" ht="15" customHeight="1" s="131">
      <c r="A267" s="320" t="n"/>
      <c r="B267" s="323" t="n"/>
      <c r="C267" s="323" t="n"/>
      <c r="D267" s="328" t="n"/>
      <c r="E267" s="328" t="n"/>
      <c r="F267" s="328" t="n"/>
      <c r="G267" s="329">
        <f>IF(COUNTA(A267:C267)=0,"",SUM(H267:J267))</f>
        <v/>
      </c>
      <c r="H267" s="328" t="n"/>
      <c r="I267" s="330" t="n"/>
      <c r="J267" s="331" t="n"/>
      <c r="K267" s="331" t="n"/>
      <c r="L267" s="331" t="n"/>
      <c r="M267" s="332" t="n"/>
      <c r="N267" s="302">
        <f>IF(L267&gt;0,M267/L267,"")</f>
        <v/>
      </c>
      <c r="O267" s="317">
        <f>IF(E267&gt;0,F267/E267*100,"")</f>
        <v/>
      </c>
      <c r="P267" s="275">
        <f>IF(COUNTA(A267:C267)=0,"",IF(OR(A267="",B267="",C267="",D267&lt;0,E267&lt;0,F267&lt;0,H267&lt;0,I267&lt;0,J267&lt;0,K267&lt;0,L267&lt;0),"ERRO: valores inválidos",IF(D267&lt;&gt;E267+K267,"ERRO: total inconsistente",IF(E267&lt;&gt;F267+G267,"ERRO: finalizados inconsistentes",IF(G267&lt;&gt;SUM(H267:J267),"ERRO: reprovações inconsistentes","OK")))))</f>
        <v/>
      </c>
    </row>
    <row r="268" ht="15" customHeight="1" s="131">
      <c r="A268" s="320" t="n"/>
      <c r="B268" s="323" t="n"/>
      <c r="C268" s="323" t="n"/>
      <c r="D268" s="328" t="n"/>
      <c r="E268" s="328" t="n"/>
      <c r="F268" s="328" t="n"/>
      <c r="G268" s="329">
        <f>IF(COUNTA(A268:C268)=0,"",SUM(H268:J268))</f>
        <v/>
      </c>
      <c r="H268" s="328" t="n"/>
      <c r="I268" s="330" t="n"/>
      <c r="J268" s="331" t="n"/>
      <c r="K268" s="331" t="n"/>
      <c r="L268" s="331" t="n"/>
      <c r="M268" s="332" t="n"/>
      <c r="N268" s="302">
        <f>IF(L268&gt;0,M268/L268,"")</f>
        <v/>
      </c>
      <c r="O268" s="317">
        <f>IF(E268&gt;0,F268/E268*100,"")</f>
        <v/>
      </c>
      <c r="P268" s="275">
        <f>IF(COUNTA(A268:C268)=0,"",IF(OR(A268="",B268="",C268="",D268&lt;0,E268&lt;0,F268&lt;0,H268&lt;0,I268&lt;0,J268&lt;0,K268&lt;0,L268&lt;0),"ERRO: valores inválidos",IF(D268&lt;&gt;E268+K268,"ERRO: total inconsistente",IF(E268&lt;&gt;F268+G268,"ERRO: finalizados inconsistentes",IF(G268&lt;&gt;SUM(H268:J268),"ERRO: reprovações inconsistentes","OK")))))</f>
        <v/>
      </c>
    </row>
    <row r="269" ht="15" customHeight="1" s="131">
      <c r="A269" s="320" t="n"/>
      <c r="B269" s="323" t="n"/>
      <c r="C269" s="323" t="n"/>
      <c r="D269" s="328" t="n"/>
      <c r="E269" s="328" t="n"/>
      <c r="F269" s="328" t="n"/>
      <c r="G269" s="329">
        <f>IF(COUNTA(A269:C269)=0,"",SUM(H269:J269))</f>
        <v/>
      </c>
      <c r="H269" s="328" t="n"/>
      <c r="I269" s="330" t="n"/>
      <c r="J269" s="331" t="n"/>
      <c r="K269" s="331" t="n"/>
      <c r="L269" s="331" t="n"/>
      <c r="M269" s="332" t="n"/>
      <c r="N269" s="302">
        <f>IF(L269&gt;0,M269/L269,"")</f>
        <v/>
      </c>
      <c r="O269" s="317">
        <f>IF(E269&gt;0,F269/E269*100,"")</f>
        <v/>
      </c>
      <c r="P269" s="275">
        <f>IF(COUNTA(A269:C269)=0,"",IF(OR(A269="",B269="",C269="",D269&lt;0,E269&lt;0,F269&lt;0,H269&lt;0,I269&lt;0,J269&lt;0,K269&lt;0,L269&lt;0),"ERRO: valores inválidos",IF(D269&lt;&gt;E269+K269,"ERRO: total inconsistente",IF(E269&lt;&gt;F269+G269,"ERRO: finalizados inconsistentes",IF(G269&lt;&gt;SUM(H269:J269),"ERRO: reprovações inconsistentes","OK")))))</f>
        <v/>
      </c>
    </row>
    <row r="270" ht="15" customHeight="1" s="131">
      <c r="A270" s="320" t="n"/>
      <c r="B270" s="323" t="n"/>
      <c r="C270" s="323" t="n"/>
      <c r="D270" s="328" t="n"/>
      <c r="E270" s="328" t="n"/>
      <c r="F270" s="328" t="n"/>
      <c r="G270" s="329">
        <f>IF(COUNTA(A270:C270)=0,"",SUM(H270:J270))</f>
        <v/>
      </c>
      <c r="H270" s="328" t="n"/>
      <c r="I270" s="330" t="n"/>
      <c r="J270" s="331" t="n"/>
      <c r="K270" s="331" t="n"/>
      <c r="L270" s="331" t="n"/>
      <c r="M270" s="332" t="n"/>
      <c r="N270" s="302">
        <f>IF(L270&gt;0,M270/L270,"")</f>
        <v/>
      </c>
      <c r="O270" s="317">
        <f>IF(E270&gt;0,F270/E270*100,"")</f>
        <v/>
      </c>
      <c r="P270" s="275">
        <f>IF(COUNTA(A270:C270)=0,"",IF(OR(A270="",B270="",C270="",D270&lt;0,E270&lt;0,F270&lt;0,H270&lt;0,I270&lt;0,J270&lt;0,K270&lt;0,L270&lt;0),"ERRO: valores inválidos",IF(D270&lt;&gt;E270+K270,"ERRO: total inconsistente",IF(E270&lt;&gt;F270+G270,"ERRO: finalizados inconsistentes",IF(G270&lt;&gt;SUM(H270:J270),"ERRO: reprovações inconsistentes","OK")))))</f>
        <v/>
      </c>
    </row>
    <row r="271" ht="15" customHeight="1" s="131">
      <c r="A271" s="320" t="n"/>
      <c r="B271" s="323" t="n"/>
      <c r="C271" s="323" t="n"/>
      <c r="D271" s="328" t="n"/>
      <c r="E271" s="328" t="n"/>
      <c r="F271" s="328" t="n"/>
      <c r="G271" s="329">
        <f>IF(COUNTA(A271:C271)=0,"",SUM(H271:J271))</f>
        <v/>
      </c>
      <c r="H271" s="328" t="n"/>
      <c r="I271" s="330" t="n"/>
      <c r="J271" s="331" t="n"/>
      <c r="K271" s="331" t="n"/>
      <c r="L271" s="331" t="n"/>
      <c r="M271" s="332" t="n"/>
      <c r="N271" s="302">
        <f>IF(L271&gt;0,M271/L271,"")</f>
        <v/>
      </c>
      <c r="O271" s="317">
        <f>IF(E271&gt;0,F271/E271*100,"")</f>
        <v/>
      </c>
      <c r="P271" s="275">
        <f>IF(COUNTA(A271:C271)=0,"",IF(OR(A271="",B271="",C271="",D271&lt;0,E271&lt;0,F271&lt;0,H271&lt;0,I271&lt;0,J271&lt;0,K271&lt;0,L271&lt;0),"ERRO: valores inválidos",IF(D271&lt;&gt;E271+K271,"ERRO: total inconsistente",IF(E271&lt;&gt;F271+G271,"ERRO: finalizados inconsistentes",IF(G271&lt;&gt;SUM(H271:J271),"ERRO: reprovações inconsistentes","OK")))))</f>
        <v/>
      </c>
    </row>
    <row r="272" ht="15" customHeight="1" s="131">
      <c r="A272" s="320" t="n"/>
      <c r="B272" s="323" t="n"/>
      <c r="C272" s="323" t="n"/>
      <c r="D272" s="328" t="n"/>
      <c r="E272" s="328" t="n"/>
      <c r="F272" s="328" t="n"/>
      <c r="G272" s="329">
        <f>IF(COUNTA(A272:C272)=0,"",SUM(H272:J272))</f>
        <v/>
      </c>
      <c r="H272" s="328" t="n"/>
      <c r="I272" s="330" t="n"/>
      <c r="J272" s="331" t="n"/>
      <c r="K272" s="331" t="n"/>
      <c r="L272" s="331" t="n"/>
      <c r="M272" s="332" t="n"/>
      <c r="N272" s="302">
        <f>IF(L272&gt;0,M272/L272,"")</f>
        <v/>
      </c>
      <c r="O272" s="317">
        <f>IF(E272&gt;0,F272/E272*100,"")</f>
        <v/>
      </c>
      <c r="P272" s="275">
        <f>IF(COUNTA(A272:C272)=0,"",IF(OR(A272="",B272="",C272="",D272&lt;0,E272&lt;0,F272&lt;0,H272&lt;0,I272&lt;0,J272&lt;0,K272&lt;0,L272&lt;0),"ERRO: valores inválidos",IF(D272&lt;&gt;E272+K272,"ERRO: total inconsistente",IF(E272&lt;&gt;F272+G272,"ERRO: finalizados inconsistentes",IF(G272&lt;&gt;SUM(H272:J272),"ERRO: reprovações inconsistentes","OK")))))</f>
        <v/>
      </c>
    </row>
    <row r="273" ht="15" customHeight="1" s="131">
      <c r="A273" s="320" t="n"/>
      <c r="B273" s="323" t="n"/>
      <c r="C273" s="323" t="n"/>
      <c r="D273" s="328" t="n"/>
      <c r="E273" s="328" t="n"/>
      <c r="F273" s="328" t="n"/>
      <c r="G273" s="329">
        <f>IF(COUNTA(A273:C273)=0,"",SUM(H273:J273))</f>
        <v/>
      </c>
      <c r="H273" s="328" t="n"/>
      <c r="I273" s="330" t="n"/>
      <c r="J273" s="331" t="n"/>
      <c r="K273" s="331" t="n"/>
      <c r="L273" s="331" t="n"/>
      <c r="M273" s="332" t="n"/>
      <c r="N273" s="302">
        <f>IF(L273&gt;0,M273/L273,"")</f>
        <v/>
      </c>
      <c r="O273" s="317">
        <f>IF(E273&gt;0,F273/E273*100,"")</f>
        <v/>
      </c>
      <c r="P273" s="275">
        <f>IF(COUNTA(A273:C273)=0,"",IF(OR(A273="",B273="",C273="",D273&lt;0,E273&lt;0,F273&lt;0,H273&lt;0,I273&lt;0,J273&lt;0,K273&lt;0,L273&lt;0),"ERRO: valores inválidos",IF(D273&lt;&gt;E273+K273,"ERRO: total inconsistente",IF(E273&lt;&gt;F273+G273,"ERRO: finalizados inconsistentes",IF(G273&lt;&gt;SUM(H273:J273),"ERRO: reprovações inconsistentes","OK")))))</f>
        <v/>
      </c>
    </row>
    <row r="274" ht="15" customHeight="1" s="131">
      <c r="A274" s="320" t="n"/>
      <c r="B274" s="323" t="n"/>
      <c r="C274" s="323" t="n"/>
      <c r="D274" s="328" t="n"/>
      <c r="E274" s="328" t="n"/>
      <c r="F274" s="328" t="n"/>
      <c r="G274" s="329">
        <f>IF(COUNTA(A274:C274)=0,"",SUM(H274:J274))</f>
        <v/>
      </c>
      <c r="H274" s="328" t="n"/>
      <c r="I274" s="330" t="n"/>
      <c r="J274" s="331" t="n"/>
      <c r="K274" s="331" t="n"/>
      <c r="L274" s="331" t="n"/>
      <c r="M274" s="332" t="n"/>
      <c r="N274" s="302">
        <f>IF(L274&gt;0,M274/L274,"")</f>
        <v/>
      </c>
      <c r="O274" s="317">
        <f>IF(E274&gt;0,F274/E274*100,"")</f>
        <v/>
      </c>
      <c r="P274" s="275">
        <f>IF(COUNTA(A274:C274)=0,"",IF(OR(A274="",B274="",C274="",D274&lt;0,E274&lt;0,F274&lt;0,H274&lt;0,I274&lt;0,J274&lt;0,K274&lt;0,L274&lt;0),"ERRO: valores inválidos",IF(D274&lt;&gt;E274+K274,"ERRO: total inconsistente",IF(E274&lt;&gt;F274+G274,"ERRO: finalizados inconsistentes",IF(G274&lt;&gt;SUM(H274:J274),"ERRO: reprovações inconsistentes","OK")))))</f>
        <v/>
      </c>
    </row>
    <row r="275" ht="15" customHeight="1" s="131">
      <c r="A275" s="320" t="n"/>
      <c r="B275" s="323" t="n"/>
      <c r="C275" s="323" t="n"/>
      <c r="D275" s="328" t="n"/>
      <c r="E275" s="328" t="n"/>
      <c r="F275" s="328" t="n"/>
      <c r="G275" s="329">
        <f>IF(COUNTA(A275:C275)=0,"",SUM(H275:J275))</f>
        <v/>
      </c>
      <c r="H275" s="328" t="n"/>
      <c r="I275" s="330" t="n"/>
      <c r="J275" s="331" t="n"/>
      <c r="K275" s="331" t="n"/>
      <c r="L275" s="331" t="n"/>
      <c r="M275" s="332" t="n"/>
      <c r="N275" s="302">
        <f>IF(L275&gt;0,M275/L275,"")</f>
        <v/>
      </c>
      <c r="O275" s="317">
        <f>IF(E275&gt;0,F275/E275*100,"")</f>
        <v/>
      </c>
      <c r="P275" s="275">
        <f>IF(COUNTA(A275:C275)=0,"",IF(OR(A275="",B275="",C275="",D275&lt;0,E275&lt;0,F275&lt;0,H275&lt;0,I275&lt;0,J275&lt;0,K275&lt;0,L275&lt;0),"ERRO: valores inválidos",IF(D275&lt;&gt;E275+K275,"ERRO: total inconsistente",IF(E275&lt;&gt;F275+G275,"ERRO: finalizados inconsistentes",IF(G275&lt;&gt;SUM(H275:J275),"ERRO: reprovações inconsistentes","OK")))))</f>
        <v/>
      </c>
    </row>
    <row r="276" ht="15" customHeight="1" s="131">
      <c r="A276" s="320" t="n"/>
      <c r="B276" s="323" t="n"/>
      <c r="C276" s="323" t="n"/>
      <c r="D276" s="328" t="n"/>
      <c r="E276" s="328" t="n"/>
      <c r="F276" s="328" t="n"/>
      <c r="G276" s="329">
        <f>IF(COUNTA(A276:C276)=0,"",SUM(H276:J276))</f>
        <v/>
      </c>
      <c r="H276" s="328" t="n"/>
      <c r="I276" s="330" t="n"/>
      <c r="J276" s="331" t="n"/>
      <c r="K276" s="331" t="n"/>
      <c r="L276" s="331" t="n"/>
      <c r="M276" s="332" t="n"/>
      <c r="N276" s="302">
        <f>IF(L276&gt;0,M276/L276,"")</f>
        <v/>
      </c>
      <c r="O276" s="317">
        <f>IF(E276&gt;0,F276/E276*100,"")</f>
        <v/>
      </c>
      <c r="P276" s="275">
        <f>IF(COUNTA(A276:C276)=0,"",IF(OR(A276="",B276="",C276="",D276&lt;0,E276&lt;0,F276&lt;0,H276&lt;0,I276&lt;0,J276&lt;0,K276&lt;0,L276&lt;0),"ERRO: valores inválidos",IF(D276&lt;&gt;E276+K276,"ERRO: total inconsistente",IF(E276&lt;&gt;F276+G276,"ERRO: finalizados inconsistentes",IF(G276&lt;&gt;SUM(H276:J276),"ERRO: reprovações inconsistentes","OK")))))</f>
        <v/>
      </c>
    </row>
    <row r="277" ht="15" customHeight="1" s="131">
      <c r="A277" s="320" t="n"/>
      <c r="B277" s="323" t="n"/>
      <c r="C277" s="323" t="n"/>
      <c r="D277" s="328" t="n"/>
      <c r="E277" s="328" t="n"/>
      <c r="F277" s="328" t="n"/>
      <c r="G277" s="329">
        <f>IF(COUNTA(A277:C277)=0,"",SUM(H277:J277))</f>
        <v/>
      </c>
      <c r="H277" s="328" t="n"/>
      <c r="I277" s="330" t="n"/>
      <c r="J277" s="331" t="n"/>
      <c r="K277" s="331" t="n"/>
      <c r="L277" s="331" t="n"/>
      <c r="M277" s="332" t="n"/>
      <c r="N277" s="302">
        <f>IF(L277&gt;0,M277/L277,"")</f>
        <v/>
      </c>
      <c r="O277" s="317">
        <f>IF(E277&gt;0,F277/E277*100,"")</f>
        <v/>
      </c>
      <c r="P277" s="275">
        <f>IF(COUNTA(A277:C277)=0,"",IF(OR(A277="",B277="",C277="",D277&lt;0,E277&lt;0,F277&lt;0,H277&lt;0,I277&lt;0,J277&lt;0,K277&lt;0,L277&lt;0),"ERRO: valores inválidos",IF(D277&lt;&gt;E277+K277,"ERRO: total inconsistente",IF(E277&lt;&gt;F277+G277,"ERRO: finalizados inconsistentes",IF(G277&lt;&gt;SUM(H277:J277),"ERRO: reprovações inconsistentes","OK")))))</f>
        <v/>
      </c>
    </row>
    <row r="278" ht="15" customHeight="1" s="131">
      <c r="A278" s="320" t="n"/>
      <c r="B278" s="323" t="n"/>
      <c r="C278" s="323" t="n"/>
      <c r="D278" s="328" t="n"/>
      <c r="E278" s="328" t="n"/>
      <c r="F278" s="328" t="n"/>
      <c r="G278" s="329">
        <f>IF(COUNTA(A278:C278)=0,"",SUM(H278:J278))</f>
        <v/>
      </c>
      <c r="H278" s="328" t="n"/>
      <c r="I278" s="330" t="n"/>
      <c r="J278" s="331" t="n"/>
      <c r="K278" s="331" t="n"/>
      <c r="L278" s="331" t="n"/>
      <c r="M278" s="332" t="n"/>
      <c r="N278" s="302">
        <f>IF(L278&gt;0,M278/L278,"")</f>
        <v/>
      </c>
      <c r="O278" s="317">
        <f>IF(E278&gt;0,F278/E278*100,"")</f>
        <v/>
      </c>
      <c r="P278" s="275">
        <f>IF(COUNTA(A278:C278)=0,"",IF(OR(A278="",B278="",C278="",D278&lt;0,E278&lt;0,F278&lt;0,H278&lt;0,I278&lt;0,J278&lt;0,K278&lt;0,L278&lt;0),"ERRO: valores inválidos",IF(D278&lt;&gt;E278+K278,"ERRO: total inconsistente",IF(E278&lt;&gt;F278+G278,"ERRO: finalizados inconsistentes",IF(G278&lt;&gt;SUM(H278:J278),"ERRO: reprovações inconsistentes","OK")))))</f>
        <v/>
      </c>
    </row>
    <row r="279" ht="15" customHeight="1" s="131">
      <c r="A279" s="320" t="n"/>
      <c r="B279" s="323" t="n"/>
      <c r="C279" s="323" t="n"/>
      <c r="D279" s="328" t="n"/>
      <c r="E279" s="328" t="n"/>
      <c r="F279" s="328" t="n"/>
      <c r="G279" s="329">
        <f>IF(COUNTA(A279:C279)=0,"",SUM(H279:J279))</f>
        <v/>
      </c>
      <c r="H279" s="328" t="n"/>
      <c r="I279" s="330" t="n"/>
      <c r="J279" s="331" t="n"/>
      <c r="K279" s="331" t="n"/>
      <c r="L279" s="331" t="n"/>
      <c r="M279" s="332" t="n"/>
      <c r="N279" s="302">
        <f>IF(L279&gt;0,M279/L279,"")</f>
        <v/>
      </c>
      <c r="O279" s="317">
        <f>IF(E279&gt;0,F279/E279*100,"")</f>
        <v/>
      </c>
      <c r="P279" s="275">
        <f>IF(COUNTA(A279:C279)=0,"",IF(OR(A279="",B279="",C279="",D279&lt;0,E279&lt;0,F279&lt;0,H279&lt;0,I279&lt;0,J279&lt;0,K279&lt;0,L279&lt;0),"ERRO: valores inválidos",IF(D279&lt;&gt;E279+K279,"ERRO: total inconsistente",IF(E279&lt;&gt;F279+G279,"ERRO: finalizados inconsistentes",IF(G279&lt;&gt;SUM(H279:J279),"ERRO: reprovações inconsistentes","OK")))))</f>
        <v/>
      </c>
    </row>
    <row r="280" ht="15" customHeight="1" s="131">
      <c r="A280" s="320" t="n"/>
      <c r="B280" s="323" t="n"/>
      <c r="C280" s="323" t="n"/>
      <c r="D280" s="328" t="n"/>
      <c r="E280" s="328" t="n"/>
      <c r="F280" s="328" t="n"/>
      <c r="G280" s="329">
        <f>IF(COUNTA(A280:C280)=0,"",SUM(H280:J280))</f>
        <v/>
      </c>
      <c r="H280" s="328" t="n"/>
      <c r="I280" s="330" t="n"/>
      <c r="J280" s="331" t="n"/>
      <c r="K280" s="331" t="n"/>
      <c r="L280" s="331" t="n"/>
      <c r="M280" s="332" t="n"/>
      <c r="N280" s="302">
        <f>IF(L280&gt;0,M280/L280,"")</f>
        <v/>
      </c>
      <c r="O280" s="317">
        <f>IF(E280&gt;0,F280/E280*100,"")</f>
        <v/>
      </c>
      <c r="P280" s="275">
        <f>IF(COUNTA(A280:C280)=0,"",IF(OR(A280="",B280="",C280="",D280&lt;0,E280&lt;0,F280&lt;0,H280&lt;0,I280&lt;0,J280&lt;0,K280&lt;0,L280&lt;0),"ERRO: valores inválidos",IF(D280&lt;&gt;E280+K280,"ERRO: total inconsistente",IF(E280&lt;&gt;F280+G280,"ERRO: finalizados inconsistentes",IF(G280&lt;&gt;SUM(H280:J280),"ERRO: reprovações inconsistentes","OK")))))</f>
        <v/>
      </c>
    </row>
    <row r="281" ht="15" customHeight="1" s="131">
      <c r="A281" s="320" t="n"/>
      <c r="B281" s="323" t="n"/>
      <c r="C281" s="323" t="n"/>
      <c r="D281" s="328" t="n"/>
      <c r="E281" s="328" t="n"/>
      <c r="F281" s="328" t="n"/>
      <c r="G281" s="329">
        <f>IF(COUNTA(A281:C281)=0,"",SUM(H281:J281))</f>
        <v/>
      </c>
      <c r="H281" s="328" t="n"/>
      <c r="I281" s="330" t="n"/>
      <c r="J281" s="331" t="n"/>
      <c r="K281" s="331" t="n"/>
      <c r="L281" s="331" t="n"/>
      <c r="M281" s="332" t="n"/>
      <c r="N281" s="302">
        <f>IF(L281&gt;0,M281/L281,"")</f>
        <v/>
      </c>
      <c r="O281" s="317">
        <f>IF(E281&gt;0,F281/E281*100,"")</f>
        <v/>
      </c>
      <c r="P281" s="275">
        <f>IF(COUNTA(A281:C281)=0,"",IF(OR(A281="",B281="",C281="",D281&lt;0,E281&lt;0,F281&lt;0,H281&lt;0,I281&lt;0,J281&lt;0,K281&lt;0,L281&lt;0),"ERRO: valores inválidos",IF(D281&lt;&gt;E281+K281,"ERRO: total inconsistente",IF(E281&lt;&gt;F281+G281,"ERRO: finalizados inconsistentes",IF(G281&lt;&gt;SUM(H281:J281),"ERRO: reprovações inconsistentes","OK")))))</f>
        <v/>
      </c>
    </row>
    <row r="282" ht="15" customHeight="1" s="131">
      <c r="A282" s="320" t="n"/>
      <c r="B282" s="323" t="n"/>
      <c r="C282" s="323" t="n"/>
      <c r="D282" s="328" t="n"/>
      <c r="E282" s="328" t="n"/>
      <c r="F282" s="328" t="n"/>
      <c r="G282" s="329">
        <f>IF(COUNTA(A282:C282)=0,"",SUM(H282:J282))</f>
        <v/>
      </c>
      <c r="H282" s="328" t="n"/>
      <c r="I282" s="330" t="n"/>
      <c r="J282" s="331" t="n"/>
      <c r="K282" s="331" t="n"/>
      <c r="L282" s="331" t="n"/>
      <c r="M282" s="332" t="n"/>
      <c r="N282" s="302">
        <f>IF(L282&gt;0,M282/L282,"")</f>
        <v/>
      </c>
      <c r="O282" s="317">
        <f>IF(E282&gt;0,F282/E282*100,"")</f>
        <v/>
      </c>
      <c r="P282" s="275">
        <f>IF(COUNTA(A282:C282)=0,"",IF(OR(A282="",B282="",C282="",D282&lt;0,E282&lt;0,F282&lt;0,H282&lt;0,I282&lt;0,J282&lt;0,K282&lt;0,L282&lt;0),"ERRO: valores inválidos",IF(D282&lt;&gt;E282+K282,"ERRO: total inconsistente",IF(E282&lt;&gt;F282+G282,"ERRO: finalizados inconsistentes",IF(G282&lt;&gt;SUM(H282:J282),"ERRO: reprovações inconsistentes","OK")))))</f>
        <v/>
      </c>
    </row>
    <row r="283" ht="15" customHeight="1" s="131">
      <c r="A283" s="320" t="n"/>
      <c r="B283" s="323" t="n"/>
      <c r="C283" s="323" t="n"/>
      <c r="D283" s="328" t="n"/>
      <c r="E283" s="328" t="n"/>
      <c r="F283" s="328" t="n"/>
      <c r="G283" s="329">
        <f>IF(COUNTA(A283:C283)=0,"",SUM(H283:J283))</f>
        <v/>
      </c>
      <c r="H283" s="328" t="n"/>
      <c r="I283" s="330" t="n"/>
      <c r="J283" s="331" t="n"/>
      <c r="K283" s="331" t="n"/>
      <c r="L283" s="331" t="n"/>
      <c r="M283" s="332" t="n"/>
      <c r="N283" s="302">
        <f>IF(L283&gt;0,M283/L283,"")</f>
        <v/>
      </c>
      <c r="O283" s="317">
        <f>IF(E283&gt;0,F283/E283*100,"")</f>
        <v/>
      </c>
      <c r="P283" s="275">
        <f>IF(COUNTA(A283:C283)=0,"",IF(OR(A283="",B283="",C283="",D283&lt;0,E283&lt;0,F283&lt;0,H283&lt;0,I283&lt;0,J283&lt;0,K283&lt;0,L283&lt;0),"ERRO: valores inválidos",IF(D283&lt;&gt;E283+K283,"ERRO: total inconsistente",IF(E283&lt;&gt;F283+G283,"ERRO: finalizados inconsistentes",IF(G283&lt;&gt;SUM(H283:J283),"ERRO: reprovações inconsistentes","OK")))))</f>
        <v/>
      </c>
    </row>
    <row r="284" ht="15" customHeight="1" s="131">
      <c r="A284" s="320" t="n"/>
      <c r="B284" s="323" t="n"/>
      <c r="C284" s="323" t="n"/>
      <c r="D284" s="328" t="n"/>
      <c r="E284" s="328" t="n"/>
      <c r="F284" s="328" t="n"/>
      <c r="G284" s="329">
        <f>IF(COUNTA(A284:C284)=0,"",SUM(H284:J284))</f>
        <v/>
      </c>
      <c r="H284" s="328" t="n"/>
      <c r="I284" s="330" t="n"/>
      <c r="J284" s="331" t="n"/>
      <c r="K284" s="331" t="n"/>
      <c r="L284" s="331" t="n"/>
      <c r="M284" s="332" t="n"/>
      <c r="N284" s="302">
        <f>IF(L284&gt;0,M284/L284,"")</f>
        <v/>
      </c>
      <c r="O284" s="317">
        <f>IF(E284&gt;0,F284/E284*100,"")</f>
        <v/>
      </c>
      <c r="P284" s="275">
        <f>IF(COUNTA(A284:C284)=0,"",IF(OR(A284="",B284="",C284="",D284&lt;0,E284&lt;0,F284&lt;0,H284&lt;0,I284&lt;0,J284&lt;0,K284&lt;0,L284&lt;0),"ERRO: valores inválidos",IF(D284&lt;&gt;E284+K284,"ERRO: total inconsistente",IF(E284&lt;&gt;F284+G284,"ERRO: finalizados inconsistentes",IF(G284&lt;&gt;SUM(H284:J284),"ERRO: reprovações inconsistentes","OK")))))</f>
        <v/>
      </c>
    </row>
    <row r="285" ht="15" customHeight="1" s="131">
      <c r="A285" s="320" t="n"/>
      <c r="B285" s="323" t="n"/>
      <c r="C285" s="323" t="n"/>
      <c r="D285" s="328" t="n"/>
      <c r="E285" s="328" t="n"/>
      <c r="F285" s="328" t="n"/>
      <c r="G285" s="329">
        <f>IF(COUNTA(A285:C285)=0,"",SUM(H285:J285))</f>
        <v/>
      </c>
      <c r="H285" s="328" t="n"/>
      <c r="I285" s="330" t="n"/>
      <c r="J285" s="331" t="n"/>
      <c r="K285" s="331" t="n"/>
      <c r="L285" s="331" t="n"/>
      <c r="M285" s="332" t="n"/>
      <c r="N285" s="302">
        <f>IF(L285&gt;0,M285/L285,"")</f>
        <v/>
      </c>
      <c r="O285" s="317">
        <f>IF(E285&gt;0,F285/E285*100,"")</f>
        <v/>
      </c>
      <c r="P285" s="275">
        <f>IF(COUNTA(A285:C285)=0,"",IF(OR(A285="",B285="",C285="",D285&lt;0,E285&lt;0,F285&lt;0,H285&lt;0,I285&lt;0,J285&lt;0,K285&lt;0,L285&lt;0),"ERRO: valores inválidos",IF(D285&lt;&gt;E285+K285,"ERRO: total inconsistente",IF(E285&lt;&gt;F285+G285,"ERRO: finalizados inconsistentes",IF(G285&lt;&gt;SUM(H285:J285),"ERRO: reprovações inconsistentes","OK")))))</f>
        <v/>
      </c>
    </row>
    <row r="286" ht="15" customHeight="1" s="131">
      <c r="A286" s="320" t="n"/>
      <c r="B286" s="323" t="n"/>
      <c r="C286" s="323" t="n"/>
      <c r="D286" s="328" t="n"/>
      <c r="E286" s="328" t="n"/>
      <c r="F286" s="328" t="n"/>
      <c r="G286" s="329">
        <f>IF(COUNTA(A286:C286)=0,"",SUM(H286:J286))</f>
        <v/>
      </c>
      <c r="H286" s="328" t="n"/>
      <c r="I286" s="330" t="n"/>
      <c r="J286" s="331" t="n"/>
      <c r="K286" s="331" t="n"/>
      <c r="L286" s="331" t="n"/>
      <c r="M286" s="332" t="n"/>
      <c r="N286" s="302">
        <f>IF(L286&gt;0,M286/L286,"")</f>
        <v/>
      </c>
      <c r="O286" s="317">
        <f>IF(E286&gt;0,F286/E286*100,"")</f>
        <v/>
      </c>
      <c r="P286" s="275">
        <f>IF(COUNTA(A286:C286)=0,"",IF(OR(A286="",B286="",C286="",D286&lt;0,E286&lt;0,F286&lt;0,H286&lt;0,I286&lt;0,J286&lt;0,K286&lt;0,L286&lt;0),"ERRO: valores inválidos",IF(D286&lt;&gt;E286+K286,"ERRO: total inconsistente",IF(E286&lt;&gt;F286+G286,"ERRO: finalizados inconsistentes",IF(G286&lt;&gt;SUM(H286:J286),"ERRO: reprovações inconsistentes","OK")))))</f>
        <v/>
      </c>
    </row>
    <row r="287" ht="15" customHeight="1" s="131">
      <c r="A287" s="320" t="n"/>
      <c r="B287" s="323" t="n"/>
      <c r="C287" s="323" t="n"/>
      <c r="D287" s="328" t="n"/>
      <c r="E287" s="328" t="n"/>
      <c r="F287" s="328" t="n"/>
      <c r="G287" s="329">
        <f>IF(COUNTA(A287:C287)=0,"",SUM(H287:J287))</f>
        <v/>
      </c>
      <c r="H287" s="328" t="n"/>
      <c r="I287" s="330" t="n"/>
      <c r="J287" s="331" t="n"/>
      <c r="K287" s="331" t="n"/>
      <c r="L287" s="331" t="n"/>
      <c r="M287" s="332" t="n"/>
      <c r="N287" s="302">
        <f>IF(L287&gt;0,M287/L287,"")</f>
        <v/>
      </c>
      <c r="O287" s="317">
        <f>IF(E287&gt;0,F287/E287*100,"")</f>
        <v/>
      </c>
      <c r="P287" s="275">
        <f>IF(COUNTA(A287:C287)=0,"",IF(OR(A287="",B287="",C287="",D287&lt;0,E287&lt;0,F287&lt;0,H287&lt;0,I287&lt;0,J287&lt;0,K287&lt;0,L287&lt;0),"ERRO: valores inválidos",IF(D287&lt;&gt;E287+K287,"ERRO: total inconsistente",IF(E287&lt;&gt;F287+G287,"ERRO: finalizados inconsistentes",IF(G287&lt;&gt;SUM(H287:J287),"ERRO: reprovações inconsistentes","OK")))))</f>
        <v/>
      </c>
    </row>
    <row r="288" ht="15" customHeight="1" s="131">
      <c r="A288" s="320" t="n"/>
      <c r="B288" s="323" t="n"/>
      <c r="C288" s="323" t="n"/>
      <c r="D288" s="328" t="n"/>
      <c r="E288" s="328" t="n"/>
      <c r="F288" s="328" t="n"/>
      <c r="G288" s="329">
        <f>IF(COUNTA(A288:C288)=0,"",SUM(H288:J288))</f>
        <v/>
      </c>
      <c r="H288" s="328" t="n"/>
      <c r="I288" s="330" t="n"/>
      <c r="J288" s="331" t="n"/>
      <c r="K288" s="331" t="n"/>
      <c r="L288" s="331" t="n"/>
      <c r="M288" s="332" t="n"/>
      <c r="N288" s="302">
        <f>IF(L288&gt;0,M288/L288,"")</f>
        <v/>
      </c>
      <c r="O288" s="317">
        <f>IF(E288&gt;0,F288/E288*100,"")</f>
        <v/>
      </c>
      <c r="P288" s="275">
        <f>IF(COUNTA(A288:C288)=0,"",IF(OR(A288="",B288="",C288="",D288&lt;0,E288&lt;0,F288&lt;0,H288&lt;0,I288&lt;0,J288&lt;0,K288&lt;0,L288&lt;0),"ERRO: valores inválidos",IF(D288&lt;&gt;E288+K288,"ERRO: total inconsistente",IF(E288&lt;&gt;F288+G288,"ERRO: finalizados inconsistentes",IF(G288&lt;&gt;SUM(H288:J288),"ERRO: reprovações inconsistentes","OK")))))</f>
        <v/>
      </c>
    </row>
    <row r="289" ht="15" customHeight="1" s="131">
      <c r="A289" s="320" t="n"/>
      <c r="B289" s="323" t="n"/>
      <c r="C289" s="323" t="n"/>
      <c r="D289" s="328" t="n"/>
      <c r="E289" s="328" t="n"/>
      <c r="F289" s="328" t="n"/>
      <c r="G289" s="329">
        <f>IF(COUNTA(A289:C289)=0,"",SUM(H289:J289))</f>
        <v/>
      </c>
      <c r="H289" s="328" t="n"/>
      <c r="I289" s="330" t="n"/>
      <c r="J289" s="331" t="n"/>
      <c r="K289" s="331" t="n"/>
      <c r="L289" s="331" t="n"/>
      <c r="M289" s="332" t="n"/>
      <c r="N289" s="302">
        <f>IF(L289&gt;0,M289/L289,"")</f>
        <v/>
      </c>
      <c r="O289" s="317">
        <f>IF(E289&gt;0,F289/E289*100,"")</f>
        <v/>
      </c>
      <c r="P289" s="275">
        <f>IF(COUNTA(A289:C289)=0,"",IF(OR(A289="",B289="",C289="",D289&lt;0,E289&lt;0,F289&lt;0,H289&lt;0,I289&lt;0,J289&lt;0,K289&lt;0,L289&lt;0),"ERRO: valores inválidos",IF(D289&lt;&gt;E289+K289,"ERRO: total inconsistente",IF(E289&lt;&gt;F289+G289,"ERRO: finalizados inconsistentes",IF(G289&lt;&gt;SUM(H289:J289),"ERRO: reprovações inconsistentes","OK")))))</f>
        <v/>
      </c>
    </row>
    <row r="290" ht="15" customHeight="1" s="131">
      <c r="A290" s="320" t="n"/>
      <c r="B290" s="323" t="n"/>
      <c r="C290" s="323" t="n"/>
      <c r="D290" s="328" t="n"/>
      <c r="E290" s="328" t="n"/>
      <c r="F290" s="328" t="n"/>
      <c r="G290" s="329">
        <f>IF(COUNTA(A290:C290)=0,"",SUM(H290:J290))</f>
        <v/>
      </c>
      <c r="H290" s="328" t="n"/>
      <c r="I290" s="330" t="n"/>
      <c r="J290" s="331" t="n"/>
      <c r="K290" s="331" t="n"/>
      <c r="L290" s="331" t="n"/>
      <c r="M290" s="332" t="n"/>
      <c r="N290" s="302">
        <f>IF(L290&gt;0,M290/L290,"")</f>
        <v/>
      </c>
      <c r="O290" s="317">
        <f>IF(E290&gt;0,F290/E290*100,"")</f>
        <v/>
      </c>
      <c r="P290" s="275">
        <f>IF(COUNTA(A290:C290)=0,"",IF(OR(A290="",B290="",C290="",D290&lt;0,E290&lt;0,F290&lt;0,H290&lt;0,I290&lt;0,J290&lt;0,K290&lt;0,L290&lt;0),"ERRO: valores inválidos",IF(D290&lt;&gt;E290+K290,"ERRO: total inconsistente",IF(E290&lt;&gt;F290+G290,"ERRO: finalizados inconsistentes",IF(G290&lt;&gt;SUM(H290:J290),"ERRO: reprovações inconsistentes","OK")))))</f>
        <v/>
      </c>
    </row>
    <row r="291" ht="15" customHeight="1" s="131">
      <c r="A291" s="320" t="n"/>
      <c r="B291" s="323" t="n"/>
      <c r="C291" s="323" t="n"/>
      <c r="D291" s="328" t="n"/>
      <c r="E291" s="328" t="n"/>
      <c r="F291" s="328" t="n"/>
      <c r="G291" s="329">
        <f>IF(COUNTA(A291:C291)=0,"",SUM(H291:J291))</f>
        <v/>
      </c>
      <c r="H291" s="328" t="n"/>
      <c r="I291" s="330" t="n"/>
      <c r="J291" s="331" t="n"/>
      <c r="K291" s="331" t="n"/>
      <c r="L291" s="331" t="n"/>
      <c r="M291" s="332" t="n"/>
      <c r="N291" s="302">
        <f>IF(L291&gt;0,M291/L291,"")</f>
        <v/>
      </c>
      <c r="O291" s="317">
        <f>IF(E291&gt;0,F291/E291*100,"")</f>
        <v/>
      </c>
      <c r="P291" s="275">
        <f>IF(COUNTA(A291:C291)=0,"",IF(OR(A291="",B291="",C291="",D291&lt;0,E291&lt;0,F291&lt;0,H291&lt;0,I291&lt;0,J291&lt;0,K291&lt;0,L291&lt;0),"ERRO: valores inválidos",IF(D291&lt;&gt;E291+K291,"ERRO: total inconsistente",IF(E291&lt;&gt;F291+G291,"ERRO: finalizados inconsistentes",IF(G291&lt;&gt;SUM(H291:J291),"ERRO: reprovações inconsistentes","OK")))))</f>
        <v/>
      </c>
    </row>
    <row r="292" ht="15" customHeight="1" s="131">
      <c r="A292" s="320" t="n"/>
      <c r="B292" s="323" t="n"/>
      <c r="C292" s="323" t="n"/>
      <c r="D292" s="328" t="n"/>
      <c r="E292" s="328" t="n"/>
      <c r="F292" s="328" t="n"/>
      <c r="G292" s="329">
        <f>IF(COUNTA(A292:C292)=0,"",SUM(H292:J292))</f>
        <v/>
      </c>
      <c r="H292" s="328" t="n"/>
      <c r="I292" s="330" t="n"/>
      <c r="J292" s="331" t="n"/>
      <c r="K292" s="331" t="n"/>
      <c r="L292" s="331" t="n"/>
      <c r="M292" s="332" t="n"/>
      <c r="N292" s="302">
        <f>IF(L292&gt;0,M292/L292,"")</f>
        <v/>
      </c>
      <c r="O292" s="317">
        <f>IF(E292&gt;0,F292/E292*100,"")</f>
        <v/>
      </c>
      <c r="P292" s="275">
        <f>IF(COUNTA(A292:C292)=0,"",IF(OR(A292="",B292="",C292="",D292&lt;0,E292&lt;0,F292&lt;0,H292&lt;0,I292&lt;0,J292&lt;0,K292&lt;0,L292&lt;0),"ERRO: valores inválidos",IF(D292&lt;&gt;E292+K292,"ERRO: total inconsistente",IF(E292&lt;&gt;F292+G292,"ERRO: finalizados inconsistentes",IF(G292&lt;&gt;SUM(H292:J292),"ERRO: reprovações inconsistentes","OK")))))</f>
        <v/>
      </c>
    </row>
    <row r="293" ht="15" customHeight="1" s="131">
      <c r="A293" s="320" t="n"/>
      <c r="B293" s="323" t="n"/>
      <c r="C293" s="323" t="n"/>
      <c r="D293" s="328" t="n"/>
      <c r="E293" s="328" t="n"/>
      <c r="F293" s="328" t="n"/>
      <c r="G293" s="329">
        <f>IF(COUNTA(A293:C293)=0,"",SUM(H293:J293))</f>
        <v/>
      </c>
      <c r="H293" s="328" t="n"/>
      <c r="I293" s="330" t="n"/>
      <c r="J293" s="331" t="n"/>
      <c r="K293" s="331" t="n"/>
      <c r="L293" s="331" t="n"/>
      <c r="M293" s="332" t="n"/>
      <c r="N293" s="302">
        <f>IF(L293&gt;0,M293/L293,"")</f>
        <v/>
      </c>
      <c r="O293" s="317">
        <f>IF(E293&gt;0,F293/E293*100,"")</f>
        <v/>
      </c>
      <c r="P293" s="275">
        <f>IF(COUNTA(A293:C293)=0,"",IF(OR(A293="",B293="",C293="",D293&lt;0,E293&lt;0,F293&lt;0,H293&lt;0,I293&lt;0,J293&lt;0,K293&lt;0,L293&lt;0),"ERRO: valores inválidos",IF(D293&lt;&gt;E293+K293,"ERRO: total inconsistente",IF(E293&lt;&gt;F293+G293,"ERRO: finalizados inconsistentes",IF(G293&lt;&gt;SUM(H293:J293),"ERRO: reprovações inconsistentes","OK")))))</f>
        <v/>
      </c>
    </row>
    <row r="294" ht="15" customHeight="1" s="131">
      <c r="A294" s="320" t="n"/>
      <c r="B294" s="323" t="n"/>
      <c r="C294" s="323" t="n"/>
      <c r="D294" s="328" t="n"/>
      <c r="E294" s="328" t="n"/>
      <c r="F294" s="328" t="n"/>
      <c r="G294" s="329">
        <f>IF(COUNTA(A294:C294)=0,"",SUM(H294:J294))</f>
        <v/>
      </c>
      <c r="H294" s="328" t="n"/>
      <c r="I294" s="330" t="n"/>
      <c r="J294" s="331" t="n"/>
      <c r="K294" s="331" t="n"/>
      <c r="L294" s="331" t="n"/>
      <c r="M294" s="332" t="n"/>
      <c r="N294" s="302">
        <f>IF(L294&gt;0,M294/L294,"")</f>
        <v/>
      </c>
      <c r="O294" s="317">
        <f>IF(E294&gt;0,F294/E294*100,"")</f>
        <v/>
      </c>
      <c r="P294" s="275">
        <f>IF(COUNTA(A294:C294)=0,"",IF(OR(A294="",B294="",C294="",D294&lt;0,E294&lt;0,F294&lt;0,H294&lt;0,I294&lt;0,J294&lt;0,K294&lt;0,L294&lt;0),"ERRO: valores inválidos",IF(D294&lt;&gt;E294+K294,"ERRO: total inconsistente",IF(E294&lt;&gt;F294+G294,"ERRO: finalizados inconsistentes",IF(G294&lt;&gt;SUM(H294:J294),"ERRO: reprovações inconsistentes","OK")))))</f>
        <v/>
      </c>
    </row>
    <row r="295" ht="15" customHeight="1" s="131">
      <c r="A295" s="320" t="n"/>
      <c r="B295" s="323" t="n"/>
      <c r="C295" s="323" t="n"/>
      <c r="D295" s="328" t="n"/>
      <c r="E295" s="328" t="n"/>
      <c r="F295" s="328" t="n"/>
      <c r="G295" s="329">
        <f>IF(COUNTA(A295:C295)=0,"",SUM(H295:J295))</f>
        <v/>
      </c>
      <c r="H295" s="328" t="n"/>
      <c r="I295" s="330" t="n"/>
      <c r="J295" s="331" t="n"/>
      <c r="K295" s="331" t="n"/>
      <c r="L295" s="331" t="n"/>
      <c r="M295" s="332" t="n"/>
      <c r="N295" s="302">
        <f>IF(L295&gt;0,M295/L295,"")</f>
        <v/>
      </c>
      <c r="O295" s="317">
        <f>IF(E295&gt;0,F295/E295*100,"")</f>
        <v/>
      </c>
      <c r="P295" s="275">
        <f>IF(COUNTA(A295:C295)=0,"",IF(OR(A295="",B295="",C295="",D295&lt;0,E295&lt;0,F295&lt;0,H295&lt;0,I295&lt;0,J295&lt;0,K295&lt;0,L295&lt;0),"ERRO: valores inválidos",IF(D295&lt;&gt;E295+K295,"ERRO: total inconsistente",IF(E295&lt;&gt;F295+G295,"ERRO: finalizados inconsistentes",IF(G295&lt;&gt;SUM(H295:J295),"ERRO: reprovações inconsistentes","OK")))))</f>
        <v/>
      </c>
    </row>
    <row r="296" ht="15" customHeight="1" s="131">
      <c r="A296" s="320" t="n"/>
      <c r="B296" s="323" t="n"/>
      <c r="C296" s="323" t="n"/>
      <c r="D296" s="328" t="n"/>
      <c r="E296" s="328" t="n"/>
      <c r="F296" s="328" t="n"/>
      <c r="G296" s="329">
        <f>IF(COUNTA(A296:C296)=0,"",SUM(H296:J296))</f>
        <v/>
      </c>
      <c r="H296" s="328" t="n"/>
      <c r="I296" s="330" t="n"/>
      <c r="J296" s="331" t="n"/>
      <c r="K296" s="331" t="n"/>
      <c r="L296" s="331" t="n"/>
      <c r="M296" s="332" t="n"/>
      <c r="N296" s="302">
        <f>IF(L296&gt;0,M296/L296,"")</f>
        <v/>
      </c>
      <c r="O296" s="317">
        <f>IF(E296&gt;0,F296/E296*100,"")</f>
        <v/>
      </c>
      <c r="P296" s="275">
        <f>IF(COUNTA(A296:C296)=0,"",IF(OR(A296="",B296="",C296="",D296&lt;0,E296&lt;0,F296&lt;0,H296&lt;0,I296&lt;0,J296&lt;0,K296&lt;0,L296&lt;0),"ERRO: valores inválidos",IF(D296&lt;&gt;E296+K296,"ERRO: total inconsistente",IF(E296&lt;&gt;F296+G296,"ERRO: finalizados inconsistentes",IF(G296&lt;&gt;SUM(H296:J296),"ERRO: reprovações inconsistentes","OK")))))</f>
        <v/>
      </c>
    </row>
    <row r="297" ht="15" customHeight="1" s="131">
      <c r="A297" s="320" t="n"/>
      <c r="B297" s="323" t="n"/>
      <c r="C297" s="323" t="n"/>
      <c r="D297" s="328" t="n"/>
      <c r="E297" s="328" t="n"/>
      <c r="F297" s="328" t="n"/>
      <c r="G297" s="329">
        <f>IF(COUNTA(A297:C297)=0,"",SUM(H297:J297))</f>
        <v/>
      </c>
      <c r="H297" s="328" t="n"/>
      <c r="I297" s="330" t="n"/>
      <c r="J297" s="331" t="n"/>
      <c r="K297" s="331" t="n"/>
      <c r="L297" s="331" t="n"/>
      <c r="M297" s="332" t="n"/>
      <c r="N297" s="302">
        <f>IF(L297&gt;0,M297/L297,"")</f>
        <v/>
      </c>
      <c r="O297" s="317">
        <f>IF(E297&gt;0,F297/E297*100,"")</f>
        <v/>
      </c>
      <c r="P297" s="275">
        <f>IF(COUNTA(A297:C297)=0,"",IF(OR(A297="",B297="",C297="",D297&lt;0,E297&lt;0,F297&lt;0,H297&lt;0,I297&lt;0,J297&lt;0,K297&lt;0,L297&lt;0),"ERRO: valores inválidos",IF(D297&lt;&gt;E297+K297,"ERRO: total inconsistente",IF(E297&lt;&gt;F297+G297,"ERRO: finalizados inconsistentes",IF(G297&lt;&gt;SUM(H297:J297),"ERRO: reprovações inconsistentes","OK")))))</f>
        <v/>
      </c>
    </row>
    <row r="298" ht="15" customHeight="1" s="131">
      <c r="A298" s="320" t="n"/>
      <c r="B298" s="323" t="n"/>
      <c r="C298" s="323" t="n"/>
      <c r="D298" s="328" t="n"/>
      <c r="E298" s="328" t="n"/>
      <c r="F298" s="328" t="n"/>
      <c r="G298" s="329">
        <f>IF(COUNTA(A298:C298)=0,"",SUM(H298:J298))</f>
        <v/>
      </c>
      <c r="H298" s="328" t="n"/>
      <c r="I298" s="330" t="n"/>
      <c r="J298" s="331" t="n"/>
      <c r="K298" s="331" t="n"/>
      <c r="L298" s="331" t="n"/>
      <c r="M298" s="332" t="n"/>
      <c r="N298" s="302">
        <f>IF(L298&gt;0,M298/L298,"")</f>
        <v/>
      </c>
      <c r="O298" s="317">
        <f>IF(E298&gt;0,F298/E298*100,"")</f>
        <v/>
      </c>
      <c r="P298" s="275">
        <f>IF(COUNTA(A298:C298)=0,"",IF(OR(A298="",B298="",C298="",D298&lt;0,E298&lt;0,F298&lt;0,H298&lt;0,I298&lt;0,J298&lt;0,K298&lt;0,L298&lt;0),"ERRO: valores inválidos",IF(D298&lt;&gt;E298+K298,"ERRO: total inconsistente",IF(E298&lt;&gt;F298+G298,"ERRO: finalizados inconsistentes",IF(G298&lt;&gt;SUM(H298:J298),"ERRO: reprovações inconsistentes","OK")))))</f>
        <v/>
      </c>
    </row>
    <row r="299" ht="15" customHeight="1" s="131">
      <c r="A299" s="320" t="n"/>
      <c r="B299" s="323" t="n"/>
      <c r="C299" s="323" t="n"/>
      <c r="D299" s="328" t="n"/>
      <c r="E299" s="328" t="n"/>
      <c r="F299" s="328" t="n"/>
      <c r="G299" s="329">
        <f>IF(COUNTA(A299:C299)=0,"",SUM(H299:J299))</f>
        <v/>
      </c>
      <c r="H299" s="328" t="n"/>
      <c r="I299" s="330" t="n"/>
      <c r="J299" s="331" t="n"/>
      <c r="K299" s="331" t="n"/>
      <c r="L299" s="331" t="n"/>
      <c r="M299" s="332" t="n"/>
      <c r="N299" s="302">
        <f>IF(L299&gt;0,M299/L299,"")</f>
        <v/>
      </c>
      <c r="O299" s="317">
        <f>IF(E299&gt;0,F299/E299*100,"")</f>
        <v/>
      </c>
      <c r="P299" s="275">
        <f>IF(COUNTA(A299:C299)=0,"",IF(OR(A299="",B299="",C299="",D299&lt;0,E299&lt;0,F299&lt;0,H299&lt;0,I299&lt;0,J299&lt;0,K299&lt;0,L299&lt;0),"ERRO: valores inválidos",IF(D299&lt;&gt;E299+K299,"ERRO: total inconsistente",IF(E299&lt;&gt;F299+G299,"ERRO: finalizados inconsistentes",IF(G299&lt;&gt;SUM(H299:J299),"ERRO: reprovações inconsistentes","OK")))))</f>
        <v/>
      </c>
    </row>
    <row r="300" ht="15" customHeight="1" s="131">
      <c r="A300" s="320" t="n"/>
      <c r="B300" s="323" t="n"/>
      <c r="C300" s="323" t="n"/>
      <c r="D300" s="328" t="n"/>
      <c r="E300" s="328" t="n"/>
      <c r="F300" s="328" t="n"/>
      <c r="G300" s="329">
        <f>IF(COUNTA(A300:C300)=0,"",SUM(H300:J300))</f>
        <v/>
      </c>
      <c r="H300" s="328" t="n"/>
      <c r="I300" s="330" t="n"/>
      <c r="J300" s="331" t="n"/>
      <c r="K300" s="331" t="n"/>
      <c r="L300" s="331" t="n"/>
      <c r="M300" s="332" t="n"/>
      <c r="N300" s="302">
        <f>IF(L300&gt;0,M300/L300,"")</f>
        <v/>
      </c>
      <c r="O300" s="317">
        <f>IF(E300&gt;0,F300/E300*100,"")</f>
        <v/>
      </c>
      <c r="P300" s="275">
        <f>IF(COUNTA(A300:C300)=0,"",IF(OR(A300="",B300="",C300="",D300&lt;0,E300&lt;0,F300&lt;0,H300&lt;0,I300&lt;0,J300&lt;0,K300&lt;0,L300&lt;0),"ERRO: valores inválidos",IF(D300&lt;&gt;E300+K300,"ERRO: total inconsistente",IF(E300&lt;&gt;F300+G300,"ERRO: finalizados inconsistentes",IF(G300&lt;&gt;SUM(H300:J300),"ERRO: reprovações inconsistentes","OK")))))</f>
        <v/>
      </c>
    </row>
    <row r="301" ht="15" customHeight="1" s="131">
      <c r="A301" s="320" t="n"/>
      <c r="B301" s="323" t="n"/>
      <c r="C301" s="323" t="n"/>
      <c r="D301" s="328" t="n"/>
      <c r="E301" s="328" t="n"/>
      <c r="F301" s="328" t="n"/>
      <c r="G301" s="329">
        <f>IF(COUNTA(A301:C301)=0,"",SUM(H301:J301))</f>
        <v/>
      </c>
      <c r="H301" s="328" t="n"/>
      <c r="I301" s="330" t="n"/>
      <c r="J301" s="331" t="n"/>
      <c r="K301" s="331" t="n"/>
      <c r="L301" s="331" t="n"/>
      <c r="M301" s="332" t="n"/>
      <c r="N301" s="302">
        <f>IF(L301&gt;0,M301/L301,"")</f>
        <v/>
      </c>
      <c r="O301" s="317">
        <f>IF(E301&gt;0,F301/E301*100,"")</f>
        <v/>
      </c>
      <c r="P301" s="275">
        <f>IF(COUNTA(A301:C301)=0,"",IF(OR(A301="",B301="",C301="",D301&lt;0,E301&lt;0,F301&lt;0,H301&lt;0,I301&lt;0,J301&lt;0,K301&lt;0,L301&lt;0),"ERRO: valores inválidos",IF(D301&lt;&gt;E301+K301,"ERRO: total inconsistente",IF(E301&lt;&gt;F301+G301,"ERRO: finalizados inconsistentes",IF(G301&lt;&gt;SUM(H301:J301),"ERRO: reprovações inconsistentes","OK")))))</f>
        <v/>
      </c>
    </row>
    <row r="302" ht="15" customHeight="1" s="131">
      <c r="A302" s="320" t="n"/>
      <c r="B302" s="323" t="n"/>
      <c r="C302" s="323" t="n"/>
      <c r="D302" s="328" t="n"/>
      <c r="E302" s="328" t="n"/>
      <c r="F302" s="328" t="n"/>
      <c r="G302" s="329">
        <f>IF(COUNTA(A302:C302)=0,"",SUM(H302:J302))</f>
        <v/>
      </c>
      <c r="H302" s="328" t="n"/>
      <c r="I302" s="330" t="n"/>
      <c r="J302" s="331" t="n"/>
      <c r="K302" s="331" t="n"/>
      <c r="L302" s="331" t="n"/>
      <c r="M302" s="332" t="n"/>
      <c r="N302" s="302">
        <f>IF(L302&gt;0,M302/L302,"")</f>
        <v/>
      </c>
      <c r="O302" s="317">
        <f>IF(E302&gt;0,F302/E302*100,"")</f>
        <v/>
      </c>
      <c r="P302" s="275">
        <f>IF(COUNTA(A302:C302)=0,"",IF(OR(A302="",B302="",C302="",D302&lt;0,E302&lt;0,F302&lt;0,H302&lt;0,I302&lt;0,J302&lt;0,K302&lt;0,L302&lt;0),"ERRO: valores inválidos",IF(D302&lt;&gt;E302+K302,"ERRO: total inconsistente",IF(E302&lt;&gt;F302+G302,"ERRO: finalizados inconsistentes",IF(G302&lt;&gt;SUM(H302:J302),"ERRO: reprovações inconsistentes","OK")))))</f>
        <v/>
      </c>
    </row>
    <row r="303" ht="15" customHeight="1" s="131">
      <c r="A303" s="320" t="n"/>
      <c r="B303" s="323" t="n"/>
      <c r="C303" s="323" t="n"/>
      <c r="D303" s="328" t="n"/>
      <c r="E303" s="328" t="n"/>
      <c r="F303" s="328" t="n"/>
      <c r="G303" s="329">
        <f>IF(COUNTA(A303:C303)=0,"",SUM(H303:J303))</f>
        <v/>
      </c>
      <c r="H303" s="328" t="n"/>
      <c r="I303" s="330" t="n"/>
      <c r="J303" s="331" t="n"/>
      <c r="K303" s="331" t="n"/>
      <c r="L303" s="331" t="n"/>
      <c r="M303" s="332" t="n"/>
      <c r="N303" s="302">
        <f>IF(L303&gt;0,M303/L303,"")</f>
        <v/>
      </c>
      <c r="O303" s="317">
        <f>IF(E303&gt;0,F303/E303*100,"")</f>
        <v/>
      </c>
      <c r="P303" s="275">
        <f>IF(COUNTA(A303:C303)=0,"",IF(OR(A303="",B303="",C303="",D303&lt;0,E303&lt;0,F303&lt;0,H303&lt;0,I303&lt;0,J303&lt;0,K303&lt;0,L303&lt;0),"ERRO: valores inválidos",IF(D303&lt;&gt;E303+K303,"ERRO: total inconsistente",IF(E303&lt;&gt;F303+G303,"ERRO: finalizados inconsistentes",IF(G303&lt;&gt;SUM(H303:J303),"ERRO: reprovações inconsistentes","OK")))))</f>
        <v/>
      </c>
    </row>
    <row r="304" ht="15" customHeight="1" s="131">
      <c r="A304" s="320" t="n"/>
      <c r="B304" s="323" t="n"/>
      <c r="C304" s="323" t="n"/>
      <c r="D304" s="328" t="n"/>
      <c r="E304" s="328" t="n"/>
      <c r="F304" s="328" t="n"/>
      <c r="G304" s="329">
        <f>IF(COUNTA(A304:C304)=0,"",SUM(H304:J304))</f>
        <v/>
      </c>
      <c r="H304" s="328" t="n"/>
      <c r="I304" s="330" t="n"/>
      <c r="J304" s="331" t="n"/>
      <c r="K304" s="331" t="n"/>
      <c r="L304" s="331" t="n"/>
      <c r="M304" s="332" t="n"/>
      <c r="N304" s="302">
        <f>IF(L304&gt;0,M304/L304,"")</f>
        <v/>
      </c>
      <c r="O304" s="317">
        <f>IF(E304&gt;0,F304/E304*100,"")</f>
        <v/>
      </c>
      <c r="P304" s="275">
        <f>IF(COUNTA(A304:C304)=0,"",IF(OR(A304="",B304="",C304="",D304&lt;0,E304&lt;0,F304&lt;0,H304&lt;0,I304&lt;0,J304&lt;0,K304&lt;0,L304&lt;0),"ERRO: valores inválidos",IF(D304&lt;&gt;E304+K304,"ERRO: total inconsistente",IF(E304&lt;&gt;F304+G304,"ERRO: finalizados inconsistentes",IF(G304&lt;&gt;SUM(H304:J304),"ERRO: reprovações inconsistentes","OK")))))</f>
        <v/>
      </c>
    </row>
    <row r="305" ht="15" customHeight="1" s="131">
      <c r="A305" s="320" t="n"/>
      <c r="B305" s="323" t="n"/>
      <c r="C305" s="323" t="n"/>
      <c r="D305" s="328" t="n"/>
      <c r="E305" s="328" t="n"/>
      <c r="F305" s="328" t="n"/>
      <c r="G305" s="329">
        <f>IF(COUNTA(A305:C305)=0,"",SUM(H305:J305))</f>
        <v/>
      </c>
      <c r="H305" s="328" t="n"/>
      <c r="I305" s="330" t="n"/>
      <c r="J305" s="331" t="n"/>
      <c r="K305" s="331" t="n"/>
      <c r="L305" s="331" t="n"/>
      <c r="M305" s="332" t="n"/>
      <c r="N305" s="302">
        <f>IF(L305&gt;0,M305/L305,"")</f>
        <v/>
      </c>
      <c r="O305" s="317">
        <f>IF(E305&gt;0,F305/E305*100,"")</f>
        <v/>
      </c>
      <c r="P305" s="275">
        <f>IF(COUNTA(A305:C305)=0,"",IF(OR(A305="",B305="",C305="",D305&lt;0,E305&lt;0,F305&lt;0,H305&lt;0,I305&lt;0,J305&lt;0,K305&lt;0,L305&lt;0),"ERRO: valores inválidos",IF(D305&lt;&gt;E305+K305,"ERRO: total inconsistente",IF(E305&lt;&gt;F305+G305,"ERRO: finalizados inconsistentes",IF(G305&lt;&gt;SUM(H305:J305),"ERRO: reprovações inconsistentes","OK")))))</f>
        <v/>
      </c>
    </row>
    <row r="306" ht="15" customHeight="1" s="131">
      <c r="A306" s="320" t="n"/>
      <c r="B306" s="323" t="n"/>
      <c r="C306" s="323" t="n"/>
      <c r="D306" s="328" t="n"/>
      <c r="E306" s="328" t="n"/>
      <c r="F306" s="328" t="n"/>
      <c r="G306" s="329">
        <f>IF(COUNTA(A306:C306)=0,"",SUM(H306:J306))</f>
        <v/>
      </c>
      <c r="H306" s="328" t="n"/>
      <c r="I306" s="330" t="n"/>
      <c r="J306" s="331" t="n"/>
      <c r="K306" s="331" t="n"/>
      <c r="L306" s="331" t="n"/>
      <c r="M306" s="332" t="n"/>
      <c r="N306" s="302">
        <f>IF(L306&gt;0,M306/L306,"")</f>
        <v/>
      </c>
      <c r="O306" s="317">
        <f>IF(E306&gt;0,F306/E306*100,"")</f>
        <v/>
      </c>
      <c r="P306" s="275">
        <f>IF(COUNTA(A306:C306)=0,"",IF(OR(A306="",B306="",C306="",D306&lt;0,E306&lt;0,F306&lt;0,H306&lt;0,I306&lt;0,J306&lt;0,K306&lt;0,L306&lt;0),"ERRO: valores inválidos",IF(D306&lt;&gt;E306+K306,"ERRO: total inconsistente",IF(E306&lt;&gt;F306+G306,"ERRO: finalizados inconsistentes",IF(G306&lt;&gt;SUM(H306:J306),"ERRO: reprovações inconsistentes","OK")))))</f>
        <v/>
      </c>
    </row>
    <row r="307" ht="15" customHeight="1" s="131">
      <c r="A307" s="320" t="n"/>
      <c r="B307" s="323" t="n"/>
      <c r="C307" s="323" t="n"/>
      <c r="D307" s="328" t="n"/>
      <c r="E307" s="328" t="n"/>
      <c r="F307" s="328" t="n"/>
      <c r="G307" s="329">
        <f>IF(COUNTA(A307:C307)=0,"",SUM(H307:J307))</f>
        <v/>
      </c>
      <c r="H307" s="328" t="n"/>
      <c r="I307" s="330" t="n"/>
      <c r="J307" s="331" t="n"/>
      <c r="K307" s="331" t="n"/>
      <c r="L307" s="331" t="n"/>
      <c r="M307" s="332" t="n"/>
      <c r="N307" s="302">
        <f>IF(L307&gt;0,M307/L307,"")</f>
        <v/>
      </c>
      <c r="O307" s="317">
        <f>IF(E307&gt;0,F307/E307*100,"")</f>
        <v/>
      </c>
      <c r="P307" s="275">
        <f>IF(COUNTA(A307:C307)=0,"",IF(OR(A307="",B307="",C307="",D307&lt;0,E307&lt;0,F307&lt;0,H307&lt;0,I307&lt;0,J307&lt;0,K307&lt;0,L307&lt;0),"ERRO: valores inválidos",IF(D307&lt;&gt;E307+K307,"ERRO: total inconsistente",IF(E307&lt;&gt;F307+G307,"ERRO: finalizados inconsistentes",IF(G307&lt;&gt;SUM(H307:J307),"ERRO: reprovações inconsistentes","OK")))))</f>
        <v/>
      </c>
    </row>
    <row r="308" ht="15" customHeight="1" s="131">
      <c r="A308" s="320" t="n"/>
      <c r="B308" s="323" t="n"/>
      <c r="C308" s="323" t="n"/>
      <c r="D308" s="328" t="n"/>
      <c r="E308" s="328" t="n"/>
      <c r="F308" s="328" t="n"/>
      <c r="G308" s="329">
        <f>IF(COUNTA(A308:C308)=0,"",SUM(H308:J308))</f>
        <v/>
      </c>
      <c r="H308" s="328" t="n"/>
      <c r="I308" s="330" t="n"/>
      <c r="J308" s="331" t="n"/>
      <c r="K308" s="331" t="n"/>
      <c r="L308" s="331" t="n"/>
      <c r="M308" s="332" t="n"/>
      <c r="N308" s="302">
        <f>IF(L308&gt;0,M308/L308,"")</f>
        <v/>
      </c>
      <c r="O308" s="317">
        <f>IF(E308&gt;0,F308/E308*100,"")</f>
        <v/>
      </c>
      <c r="P308" s="275">
        <f>IF(COUNTA(A308:C308)=0,"",IF(OR(A308="",B308="",C308="",D308&lt;0,E308&lt;0,F308&lt;0,H308&lt;0,I308&lt;0,J308&lt;0,K308&lt;0,L308&lt;0),"ERRO: valores inválidos",IF(D308&lt;&gt;E308+K308,"ERRO: total inconsistente",IF(E308&lt;&gt;F308+G308,"ERRO: finalizados inconsistentes",IF(G308&lt;&gt;SUM(H308:J308),"ERRO: reprovações inconsistentes","OK")))))</f>
        <v/>
      </c>
    </row>
    <row r="309" ht="15" customHeight="1" s="131">
      <c r="A309" s="320" t="n"/>
      <c r="B309" s="323" t="n"/>
      <c r="C309" s="323" t="n"/>
      <c r="D309" s="328" t="n"/>
      <c r="E309" s="328" t="n"/>
      <c r="F309" s="328" t="n"/>
      <c r="G309" s="329">
        <f>IF(COUNTA(A309:C309)=0,"",SUM(H309:J309))</f>
        <v/>
      </c>
      <c r="H309" s="328" t="n"/>
      <c r="I309" s="330" t="n"/>
      <c r="J309" s="331" t="n"/>
      <c r="K309" s="331" t="n"/>
      <c r="L309" s="331" t="n"/>
      <c r="M309" s="332" t="n"/>
      <c r="N309" s="302">
        <f>IF(L309&gt;0,M309/L309,"")</f>
        <v/>
      </c>
      <c r="O309" s="317">
        <f>IF(E309&gt;0,F309/E309*100,"")</f>
        <v/>
      </c>
      <c r="P309" s="275">
        <f>IF(COUNTA(A309:C309)=0,"",IF(OR(A309="",B309="",C309="",D309&lt;0,E309&lt;0,F309&lt;0,H309&lt;0,I309&lt;0,J309&lt;0,K309&lt;0,L309&lt;0),"ERRO: valores inválidos",IF(D309&lt;&gt;E309+K309,"ERRO: total inconsistente",IF(E309&lt;&gt;F309+G309,"ERRO: finalizados inconsistentes",IF(G309&lt;&gt;SUM(H309:J309),"ERRO: reprovações inconsistentes","OK")))))</f>
        <v/>
      </c>
    </row>
    <row r="310" ht="15" customHeight="1" s="131">
      <c r="A310" s="320" t="n"/>
      <c r="B310" s="323" t="n"/>
      <c r="C310" s="323" t="n"/>
      <c r="D310" s="328" t="n"/>
      <c r="E310" s="328" t="n"/>
      <c r="F310" s="328" t="n"/>
      <c r="G310" s="329">
        <f>IF(COUNTA(A310:C310)=0,"",SUM(H310:J310))</f>
        <v/>
      </c>
      <c r="H310" s="328" t="n"/>
      <c r="I310" s="330" t="n"/>
      <c r="J310" s="331" t="n"/>
      <c r="K310" s="331" t="n"/>
      <c r="L310" s="331" t="n"/>
      <c r="M310" s="332" t="n"/>
      <c r="N310" s="302">
        <f>IF(L310&gt;0,M310/L310,"")</f>
        <v/>
      </c>
      <c r="O310" s="317">
        <f>IF(E310&gt;0,F310/E310*100,"")</f>
        <v/>
      </c>
      <c r="P310" s="275">
        <f>IF(COUNTA(A310:C310)=0,"",IF(OR(A310="",B310="",C310="",D310&lt;0,E310&lt;0,F310&lt;0,H310&lt;0,I310&lt;0,J310&lt;0,K310&lt;0,L310&lt;0),"ERRO: valores inválidos",IF(D310&lt;&gt;E310+K310,"ERRO: total inconsistente",IF(E310&lt;&gt;F310+G310,"ERRO: finalizados inconsistentes",IF(G310&lt;&gt;SUM(H310:J310),"ERRO: reprovações inconsistentes","OK")))))</f>
        <v/>
      </c>
    </row>
    <row r="311" ht="15" customHeight="1" s="131">
      <c r="A311" s="320" t="n"/>
      <c r="B311" s="323" t="n"/>
      <c r="C311" s="323" t="n"/>
      <c r="D311" s="328" t="n"/>
      <c r="E311" s="328" t="n"/>
      <c r="F311" s="328" t="n"/>
      <c r="G311" s="329">
        <f>IF(COUNTA(A311:C311)=0,"",SUM(H311:J311))</f>
        <v/>
      </c>
      <c r="H311" s="328" t="n"/>
      <c r="I311" s="330" t="n"/>
      <c r="J311" s="331" t="n"/>
      <c r="K311" s="331" t="n"/>
      <c r="L311" s="331" t="n"/>
      <c r="M311" s="332" t="n"/>
      <c r="N311" s="302">
        <f>IF(L311&gt;0,M311/L311,"")</f>
        <v/>
      </c>
      <c r="O311" s="317">
        <f>IF(E311&gt;0,F311/E311*100,"")</f>
        <v/>
      </c>
      <c r="P311" s="275">
        <f>IF(COUNTA(A311:C311)=0,"",IF(OR(A311="",B311="",C311="",D311&lt;0,E311&lt;0,F311&lt;0,H311&lt;0,I311&lt;0,J311&lt;0,K311&lt;0,L311&lt;0),"ERRO: valores inválidos",IF(D311&lt;&gt;E311+K311,"ERRO: total inconsistente",IF(E311&lt;&gt;F311+G311,"ERRO: finalizados inconsistentes",IF(G311&lt;&gt;SUM(H311:J311),"ERRO: reprovações inconsistentes","OK")))))</f>
        <v/>
      </c>
    </row>
    <row r="312" ht="15" customHeight="1" s="131">
      <c r="A312" s="320" t="n"/>
      <c r="B312" s="323" t="n"/>
      <c r="C312" s="323" t="n"/>
      <c r="D312" s="328" t="n"/>
      <c r="E312" s="328" t="n"/>
      <c r="F312" s="328" t="n"/>
      <c r="G312" s="329">
        <f>IF(COUNTA(A312:C312)=0,"",SUM(H312:J312))</f>
        <v/>
      </c>
      <c r="H312" s="328" t="n"/>
      <c r="I312" s="330" t="n"/>
      <c r="J312" s="331" t="n"/>
      <c r="K312" s="331" t="n"/>
      <c r="L312" s="331" t="n"/>
      <c r="M312" s="332" t="n"/>
      <c r="N312" s="302">
        <f>IF(L312&gt;0,M312/L312,"")</f>
        <v/>
      </c>
      <c r="O312" s="317">
        <f>IF(E312&gt;0,F312/E312*100,"")</f>
        <v/>
      </c>
      <c r="P312" s="275">
        <f>IF(COUNTA(A312:C312)=0,"",IF(OR(A312="",B312="",C312="",D312&lt;0,E312&lt;0,F312&lt;0,H312&lt;0,I312&lt;0,J312&lt;0,K312&lt;0,L312&lt;0),"ERRO: valores inválidos",IF(D312&lt;&gt;E312+K312,"ERRO: total inconsistente",IF(E312&lt;&gt;F312+G312,"ERRO: finalizados inconsistentes",IF(G312&lt;&gt;SUM(H312:J312),"ERRO: reprovações inconsistentes","OK")))))</f>
        <v/>
      </c>
    </row>
    <row r="313" ht="15" customHeight="1" s="131">
      <c r="A313" s="320" t="n"/>
      <c r="B313" s="323" t="n"/>
      <c r="C313" s="323" t="n"/>
      <c r="D313" s="328" t="n"/>
      <c r="E313" s="328" t="n"/>
      <c r="F313" s="328" t="n"/>
      <c r="G313" s="329">
        <f>IF(COUNTA(A313:C313)=0,"",SUM(H313:J313))</f>
        <v/>
      </c>
      <c r="H313" s="328" t="n"/>
      <c r="I313" s="330" t="n"/>
      <c r="J313" s="331" t="n"/>
      <c r="K313" s="331" t="n"/>
      <c r="L313" s="331" t="n"/>
      <c r="M313" s="332" t="n"/>
      <c r="N313" s="302">
        <f>IF(L313&gt;0,M313/L313,"")</f>
        <v/>
      </c>
      <c r="O313" s="317">
        <f>IF(E313&gt;0,F313/E313*100,"")</f>
        <v/>
      </c>
      <c r="P313" s="275">
        <f>IF(COUNTA(A313:C313)=0,"",IF(OR(A313="",B313="",C313="",D313&lt;0,E313&lt;0,F313&lt;0,H313&lt;0,I313&lt;0,J313&lt;0,K313&lt;0,L313&lt;0),"ERRO: valores inválidos",IF(D313&lt;&gt;E313+K313,"ERRO: total inconsistente",IF(E313&lt;&gt;F313+G313,"ERRO: finalizados inconsistentes",IF(G313&lt;&gt;SUM(H313:J313),"ERRO: reprovações inconsistentes","OK")))))</f>
        <v/>
      </c>
    </row>
    <row r="314" ht="15" customHeight="1" s="131">
      <c r="A314" s="320" t="n"/>
      <c r="B314" s="323" t="n"/>
      <c r="C314" s="323" t="n"/>
      <c r="D314" s="328" t="n"/>
      <c r="E314" s="328" t="n"/>
      <c r="F314" s="328" t="n"/>
      <c r="G314" s="329">
        <f>IF(COUNTA(A314:C314)=0,"",SUM(H314:J314))</f>
        <v/>
      </c>
      <c r="H314" s="328" t="n"/>
      <c r="I314" s="330" t="n"/>
      <c r="J314" s="331" t="n"/>
      <c r="K314" s="331" t="n"/>
      <c r="L314" s="331" t="n"/>
      <c r="M314" s="332" t="n"/>
      <c r="N314" s="302">
        <f>IF(L314&gt;0,M314/L314,"")</f>
        <v/>
      </c>
      <c r="O314" s="317">
        <f>IF(E314&gt;0,F314/E314*100,"")</f>
        <v/>
      </c>
      <c r="P314" s="275">
        <f>IF(COUNTA(A314:C314)=0,"",IF(OR(A314="",B314="",C314="",D314&lt;0,E314&lt;0,F314&lt;0,H314&lt;0,I314&lt;0,J314&lt;0,K314&lt;0,L314&lt;0),"ERRO: valores inválidos",IF(D314&lt;&gt;E314+K314,"ERRO: total inconsistente",IF(E314&lt;&gt;F314+G314,"ERRO: finalizados inconsistentes",IF(G314&lt;&gt;SUM(H314:J314),"ERRO: reprovações inconsistentes","OK")))))</f>
        <v/>
      </c>
    </row>
    <row r="315" ht="15" customHeight="1" s="131">
      <c r="A315" s="320" t="n"/>
      <c r="B315" s="323" t="n"/>
      <c r="C315" s="323" t="n"/>
      <c r="D315" s="328" t="n"/>
      <c r="E315" s="328" t="n"/>
      <c r="F315" s="328" t="n"/>
      <c r="G315" s="329">
        <f>IF(COUNTA(A315:C315)=0,"",SUM(H315:J315))</f>
        <v/>
      </c>
      <c r="H315" s="328" t="n"/>
      <c r="I315" s="330" t="n"/>
      <c r="J315" s="331" t="n"/>
      <c r="K315" s="331" t="n"/>
      <c r="L315" s="331" t="n"/>
      <c r="M315" s="332" t="n"/>
      <c r="N315" s="302">
        <f>IF(L315&gt;0,M315/L315,"")</f>
        <v/>
      </c>
      <c r="O315" s="317">
        <f>IF(E315&gt;0,F315/E315*100,"")</f>
        <v/>
      </c>
      <c r="P315" s="275">
        <f>IF(COUNTA(A315:C315)=0,"",IF(OR(A315="",B315="",C315="",D315&lt;0,E315&lt;0,F315&lt;0,H315&lt;0,I315&lt;0,J315&lt;0,K315&lt;0,L315&lt;0),"ERRO: valores inválidos",IF(D315&lt;&gt;E315+K315,"ERRO: total inconsistente",IF(E315&lt;&gt;F315+G315,"ERRO: finalizados inconsistentes",IF(G315&lt;&gt;SUM(H315:J315),"ERRO: reprovações inconsistentes","OK")))))</f>
        <v/>
      </c>
    </row>
    <row r="316" ht="15" customHeight="1" s="131">
      <c r="A316" s="320" t="n"/>
      <c r="B316" s="323" t="n"/>
      <c r="C316" s="323" t="n"/>
      <c r="D316" s="328" t="n"/>
      <c r="E316" s="328" t="n"/>
      <c r="F316" s="328" t="n"/>
      <c r="G316" s="329">
        <f>IF(COUNTA(A316:C316)=0,"",SUM(H316:J316))</f>
        <v/>
      </c>
      <c r="H316" s="328" t="n"/>
      <c r="I316" s="330" t="n"/>
      <c r="J316" s="331" t="n"/>
      <c r="K316" s="331" t="n"/>
      <c r="L316" s="331" t="n"/>
      <c r="M316" s="332" t="n"/>
      <c r="N316" s="302">
        <f>IF(L316&gt;0,M316/L316,"")</f>
        <v/>
      </c>
      <c r="O316" s="317">
        <f>IF(E316&gt;0,F316/E316*100,"")</f>
        <v/>
      </c>
      <c r="P316" s="275">
        <f>IF(COUNTA(A316:C316)=0,"",IF(OR(A316="",B316="",C316="",D316&lt;0,E316&lt;0,F316&lt;0,H316&lt;0,I316&lt;0,J316&lt;0,K316&lt;0,L316&lt;0),"ERRO: valores inválidos",IF(D316&lt;&gt;E316+K316,"ERRO: total inconsistente",IF(E316&lt;&gt;F316+G316,"ERRO: finalizados inconsistentes",IF(G316&lt;&gt;SUM(H316:J316),"ERRO: reprovações inconsistentes","OK")))))</f>
        <v/>
      </c>
    </row>
    <row r="317" ht="15" customHeight="1" s="131">
      <c r="A317" s="320" t="n"/>
      <c r="B317" s="323" t="n"/>
      <c r="C317" s="323" t="n"/>
      <c r="D317" s="328" t="n"/>
      <c r="E317" s="328" t="n"/>
      <c r="F317" s="328" t="n"/>
      <c r="G317" s="329">
        <f>IF(COUNTA(A317:C317)=0,"",SUM(H317:J317))</f>
        <v/>
      </c>
      <c r="H317" s="328" t="n"/>
      <c r="I317" s="330" t="n"/>
      <c r="J317" s="331" t="n"/>
      <c r="K317" s="331" t="n"/>
      <c r="L317" s="331" t="n"/>
      <c r="M317" s="332" t="n"/>
      <c r="N317" s="302">
        <f>IF(L317&gt;0,M317/L317,"")</f>
        <v/>
      </c>
      <c r="O317" s="317">
        <f>IF(E317&gt;0,F317/E317*100,"")</f>
        <v/>
      </c>
      <c r="P317" s="275">
        <f>IF(COUNTA(A317:C317)=0,"",IF(OR(A317="",B317="",C317="",D317&lt;0,E317&lt;0,F317&lt;0,H317&lt;0,I317&lt;0,J317&lt;0,K317&lt;0,L317&lt;0),"ERRO: valores inválidos",IF(D317&lt;&gt;E317+K317,"ERRO: total inconsistente",IF(E317&lt;&gt;F317+G317,"ERRO: finalizados inconsistentes",IF(G317&lt;&gt;SUM(H317:J317),"ERRO: reprovações inconsistentes","OK")))))</f>
        <v/>
      </c>
    </row>
    <row r="318" ht="15" customHeight="1" s="131">
      <c r="A318" s="320" t="n"/>
      <c r="B318" s="323" t="n"/>
      <c r="C318" s="323" t="n"/>
      <c r="D318" s="328" t="n"/>
      <c r="E318" s="328" t="n"/>
      <c r="F318" s="328" t="n"/>
      <c r="G318" s="329">
        <f>IF(COUNTA(A318:C318)=0,"",SUM(H318:J318))</f>
        <v/>
      </c>
      <c r="H318" s="328" t="n"/>
      <c r="I318" s="330" t="n"/>
      <c r="J318" s="331" t="n"/>
      <c r="K318" s="331" t="n"/>
      <c r="L318" s="331" t="n"/>
      <c r="M318" s="332" t="n"/>
      <c r="N318" s="302">
        <f>IF(L318&gt;0,M318/L318,"")</f>
        <v/>
      </c>
      <c r="O318" s="317">
        <f>IF(E318&gt;0,F318/E318*100,"")</f>
        <v/>
      </c>
      <c r="P318" s="275">
        <f>IF(COUNTA(A318:C318)=0,"",IF(OR(A318="",B318="",C318="",D318&lt;0,E318&lt;0,F318&lt;0,H318&lt;0,I318&lt;0,J318&lt;0,K318&lt;0,L318&lt;0),"ERRO: valores inválidos",IF(D318&lt;&gt;E318+K318,"ERRO: total inconsistente",IF(E318&lt;&gt;F318+G318,"ERRO: finalizados inconsistentes",IF(G318&lt;&gt;SUM(H318:J318),"ERRO: reprovações inconsistentes","OK")))))</f>
        <v/>
      </c>
    </row>
    <row r="319" ht="15" customHeight="1" s="131">
      <c r="A319" s="320" t="n"/>
      <c r="B319" s="323" t="n"/>
      <c r="C319" s="323" t="n"/>
      <c r="D319" s="328" t="n"/>
      <c r="E319" s="328" t="n"/>
      <c r="F319" s="328" t="n"/>
      <c r="G319" s="329">
        <f>IF(COUNTA(A319:C319)=0,"",SUM(H319:J319))</f>
        <v/>
      </c>
      <c r="H319" s="328" t="n"/>
      <c r="I319" s="330" t="n"/>
      <c r="J319" s="331" t="n"/>
      <c r="K319" s="331" t="n"/>
      <c r="L319" s="331" t="n"/>
      <c r="M319" s="332" t="n"/>
      <c r="N319" s="302">
        <f>IF(L319&gt;0,M319/L319,"")</f>
        <v/>
      </c>
      <c r="O319" s="317">
        <f>IF(E319&gt;0,F319/E319*100,"")</f>
        <v/>
      </c>
      <c r="P319" s="275">
        <f>IF(COUNTA(A319:C319)=0,"",IF(OR(A319="",B319="",C319="",D319&lt;0,E319&lt;0,F319&lt;0,H319&lt;0,I319&lt;0,J319&lt;0,K319&lt;0,L319&lt;0),"ERRO: valores inválidos",IF(D319&lt;&gt;E319+K319,"ERRO: total inconsistente",IF(E319&lt;&gt;F319+G319,"ERRO: finalizados inconsistentes",IF(G319&lt;&gt;SUM(H319:J319),"ERRO: reprovações inconsistentes","OK")))))</f>
        <v/>
      </c>
    </row>
    <row r="320" ht="15" customHeight="1" s="131">
      <c r="A320" s="320" t="n"/>
      <c r="B320" s="323" t="n"/>
      <c r="C320" s="323" t="n"/>
      <c r="D320" s="328" t="n"/>
      <c r="E320" s="328" t="n"/>
      <c r="F320" s="328" t="n"/>
      <c r="G320" s="329">
        <f>IF(COUNTA(A320:C320)=0,"",SUM(H320:J320))</f>
        <v/>
      </c>
      <c r="H320" s="328" t="n"/>
      <c r="I320" s="330" t="n"/>
      <c r="J320" s="331" t="n"/>
      <c r="K320" s="331" t="n"/>
      <c r="L320" s="331" t="n"/>
      <c r="M320" s="332" t="n"/>
      <c r="N320" s="302">
        <f>IF(L320&gt;0,M320/L320,"")</f>
        <v/>
      </c>
      <c r="O320" s="317">
        <f>IF(E320&gt;0,F320/E320*100,"")</f>
        <v/>
      </c>
      <c r="P320" s="275">
        <f>IF(COUNTA(A320:C320)=0,"",IF(OR(A320="",B320="",C320="",D320&lt;0,E320&lt;0,F320&lt;0,H320&lt;0,I320&lt;0,J320&lt;0,K320&lt;0,L320&lt;0),"ERRO: valores inválidos",IF(D320&lt;&gt;E320+K320,"ERRO: total inconsistente",IF(E320&lt;&gt;F320+G320,"ERRO: finalizados inconsistentes",IF(G320&lt;&gt;SUM(H320:J320),"ERRO: reprovações inconsistentes","OK")))))</f>
        <v/>
      </c>
    </row>
    <row r="321" ht="15" customHeight="1" s="131">
      <c r="A321" s="320" t="n"/>
      <c r="B321" s="323" t="n"/>
      <c r="C321" s="323" t="n"/>
      <c r="D321" s="328" t="n"/>
      <c r="E321" s="328" t="n"/>
      <c r="F321" s="328" t="n"/>
      <c r="G321" s="329">
        <f>IF(COUNTA(A321:C321)=0,"",SUM(H321:J321))</f>
        <v/>
      </c>
      <c r="H321" s="328" t="n"/>
      <c r="I321" s="330" t="n"/>
      <c r="J321" s="331" t="n"/>
      <c r="K321" s="331" t="n"/>
      <c r="L321" s="331" t="n"/>
      <c r="M321" s="332" t="n"/>
      <c r="N321" s="302">
        <f>IF(L321&gt;0,M321/L321,"")</f>
        <v/>
      </c>
      <c r="O321" s="317">
        <f>IF(E321&gt;0,F321/E321*100,"")</f>
        <v/>
      </c>
      <c r="P321" s="275">
        <f>IF(COUNTA(A321:C321)=0,"",IF(OR(A321="",B321="",C321="",D321&lt;0,E321&lt;0,F321&lt;0,H321&lt;0,I321&lt;0,J321&lt;0,K321&lt;0,L321&lt;0),"ERRO: valores inválidos",IF(D321&lt;&gt;E321+K321,"ERRO: total inconsistente",IF(E321&lt;&gt;F321+G321,"ERRO: finalizados inconsistentes",IF(G321&lt;&gt;SUM(H321:J321),"ERRO: reprovações inconsistentes","OK")))))</f>
        <v/>
      </c>
    </row>
    <row r="322" ht="15" customHeight="1" s="131">
      <c r="A322" s="320" t="n"/>
      <c r="B322" s="323" t="n"/>
      <c r="C322" s="323" t="n"/>
      <c r="D322" s="328" t="n"/>
      <c r="E322" s="328" t="n"/>
      <c r="F322" s="328" t="n"/>
      <c r="G322" s="329">
        <f>IF(COUNTA(A322:C322)=0,"",SUM(H322:J322))</f>
        <v/>
      </c>
      <c r="H322" s="328" t="n"/>
      <c r="I322" s="330" t="n"/>
      <c r="J322" s="331" t="n"/>
      <c r="K322" s="331" t="n"/>
      <c r="L322" s="331" t="n"/>
      <c r="M322" s="332" t="n"/>
      <c r="N322" s="302">
        <f>IF(L322&gt;0,M322/L322,"")</f>
        <v/>
      </c>
      <c r="O322" s="317">
        <f>IF(E322&gt;0,F322/E322*100,"")</f>
        <v/>
      </c>
      <c r="P322" s="275">
        <f>IF(COUNTA(A322:C322)=0,"",IF(OR(A322="",B322="",C322="",D322&lt;0,E322&lt;0,F322&lt;0,H322&lt;0,I322&lt;0,J322&lt;0,K322&lt;0,L322&lt;0),"ERRO: valores inválidos",IF(D322&lt;&gt;E322+K322,"ERRO: total inconsistente",IF(E322&lt;&gt;F322+G322,"ERRO: finalizados inconsistentes",IF(G322&lt;&gt;SUM(H322:J322),"ERRO: reprovações inconsistentes","OK")))))</f>
        <v/>
      </c>
    </row>
    <row r="323" ht="15" customHeight="1" s="131">
      <c r="A323" s="320" t="n"/>
      <c r="B323" s="323" t="n"/>
      <c r="C323" s="323" t="n"/>
      <c r="D323" s="328" t="n"/>
      <c r="E323" s="328" t="n"/>
      <c r="F323" s="328" t="n"/>
      <c r="G323" s="329">
        <f>IF(COUNTA(A323:C323)=0,"",SUM(H323:J323))</f>
        <v/>
      </c>
      <c r="H323" s="328" t="n"/>
      <c r="I323" s="330" t="n"/>
      <c r="J323" s="331" t="n"/>
      <c r="K323" s="331" t="n"/>
      <c r="L323" s="331" t="n"/>
      <c r="M323" s="332" t="n"/>
      <c r="N323" s="302">
        <f>IF(L323&gt;0,M323/L323,"")</f>
        <v/>
      </c>
      <c r="O323" s="317">
        <f>IF(E323&gt;0,F323/E323*100,"")</f>
        <v/>
      </c>
      <c r="P323" s="275">
        <f>IF(COUNTA(A323:C323)=0,"",IF(OR(A323="",B323="",C323="",D323&lt;0,E323&lt;0,F323&lt;0,H323&lt;0,I323&lt;0,J323&lt;0,K323&lt;0,L323&lt;0),"ERRO: valores inválidos",IF(D323&lt;&gt;E323+K323,"ERRO: total inconsistente",IF(E323&lt;&gt;F323+G323,"ERRO: finalizados inconsistentes",IF(G323&lt;&gt;SUM(H323:J323),"ERRO: reprovações inconsistentes","OK")))))</f>
        <v/>
      </c>
    </row>
    <row r="324" ht="15" customHeight="1" s="131">
      <c r="A324" s="320" t="n"/>
      <c r="B324" s="323" t="n"/>
      <c r="C324" s="323" t="n"/>
      <c r="D324" s="328" t="n"/>
      <c r="E324" s="328" t="n"/>
      <c r="F324" s="328" t="n"/>
      <c r="G324" s="329">
        <f>IF(COUNTA(A324:C324)=0,"",SUM(H324:J324))</f>
        <v/>
      </c>
      <c r="H324" s="328" t="n"/>
      <c r="I324" s="330" t="n"/>
      <c r="J324" s="331" t="n"/>
      <c r="K324" s="331" t="n"/>
      <c r="L324" s="331" t="n"/>
      <c r="M324" s="332" t="n"/>
      <c r="N324" s="302">
        <f>IF(L324&gt;0,M324/L324,"")</f>
        <v/>
      </c>
      <c r="O324" s="317">
        <f>IF(E324&gt;0,F324/E324*100,"")</f>
        <v/>
      </c>
      <c r="P324" s="275">
        <f>IF(COUNTA(A324:C324)=0,"",IF(OR(A324="",B324="",C324="",D324&lt;0,E324&lt;0,F324&lt;0,H324&lt;0,I324&lt;0,J324&lt;0,K324&lt;0,L324&lt;0),"ERRO: valores inválidos",IF(D324&lt;&gt;E324+K324,"ERRO: total inconsistente",IF(E324&lt;&gt;F324+G324,"ERRO: finalizados inconsistentes",IF(G324&lt;&gt;SUM(H324:J324),"ERRO: reprovações inconsistentes","OK")))))</f>
        <v/>
      </c>
    </row>
    <row r="325" ht="15" customHeight="1" s="131">
      <c r="A325" s="320" t="n"/>
      <c r="B325" s="323" t="n"/>
      <c r="C325" s="323" t="n"/>
      <c r="D325" s="328" t="n"/>
      <c r="E325" s="328" t="n"/>
      <c r="F325" s="328" t="n"/>
      <c r="G325" s="329">
        <f>IF(COUNTA(A325:C325)=0,"",SUM(H325:J325))</f>
        <v/>
      </c>
      <c r="H325" s="328" t="n"/>
      <c r="I325" s="330" t="n"/>
      <c r="J325" s="331" t="n"/>
      <c r="K325" s="331" t="n"/>
      <c r="L325" s="331" t="n"/>
      <c r="M325" s="332" t="n"/>
      <c r="N325" s="302">
        <f>IF(L325&gt;0,M325/L325,"")</f>
        <v/>
      </c>
      <c r="O325" s="317">
        <f>IF(E325&gt;0,F325/E325*100,"")</f>
        <v/>
      </c>
      <c r="P325" s="275">
        <f>IF(COUNTA(A325:C325)=0,"",IF(OR(A325="",B325="",C325="",D325&lt;0,E325&lt;0,F325&lt;0,H325&lt;0,I325&lt;0,J325&lt;0,K325&lt;0,L325&lt;0),"ERRO: valores inválidos",IF(D325&lt;&gt;E325+K325,"ERRO: total inconsistente",IF(E325&lt;&gt;F325+G325,"ERRO: finalizados inconsistentes",IF(G325&lt;&gt;SUM(H325:J325),"ERRO: reprovações inconsistentes","OK")))))</f>
        <v/>
      </c>
    </row>
    <row r="326" ht="15" customHeight="1" s="131">
      <c r="A326" s="320" t="n"/>
      <c r="B326" s="323" t="n"/>
      <c r="C326" s="323" t="n"/>
      <c r="D326" s="328" t="n"/>
      <c r="E326" s="328" t="n"/>
      <c r="F326" s="328" t="n"/>
      <c r="G326" s="329">
        <f>IF(COUNTA(A326:C326)=0,"",SUM(H326:J326))</f>
        <v/>
      </c>
      <c r="H326" s="328" t="n"/>
      <c r="I326" s="330" t="n"/>
      <c r="J326" s="331" t="n"/>
      <c r="K326" s="331" t="n"/>
      <c r="L326" s="331" t="n"/>
      <c r="M326" s="332" t="n"/>
      <c r="N326" s="302">
        <f>IF(L326&gt;0,M326/L326,"")</f>
        <v/>
      </c>
      <c r="O326" s="317">
        <f>IF(E326&gt;0,F326/E326*100,"")</f>
        <v/>
      </c>
      <c r="P326" s="275">
        <f>IF(COUNTA(A326:C326)=0,"",IF(OR(A326="",B326="",C326="",D326&lt;0,E326&lt;0,F326&lt;0,H326&lt;0,I326&lt;0,J326&lt;0,K326&lt;0,L326&lt;0),"ERRO: valores inválidos",IF(D326&lt;&gt;E326+K326,"ERRO: total inconsistente",IF(E326&lt;&gt;F326+G326,"ERRO: finalizados inconsistentes",IF(G326&lt;&gt;SUM(H326:J326),"ERRO: reprovações inconsistentes","OK")))))</f>
        <v/>
      </c>
    </row>
    <row r="327" ht="15" customHeight="1" s="131">
      <c r="A327" s="320" t="n"/>
      <c r="B327" s="323" t="n"/>
      <c r="C327" s="323" t="n"/>
      <c r="D327" s="328" t="n"/>
      <c r="E327" s="328" t="n"/>
      <c r="F327" s="328" t="n"/>
      <c r="G327" s="329">
        <f>IF(COUNTA(A327:C327)=0,"",SUM(H327:J327))</f>
        <v/>
      </c>
      <c r="H327" s="328" t="n"/>
      <c r="I327" s="330" t="n"/>
      <c r="J327" s="331" t="n"/>
      <c r="K327" s="331" t="n"/>
      <c r="L327" s="331" t="n"/>
      <c r="M327" s="332" t="n"/>
      <c r="N327" s="302">
        <f>IF(L327&gt;0,M327/L327,"")</f>
        <v/>
      </c>
      <c r="O327" s="317">
        <f>IF(E327&gt;0,F327/E327*100,"")</f>
        <v/>
      </c>
      <c r="P327" s="275">
        <f>IF(COUNTA(A327:C327)=0,"",IF(OR(A327="",B327="",C327="",D327&lt;0,E327&lt;0,F327&lt;0,H327&lt;0,I327&lt;0,J327&lt;0,K327&lt;0,L327&lt;0),"ERRO: valores inválidos",IF(D327&lt;&gt;E327+K327,"ERRO: total inconsistente",IF(E327&lt;&gt;F327+G327,"ERRO: finalizados inconsistentes",IF(G327&lt;&gt;SUM(H327:J327),"ERRO: reprovações inconsistentes","OK")))))</f>
        <v/>
      </c>
    </row>
    <row r="328" ht="15" customHeight="1" s="131">
      <c r="A328" s="320" t="n"/>
      <c r="B328" s="323" t="n"/>
      <c r="C328" s="323" t="n"/>
      <c r="D328" s="328" t="n"/>
      <c r="E328" s="328" t="n"/>
      <c r="F328" s="328" t="n"/>
      <c r="G328" s="329">
        <f>IF(COUNTA(A328:C328)=0,"",SUM(H328:J328))</f>
        <v/>
      </c>
      <c r="H328" s="328" t="n"/>
      <c r="I328" s="330" t="n"/>
      <c r="J328" s="331" t="n"/>
      <c r="K328" s="331" t="n"/>
      <c r="L328" s="331" t="n"/>
      <c r="M328" s="332" t="n"/>
      <c r="N328" s="302">
        <f>IF(L328&gt;0,M328/L328,"")</f>
        <v/>
      </c>
      <c r="O328" s="317">
        <f>IF(E328&gt;0,F328/E328*100,"")</f>
        <v/>
      </c>
      <c r="P328" s="275">
        <f>IF(COUNTA(A328:C328)=0,"",IF(OR(A328="",B328="",C328="",D328&lt;0,E328&lt;0,F328&lt;0,H328&lt;0,I328&lt;0,J328&lt;0,K328&lt;0,L328&lt;0),"ERRO: valores inválidos",IF(D328&lt;&gt;E328+K328,"ERRO: total inconsistente",IF(E328&lt;&gt;F328+G328,"ERRO: finalizados inconsistentes",IF(G328&lt;&gt;SUM(H328:J328),"ERRO: reprovações inconsistentes","OK")))))</f>
        <v/>
      </c>
    </row>
    <row r="329" ht="15" customHeight="1" s="131">
      <c r="A329" s="320" t="n"/>
      <c r="B329" s="323" t="n"/>
      <c r="C329" s="323" t="n"/>
      <c r="D329" s="328" t="n"/>
      <c r="E329" s="328" t="n"/>
      <c r="F329" s="328" t="n"/>
      <c r="G329" s="329">
        <f>IF(COUNTA(A329:C329)=0,"",SUM(H329:J329))</f>
        <v/>
      </c>
      <c r="H329" s="328" t="n"/>
      <c r="I329" s="330" t="n"/>
      <c r="J329" s="331" t="n"/>
      <c r="K329" s="331" t="n"/>
      <c r="L329" s="331" t="n"/>
      <c r="M329" s="332" t="n"/>
      <c r="N329" s="302">
        <f>IF(L329&gt;0,M329/L329,"")</f>
        <v/>
      </c>
      <c r="O329" s="317">
        <f>IF(E329&gt;0,F329/E329*100,"")</f>
        <v/>
      </c>
      <c r="P329" s="275">
        <f>IF(COUNTA(A329:C329)=0,"",IF(OR(A329="",B329="",C329="",D329&lt;0,E329&lt;0,F329&lt;0,H329&lt;0,I329&lt;0,J329&lt;0,K329&lt;0,L329&lt;0),"ERRO: valores inválidos",IF(D329&lt;&gt;E329+K329,"ERRO: total inconsistente",IF(E329&lt;&gt;F329+G329,"ERRO: finalizados inconsistentes",IF(G329&lt;&gt;SUM(H329:J329),"ERRO: reprovações inconsistentes","OK")))))</f>
        <v/>
      </c>
    </row>
    <row r="330" ht="15" customHeight="1" s="131">
      <c r="A330" s="320" t="n"/>
      <c r="B330" s="323" t="n"/>
      <c r="C330" s="323" t="n"/>
      <c r="D330" s="328" t="n"/>
      <c r="E330" s="328" t="n"/>
      <c r="F330" s="328" t="n"/>
      <c r="G330" s="329">
        <f>IF(COUNTA(A330:C330)=0,"",SUM(H330:J330))</f>
        <v/>
      </c>
      <c r="H330" s="328" t="n"/>
      <c r="I330" s="330" t="n"/>
      <c r="J330" s="331" t="n"/>
      <c r="K330" s="331" t="n"/>
      <c r="L330" s="331" t="n"/>
      <c r="M330" s="332" t="n"/>
      <c r="N330" s="302">
        <f>IF(L330&gt;0,M330/L330,"")</f>
        <v/>
      </c>
      <c r="O330" s="317">
        <f>IF(E330&gt;0,F330/E330*100,"")</f>
        <v/>
      </c>
      <c r="P330" s="275">
        <f>IF(COUNTA(A330:C330)=0,"",IF(OR(A330="",B330="",C330="",D330&lt;0,E330&lt;0,F330&lt;0,H330&lt;0,I330&lt;0,J330&lt;0,K330&lt;0,L330&lt;0),"ERRO: valores inválidos",IF(D330&lt;&gt;E330+K330,"ERRO: total inconsistente",IF(E330&lt;&gt;F330+G330,"ERRO: finalizados inconsistentes",IF(G330&lt;&gt;SUM(H330:J330),"ERRO: reprovações inconsistentes","OK")))))</f>
        <v/>
      </c>
    </row>
    <row r="331" ht="15" customHeight="1" s="131">
      <c r="A331" s="320" t="n"/>
      <c r="B331" s="323" t="n"/>
      <c r="C331" s="323" t="n"/>
      <c r="D331" s="328" t="n"/>
      <c r="E331" s="328" t="n"/>
      <c r="F331" s="328" t="n"/>
      <c r="G331" s="329">
        <f>IF(COUNTA(A331:C331)=0,"",SUM(H331:J331))</f>
        <v/>
      </c>
      <c r="H331" s="328" t="n"/>
      <c r="I331" s="330" t="n"/>
      <c r="J331" s="331" t="n"/>
      <c r="K331" s="331" t="n"/>
      <c r="L331" s="331" t="n"/>
      <c r="M331" s="332" t="n"/>
      <c r="N331" s="302">
        <f>IF(L331&gt;0,M331/L331,"")</f>
        <v/>
      </c>
      <c r="O331" s="317">
        <f>IF(E331&gt;0,F331/E331*100,"")</f>
        <v/>
      </c>
      <c r="P331" s="275">
        <f>IF(COUNTA(A331:C331)=0,"",IF(OR(A331="",B331="",C331="",D331&lt;0,E331&lt;0,F331&lt;0,H331&lt;0,I331&lt;0,J331&lt;0,K331&lt;0,L331&lt;0),"ERRO: valores inválidos",IF(D331&lt;&gt;E331+K331,"ERRO: total inconsistente",IF(E331&lt;&gt;F331+G331,"ERRO: finalizados inconsistentes",IF(G331&lt;&gt;SUM(H331:J331),"ERRO: reprovações inconsistentes","OK")))))</f>
        <v/>
      </c>
    </row>
    <row r="332" ht="15" customHeight="1" s="131">
      <c r="A332" s="320" t="n"/>
      <c r="B332" s="323" t="n"/>
      <c r="C332" s="323" t="n"/>
      <c r="D332" s="328" t="n"/>
      <c r="E332" s="328" t="n"/>
      <c r="F332" s="328" t="n"/>
      <c r="G332" s="329">
        <f>IF(COUNTA(A332:C332)=0,"",SUM(H332:J332))</f>
        <v/>
      </c>
      <c r="H332" s="328" t="n"/>
      <c r="I332" s="330" t="n"/>
      <c r="J332" s="331" t="n"/>
      <c r="K332" s="331" t="n"/>
      <c r="L332" s="331" t="n"/>
      <c r="M332" s="332" t="n"/>
      <c r="N332" s="302">
        <f>IF(L332&gt;0,M332/L332,"")</f>
        <v/>
      </c>
      <c r="O332" s="317">
        <f>IF(E332&gt;0,F332/E332*100,"")</f>
        <v/>
      </c>
      <c r="P332" s="275">
        <f>IF(COUNTA(A332:C332)=0,"",IF(OR(A332="",B332="",C332="",D332&lt;0,E332&lt;0,F332&lt;0,H332&lt;0,I332&lt;0,J332&lt;0,K332&lt;0,L332&lt;0),"ERRO: valores inválidos",IF(D332&lt;&gt;E332+K332,"ERRO: total inconsistente",IF(E332&lt;&gt;F332+G332,"ERRO: finalizados inconsistentes",IF(G332&lt;&gt;SUM(H332:J332),"ERRO: reprovações inconsistentes","OK")))))</f>
        <v/>
      </c>
    </row>
    <row r="333" ht="15" customHeight="1" s="131">
      <c r="A333" s="320" t="n"/>
      <c r="B333" s="323" t="n"/>
      <c r="C333" s="323" t="n"/>
      <c r="D333" s="328" t="n"/>
      <c r="E333" s="328" t="n"/>
      <c r="F333" s="328" t="n"/>
      <c r="G333" s="329">
        <f>IF(COUNTA(A333:C333)=0,"",SUM(H333:J333))</f>
        <v/>
      </c>
      <c r="H333" s="328" t="n"/>
      <c r="I333" s="330" t="n"/>
      <c r="J333" s="331" t="n"/>
      <c r="K333" s="331" t="n"/>
      <c r="L333" s="331" t="n"/>
      <c r="M333" s="332" t="n"/>
      <c r="N333" s="302">
        <f>IF(L333&gt;0,M333/L333,"")</f>
        <v/>
      </c>
      <c r="O333" s="317">
        <f>IF(E333&gt;0,F333/E333*100,"")</f>
        <v/>
      </c>
      <c r="P333" s="275">
        <f>IF(COUNTA(A333:C333)=0,"",IF(OR(A333="",B333="",C333="",D333&lt;0,E333&lt;0,F333&lt;0,H333&lt;0,I333&lt;0,J333&lt;0,K333&lt;0,L333&lt;0),"ERRO: valores inválidos",IF(D333&lt;&gt;E333+K333,"ERRO: total inconsistente",IF(E333&lt;&gt;F333+G333,"ERRO: finalizados inconsistentes",IF(G333&lt;&gt;SUM(H333:J333),"ERRO: reprovações inconsistentes","OK")))))</f>
        <v/>
      </c>
    </row>
    <row r="334" ht="15" customHeight="1" s="131">
      <c r="A334" s="320" t="n"/>
      <c r="B334" s="323" t="n"/>
      <c r="C334" s="323" t="n"/>
      <c r="D334" s="328" t="n"/>
      <c r="E334" s="328" t="n"/>
      <c r="F334" s="328" t="n"/>
      <c r="G334" s="329">
        <f>IF(COUNTA(A334:C334)=0,"",SUM(H334:J334))</f>
        <v/>
      </c>
      <c r="H334" s="328" t="n"/>
      <c r="I334" s="330" t="n"/>
      <c r="J334" s="331" t="n"/>
      <c r="K334" s="331" t="n"/>
      <c r="L334" s="331" t="n"/>
      <c r="M334" s="332" t="n"/>
      <c r="N334" s="302">
        <f>IF(L334&gt;0,M334/L334,"")</f>
        <v/>
      </c>
      <c r="O334" s="317">
        <f>IF(E334&gt;0,F334/E334*100,"")</f>
        <v/>
      </c>
      <c r="P334" s="275">
        <f>IF(COUNTA(A334:C334)=0,"",IF(OR(A334="",B334="",C334="",D334&lt;0,E334&lt;0,F334&lt;0,H334&lt;0,I334&lt;0,J334&lt;0,K334&lt;0,L334&lt;0),"ERRO: valores inválidos",IF(D334&lt;&gt;E334+K334,"ERRO: total inconsistente",IF(E334&lt;&gt;F334+G334,"ERRO: finalizados inconsistentes",IF(G334&lt;&gt;SUM(H334:J334),"ERRO: reprovações inconsistentes","OK")))))</f>
        <v/>
      </c>
    </row>
    <row r="335" ht="15" customHeight="1" s="131">
      <c r="A335" s="320" t="n"/>
      <c r="B335" s="323" t="n"/>
      <c r="C335" s="323" t="n"/>
      <c r="D335" s="328" t="n"/>
      <c r="E335" s="328" t="n"/>
      <c r="F335" s="328" t="n"/>
      <c r="G335" s="329">
        <f>IF(COUNTA(A335:C335)=0,"",SUM(H335:J335))</f>
        <v/>
      </c>
      <c r="H335" s="328" t="n"/>
      <c r="I335" s="330" t="n"/>
      <c r="J335" s="331" t="n"/>
      <c r="K335" s="331" t="n"/>
      <c r="L335" s="331" t="n"/>
      <c r="M335" s="332" t="n"/>
      <c r="N335" s="302">
        <f>IF(L335&gt;0,M335/L335,"")</f>
        <v/>
      </c>
      <c r="O335" s="317">
        <f>IF(E335&gt;0,F335/E335*100,"")</f>
        <v/>
      </c>
      <c r="P335" s="275">
        <f>IF(COUNTA(A335:C335)=0,"",IF(OR(A335="",B335="",C335="",D335&lt;0,E335&lt;0,F335&lt;0,H335&lt;0,I335&lt;0,J335&lt;0,K335&lt;0,L335&lt;0),"ERRO: valores inválidos",IF(D335&lt;&gt;E335+K335,"ERRO: total inconsistente",IF(E335&lt;&gt;F335+G335,"ERRO: finalizados inconsistentes",IF(G335&lt;&gt;SUM(H335:J335),"ERRO: reprovações inconsistentes","OK")))))</f>
        <v/>
      </c>
    </row>
    <row r="336" ht="15" customHeight="1" s="131">
      <c r="A336" s="320" t="n"/>
      <c r="B336" s="323" t="n"/>
      <c r="C336" s="323" t="n"/>
      <c r="D336" s="328" t="n"/>
      <c r="E336" s="328" t="n"/>
      <c r="F336" s="328" t="n"/>
      <c r="G336" s="329">
        <f>IF(COUNTA(A336:C336)=0,"",SUM(H336:J336))</f>
        <v/>
      </c>
      <c r="H336" s="328" t="n"/>
      <c r="I336" s="330" t="n"/>
      <c r="J336" s="331" t="n"/>
      <c r="K336" s="331" t="n"/>
      <c r="L336" s="331" t="n"/>
      <c r="M336" s="332" t="n"/>
      <c r="N336" s="302">
        <f>IF(L336&gt;0,M336/L336,"")</f>
        <v/>
      </c>
      <c r="O336" s="317">
        <f>IF(E336&gt;0,F336/E336*100,"")</f>
        <v/>
      </c>
      <c r="P336" s="275">
        <f>IF(COUNTA(A336:C336)=0,"",IF(OR(A336="",B336="",C336="",D336&lt;0,E336&lt;0,F336&lt;0,H336&lt;0,I336&lt;0,J336&lt;0,K336&lt;0,L336&lt;0),"ERRO: valores inválidos",IF(D336&lt;&gt;E336+K336,"ERRO: total inconsistente",IF(E336&lt;&gt;F336+G336,"ERRO: finalizados inconsistentes",IF(G336&lt;&gt;SUM(H336:J336),"ERRO: reprovações inconsistentes","OK")))))</f>
        <v/>
      </c>
    </row>
    <row r="337" ht="15" customHeight="1" s="131">
      <c r="A337" s="320" t="n"/>
      <c r="B337" s="323" t="n"/>
      <c r="C337" s="323" t="n"/>
      <c r="D337" s="328" t="n"/>
      <c r="E337" s="328" t="n"/>
      <c r="F337" s="328" t="n"/>
      <c r="G337" s="329">
        <f>IF(COUNTA(A337:C337)=0,"",SUM(H337:J337))</f>
        <v/>
      </c>
      <c r="H337" s="328" t="n"/>
      <c r="I337" s="330" t="n"/>
      <c r="J337" s="331" t="n"/>
      <c r="K337" s="331" t="n"/>
      <c r="L337" s="331" t="n"/>
      <c r="M337" s="332" t="n"/>
      <c r="N337" s="302">
        <f>IF(L337&gt;0,M337/L337,"")</f>
        <v/>
      </c>
      <c r="O337" s="317">
        <f>IF(E337&gt;0,F337/E337*100,"")</f>
        <v/>
      </c>
      <c r="P337" s="275">
        <f>IF(COUNTA(A337:C337)=0,"",IF(OR(A337="",B337="",C337="",D337&lt;0,E337&lt;0,F337&lt;0,H337&lt;0,I337&lt;0,J337&lt;0,K337&lt;0,L337&lt;0),"ERRO: valores inválidos",IF(D337&lt;&gt;E337+K337,"ERRO: total inconsistente",IF(E337&lt;&gt;F337+G337,"ERRO: finalizados inconsistentes",IF(G337&lt;&gt;SUM(H337:J337),"ERRO: reprovações inconsistentes","OK")))))</f>
        <v/>
      </c>
    </row>
    <row r="338" ht="15" customHeight="1" s="131">
      <c r="A338" s="320" t="n"/>
      <c r="B338" s="323" t="n"/>
      <c r="C338" s="323" t="n"/>
      <c r="D338" s="328" t="n"/>
      <c r="E338" s="328" t="n"/>
      <c r="F338" s="328" t="n"/>
      <c r="G338" s="329">
        <f>IF(COUNTA(A338:C338)=0,"",SUM(H338:J338))</f>
        <v/>
      </c>
      <c r="H338" s="328" t="n"/>
      <c r="I338" s="330" t="n"/>
      <c r="J338" s="331" t="n"/>
      <c r="K338" s="331" t="n"/>
      <c r="L338" s="331" t="n"/>
      <c r="M338" s="332" t="n"/>
      <c r="N338" s="302">
        <f>IF(L338&gt;0,M338/L338,"")</f>
        <v/>
      </c>
      <c r="O338" s="317">
        <f>IF(E338&gt;0,F338/E338*100,"")</f>
        <v/>
      </c>
      <c r="P338" s="275">
        <f>IF(COUNTA(A338:C338)=0,"",IF(OR(A338="",B338="",C338="",D338&lt;0,E338&lt;0,F338&lt;0,H338&lt;0,I338&lt;0,J338&lt;0,K338&lt;0,L338&lt;0),"ERRO: valores inválidos",IF(D338&lt;&gt;E338+K338,"ERRO: total inconsistente",IF(E338&lt;&gt;F338+G338,"ERRO: finalizados inconsistentes",IF(G338&lt;&gt;SUM(H338:J338),"ERRO: reprovações inconsistentes","OK")))))</f>
        <v/>
      </c>
    </row>
    <row r="339" ht="15" customHeight="1" s="131">
      <c r="A339" s="320" t="n"/>
      <c r="B339" s="323" t="n"/>
      <c r="C339" s="323" t="n"/>
      <c r="D339" s="328" t="n"/>
      <c r="E339" s="328" t="n"/>
      <c r="F339" s="328" t="n"/>
      <c r="G339" s="329">
        <f>IF(COUNTA(A339:C339)=0,"",SUM(H339:J339))</f>
        <v/>
      </c>
      <c r="H339" s="328" t="n"/>
      <c r="I339" s="330" t="n"/>
      <c r="J339" s="331" t="n"/>
      <c r="K339" s="331" t="n"/>
      <c r="L339" s="331" t="n"/>
      <c r="M339" s="332" t="n"/>
      <c r="N339" s="302">
        <f>IF(L339&gt;0,M339/L339,"")</f>
        <v/>
      </c>
      <c r="O339" s="317">
        <f>IF(E339&gt;0,F339/E339*100,"")</f>
        <v/>
      </c>
      <c r="P339" s="275">
        <f>IF(COUNTA(A339:C339)=0,"",IF(OR(A339="",B339="",C339="",D339&lt;0,E339&lt;0,F339&lt;0,H339&lt;0,I339&lt;0,J339&lt;0,K339&lt;0,L339&lt;0),"ERRO: valores inválidos",IF(D339&lt;&gt;E339+K339,"ERRO: total inconsistente",IF(E339&lt;&gt;F339+G339,"ERRO: finalizados inconsistentes",IF(G339&lt;&gt;SUM(H339:J339),"ERRO: reprovações inconsistentes","OK")))))</f>
        <v/>
      </c>
    </row>
    <row r="340" ht="15" customHeight="1" s="131">
      <c r="A340" s="320" t="n"/>
      <c r="B340" s="323" t="n"/>
      <c r="C340" s="323" t="n"/>
      <c r="D340" s="328" t="n"/>
      <c r="E340" s="328" t="n"/>
      <c r="F340" s="328" t="n"/>
      <c r="G340" s="329">
        <f>IF(COUNTA(A340:C340)=0,"",SUM(H340:J340))</f>
        <v/>
      </c>
      <c r="H340" s="328" t="n"/>
      <c r="I340" s="330" t="n"/>
      <c r="J340" s="331" t="n"/>
      <c r="K340" s="331" t="n"/>
      <c r="L340" s="331" t="n"/>
      <c r="M340" s="332" t="n"/>
      <c r="N340" s="302">
        <f>IF(L340&gt;0,M340/L340,"")</f>
        <v/>
      </c>
      <c r="O340" s="317">
        <f>IF(E340&gt;0,F340/E340*100,"")</f>
        <v/>
      </c>
      <c r="P340" s="275">
        <f>IF(COUNTA(A340:C340)=0,"",IF(OR(A340="",B340="",C340="",D340&lt;0,E340&lt;0,F340&lt;0,H340&lt;0,I340&lt;0,J340&lt;0,K340&lt;0,L340&lt;0),"ERRO: valores inválidos",IF(D340&lt;&gt;E340+K340,"ERRO: total inconsistente",IF(E340&lt;&gt;F340+G340,"ERRO: finalizados inconsistentes",IF(G340&lt;&gt;SUM(H340:J340),"ERRO: reprovações inconsistentes","OK")))))</f>
        <v/>
      </c>
    </row>
    <row r="341" ht="15" customHeight="1" s="131">
      <c r="A341" s="320" t="n"/>
      <c r="B341" s="323" t="n"/>
      <c r="C341" s="323" t="n"/>
      <c r="D341" s="328" t="n"/>
      <c r="E341" s="328" t="n"/>
      <c r="F341" s="328" t="n"/>
      <c r="G341" s="329">
        <f>IF(COUNTA(A341:C341)=0,"",SUM(H341:J341))</f>
        <v/>
      </c>
      <c r="H341" s="328" t="n"/>
      <c r="I341" s="330" t="n"/>
      <c r="J341" s="331" t="n"/>
      <c r="K341" s="331" t="n"/>
      <c r="L341" s="331" t="n"/>
      <c r="M341" s="332" t="n"/>
      <c r="N341" s="302">
        <f>IF(L341&gt;0,M341/L341,"")</f>
        <v/>
      </c>
      <c r="O341" s="317">
        <f>IF(E341&gt;0,F341/E341*100,"")</f>
        <v/>
      </c>
      <c r="P341" s="275">
        <f>IF(COUNTA(A341:C341)=0,"",IF(OR(A341="",B341="",C341="",D341&lt;0,E341&lt;0,F341&lt;0,H341&lt;0,I341&lt;0,J341&lt;0,K341&lt;0,L341&lt;0),"ERRO: valores inválidos",IF(D341&lt;&gt;E341+K341,"ERRO: total inconsistente",IF(E341&lt;&gt;F341+G341,"ERRO: finalizados inconsistentes",IF(G341&lt;&gt;SUM(H341:J341),"ERRO: reprovações inconsistentes","OK")))))</f>
        <v/>
      </c>
    </row>
    <row r="342" ht="15" customHeight="1" s="131">
      <c r="A342" s="320" t="n"/>
      <c r="B342" s="323" t="n"/>
      <c r="C342" s="323" t="n"/>
      <c r="D342" s="328" t="n"/>
      <c r="E342" s="328" t="n"/>
      <c r="F342" s="328" t="n"/>
      <c r="G342" s="329">
        <f>IF(COUNTA(A342:C342)=0,"",SUM(H342:J342))</f>
        <v/>
      </c>
      <c r="H342" s="328" t="n"/>
      <c r="I342" s="330" t="n"/>
      <c r="J342" s="331" t="n"/>
      <c r="K342" s="331" t="n"/>
      <c r="L342" s="331" t="n"/>
      <c r="M342" s="332" t="n"/>
      <c r="N342" s="302">
        <f>IF(L342&gt;0,M342/L342,"")</f>
        <v/>
      </c>
      <c r="O342" s="317">
        <f>IF(E342&gt;0,F342/E342*100,"")</f>
        <v/>
      </c>
      <c r="P342" s="275">
        <f>IF(COUNTA(A342:C342)=0,"",IF(OR(A342="",B342="",C342="",D342&lt;0,E342&lt;0,F342&lt;0,H342&lt;0,I342&lt;0,J342&lt;0,K342&lt;0,L342&lt;0),"ERRO: valores inválidos",IF(D342&lt;&gt;E342+K342,"ERRO: total inconsistente",IF(E342&lt;&gt;F342+G342,"ERRO: finalizados inconsistentes",IF(G342&lt;&gt;SUM(H342:J342),"ERRO: reprovações inconsistentes","OK")))))</f>
        <v/>
      </c>
    </row>
    <row r="343" ht="15" customHeight="1" s="131">
      <c r="A343" s="320" t="n"/>
      <c r="B343" s="323" t="n"/>
      <c r="C343" s="323" t="n"/>
      <c r="D343" s="328" t="n"/>
      <c r="E343" s="328" t="n"/>
      <c r="F343" s="328" t="n"/>
      <c r="G343" s="329">
        <f>IF(COUNTA(A343:C343)=0,"",SUM(H343:J343))</f>
        <v/>
      </c>
      <c r="H343" s="328" t="n"/>
      <c r="I343" s="330" t="n"/>
      <c r="J343" s="331" t="n"/>
      <c r="K343" s="331" t="n"/>
      <c r="L343" s="331" t="n"/>
      <c r="M343" s="332" t="n"/>
      <c r="N343" s="302">
        <f>IF(L343&gt;0,M343/L343,"")</f>
        <v/>
      </c>
      <c r="O343" s="317">
        <f>IF(E343&gt;0,F343/E343*100,"")</f>
        <v/>
      </c>
      <c r="P343" s="275">
        <f>IF(COUNTA(A343:C343)=0,"",IF(OR(A343="",B343="",C343="",D343&lt;0,E343&lt;0,F343&lt;0,H343&lt;0,I343&lt;0,J343&lt;0,K343&lt;0,L343&lt;0),"ERRO: valores inválidos",IF(D343&lt;&gt;E343+K343,"ERRO: total inconsistente",IF(E343&lt;&gt;F343+G343,"ERRO: finalizados inconsistentes",IF(G343&lt;&gt;SUM(H343:J343),"ERRO: reprovações inconsistentes","OK")))))</f>
        <v/>
      </c>
    </row>
    <row r="344" ht="15" customHeight="1" s="131">
      <c r="A344" s="320" t="n"/>
      <c r="B344" s="323" t="n"/>
      <c r="C344" s="323" t="n"/>
      <c r="D344" s="328" t="n"/>
      <c r="E344" s="328" t="n"/>
      <c r="F344" s="328" t="n"/>
      <c r="G344" s="329">
        <f>IF(COUNTA(A344:C344)=0,"",SUM(H344:J344))</f>
        <v/>
      </c>
      <c r="H344" s="328" t="n"/>
      <c r="I344" s="330" t="n"/>
      <c r="J344" s="331" t="n"/>
      <c r="K344" s="331" t="n"/>
      <c r="L344" s="331" t="n"/>
      <c r="M344" s="332" t="n"/>
      <c r="N344" s="302">
        <f>IF(L344&gt;0,M344/L344,"")</f>
        <v/>
      </c>
      <c r="O344" s="317">
        <f>IF(E344&gt;0,F344/E344*100,"")</f>
        <v/>
      </c>
      <c r="P344" s="275">
        <f>IF(COUNTA(A344:C344)=0,"",IF(OR(A344="",B344="",C344="",D344&lt;0,E344&lt;0,F344&lt;0,H344&lt;0,I344&lt;0,J344&lt;0,K344&lt;0,L344&lt;0),"ERRO: valores inválidos",IF(D344&lt;&gt;E344+K344,"ERRO: total inconsistente",IF(E344&lt;&gt;F344+G344,"ERRO: finalizados inconsistentes",IF(G344&lt;&gt;SUM(H344:J344),"ERRO: reprovações inconsistentes","OK")))))</f>
        <v/>
      </c>
    </row>
    <row r="345" ht="15" customHeight="1" s="131">
      <c r="A345" s="320" t="n"/>
      <c r="B345" s="323" t="n"/>
      <c r="C345" s="323" t="n"/>
      <c r="D345" s="328" t="n"/>
      <c r="E345" s="328" t="n"/>
      <c r="F345" s="328" t="n"/>
      <c r="G345" s="329">
        <f>IF(COUNTA(A345:C345)=0,"",SUM(H345:J345))</f>
        <v/>
      </c>
      <c r="H345" s="328" t="n"/>
      <c r="I345" s="330" t="n"/>
      <c r="J345" s="331" t="n"/>
      <c r="K345" s="331" t="n"/>
      <c r="L345" s="331" t="n"/>
      <c r="M345" s="332" t="n"/>
      <c r="N345" s="302">
        <f>IF(L345&gt;0,M345/L345,"")</f>
        <v/>
      </c>
      <c r="O345" s="317">
        <f>IF(E345&gt;0,F345/E345*100,"")</f>
        <v/>
      </c>
      <c r="P345" s="275">
        <f>IF(COUNTA(A345:C345)=0,"",IF(OR(A345="",B345="",C345="",D345&lt;0,E345&lt;0,F345&lt;0,H345&lt;0,I345&lt;0,J345&lt;0,K345&lt;0,L345&lt;0),"ERRO: valores inválidos",IF(D345&lt;&gt;E345+K345,"ERRO: total inconsistente",IF(E345&lt;&gt;F345+G345,"ERRO: finalizados inconsistentes",IF(G345&lt;&gt;SUM(H345:J345),"ERRO: reprovações inconsistentes","OK")))))</f>
        <v/>
      </c>
    </row>
    <row r="346" ht="15" customHeight="1" s="131">
      <c r="A346" s="320" t="n"/>
      <c r="B346" s="323" t="n"/>
      <c r="C346" s="323" t="n"/>
      <c r="D346" s="328" t="n"/>
      <c r="E346" s="328" t="n"/>
      <c r="F346" s="328" t="n"/>
      <c r="G346" s="329">
        <f>IF(COUNTA(A346:C346)=0,"",SUM(H346:J346))</f>
        <v/>
      </c>
      <c r="H346" s="328" t="n"/>
      <c r="I346" s="330" t="n"/>
      <c r="J346" s="331" t="n"/>
      <c r="K346" s="331" t="n"/>
      <c r="L346" s="331" t="n"/>
      <c r="M346" s="332" t="n"/>
      <c r="N346" s="302">
        <f>IF(L346&gt;0,M346/L346,"")</f>
        <v/>
      </c>
      <c r="O346" s="317">
        <f>IF(E346&gt;0,F346/E346*100,"")</f>
        <v/>
      </c>
      <c r="P346" s="275">
        <f>IF(COUNTA(A346:C346)=0,"",IF(OR(A346="",B346="",C346="",D346&lt;0,E346&lt;0,F346&lt;0,H346&lt;0,I346&lt;0,J346&lt;0,K346&lt;0,L346&lt;0),"ERRO: valores inválidos",IF(D346&lt;&gt;E346+K346,"ERRO: total inconsistente",IF(E346&lt;&gt;F346+G346,"ERRO: finalizados inconsistentes",IF(G346&lt;&gt;SUM(H346:J346),"ERRO: reprovações inconsistentes","OK")))))</f>
        <v/>
      </c>
    </row>
    <row r="347" ht="15" customHeight="1" s="131">
      <c r="A347" s="320" t="n"/>
      <c r="B347" s="323" t="n"/>
      <c r="C347" s="323" t="n"/>
      <c r="D347" s="328" t="n"/>
      <c r="E347" s="328" t="n"/>
      <c r="F347" s="328" t="n"/>
      <c r="G347" s="329">
        <f>IF(COUNTA(A347:C347)=0,"",SUM(H347:J347))</f>
        <v/>
      </c>
      <c r="H347" s="328" t="n"/>
      <c r="I347" s="330" t="n"/>
      <c r="J347" s="331" t="n"/>
      <c r="K347" s="331" t="n"/>
      <c r="L347" s="331" t="n"/>
      <c r="M347" s="332" t="n"/>
      <c r="N347" s="302">
        <f>IF(L347&gt;0,M347/L347,"")</f>
        <v/>
      </c>
      <c r="O347" s="317">
        <f>IF(E347&gt;0,F347/E347*100,"")</f>
        <v/>
      </c>
      <c r="P347" s="275">
        <f>IF(COUNTA(A347:C347)=0,"",IF(OR(A347="",B347="",C347="",D347&lt;0,E347&lt;0,F347&lt;0,H347&lt;0,I347&lt;0,J347&lt;0,K347&lt;0,L347&lt;0),"ERRO: valores inválidos",IF(D347&lt;&gt;E347+K347,"ERRO: total inconsistente",IF(E347&lt;&gt;F347+G347,"ERRO: finalizados inconsistentes",IF(G347&lt;&gt;SUM(H347:J347),"ERRO: reprovações inconsistentes","OK")))))</f>
        <v/>
      </c>
    </row>
    <row r="348" ht="15" customHeight="1" s="131">
      <c r="A348" s="320" t="n"/>
      <c r="B348" s="323" t="n"/>
      <c r="C348" s="323" t="n"/>
      <c r="D348" s="328" t="n"/>
      <c r="E348" s="328" t="n"/>
      <c r="F348" s="328" t="n"/>
      <c r="G348" s="329">
        <f>IF(COUNTA(A348:C348)=0,"",SUM(H348:J348))</f>
        <v/>
      </c>
      <c r="H348" s="328" t="n"/>
      <c r="I348" s="330" t="n"/>
      <c r="J348" s="331" t="n"/>
      <c r="K348" s="331" t="n"/>
      <c r="L348" s="331" t="n"/>
      <c r="M348" s="332" t="n"/>
      <c r="N348" s="302">
        <f>IF(L348&gt;0,M348/L348,"")</f>
        <v/>
      </c>
      <c r="O348" s="317">
        <f>IF(E348&gt;0,F348/E348*100,"")</f>
        <v/>
      </c>
      <c r="P348" s="275">
        <f>IF(COUNTA(A348:C348)=0,"",IF(OR(A348="",B348="",C348="",D348&lt;0,E348&lt;0,F348&lt;0,H348&lt;0,I348&lt;0,J348&lt;0,K348&lt;0,L348&lt;0),"ERRO: valores inválidos",IF(D348&lt;&gt;E348+K348,"ERRO: total inconsistente",IF(E348&lt;&gt;F348+G348,"ERRO: finalizados inconsistentes",IF(G348&lt;&gt;SUM(H348:J348),"ERRO: reprovações inconsistentes","OK")))))</f>
        <v/>
      </c>
    </row>
    <row r="349" ht="15" customHeight="1" s="131">
      <c r="A349" s="320" t="n"/>
      <c r="B349" s="323" t="n"/>
      <c r="C349" s="323" t="n"/>
      <c r="D349" s="328" t="n"/>
      <c r="E349" s="328" t="n"/>
      <c r="F349" s="328" t="n"/>
      <c r="G349" s="329">
        <f>IF(COUNTA(A349:C349)=0,"",SUM(H349:J349))</f>
        <v/>
      </c>
      <c r="H349" s="328" t="n"/>
      <c r="I349" s="330" t="n"/>
      <c r="J349" s="331" t="n"/>
      <c r="K349" s="331" t="n"/>
      <c r="L349" s="331" t="n"/>
      <c r="M349" s="332" t="n"/>
      <c r="N349" s="302">
        <f>IF(L349&gt;0,M349/L349,"")</f>
        <v/>
      </c>
      <c r="O349" s="317">
        <f>IF(E349&gt;0,F349/E349*100,"")</f>
        <v/>
      </c>
      <c r="P349" s="275">
        <f>IF(COUNTA(A349:C349)=0,"",IF(OR(A349="",B349="",C349="",D349&lt;0,E349&lt;0,F349&lt;0,H349&lt;0,I349&lt;0,J349&lt;0,K349&lt;0,L349&lt;0),"ERRO: valores inválidos",IF(D349&lt;&gt;E349+K349,"ERRO: total inconsistente",IF(E349&lt;&gt;F349+G349,"ERRO: finalizados inconsistentes",IF(G349&lt;&gt;SUM(H349:J349),"ERRO: reprovações inconsistentes","OK")))))</f>
        <v/>
      </c>
    </row>
    <row r="350" ht="15" customHeight="1" s="131">
      <c r="A350" s="320" t="n"/>
      <c r="B350" s="323" t="n"/>
      <c r="C350" s="323" t="n"/>
      <c r="D350" s="328" t="n"/>
      <c r="E350" s="328" t="n"/>
      <c r="F350" s="328" t="n"/>
      <c r="G350" s="329">
        <f>IF(COUNTA(A350:C350)=0,"",SUM(H350:J350))</f>
        <v/>
      </c>
      <c r="H350" s="328" t="n"/>
      <c r="I350" s="330" t="n"/>
      <c r="J350" s="331" t="n"/>
      <c r="K350" s="331" t="n"/>
      <c r="L350" s="331" t="n"/>
      <c r="M350" s="332" t="n"/>
      <c r="N350" s="302">
        <f>IF(L350&gt;0,M350/L350,"")</f>
        <v/>
      </c>
      <c r="O350" s="317">
        <f>IF(E350&gt;0,F350/E350*100,"")</f>
        <v/>
      </c>
      <c r="P350" s="275">
        <f>IF(COUNTA(A350:C350)=0,"",IF(OR(A350="",B350="",C350="",D350&lt;0,E350&lt;0,F350&lt;0,H350&lt;0,I350&lt;0,J350&lt;0,K350&lt;0,L350&lt;0),"ERRO: valores inválidos",IF(D350&lt;&gt;E350+K350,"ERRO: total inconsistente",IF(E350&lt;&gt;F350+G350,"ERRO: finalizados inconsistentes",IF(G350&lt;&gt;SUM(H350:J350),"ERRO: reprovações inconsistentes","OK")))))</f>
        <v/>
      </c>
    </row>
    <row r="351" ht="15" customHeight="1" s="131">
      <c r="A351" s="320" t="n"/>
      <c r="B351" s="323" t="n"/>
      <c r="C351" s="323" t="n"/>
      <c r="D351" s="328" t="n"/>
      <c r="E351" s="328" t="n"/>
      <c r="F351" s="328" t="n"/>
      <c r="G351" s="329">
        <f>IF(COUNTA(A351:C351)=0,"",SUM(H351:J351))</f>
        <v/>
      </c>
      <c r="H351" s="328" t="n"/>
      <c r="I351" s="330" t="n"/>
      <c r="J351" s="331" t="n"/>
      <c r="K351" s="331" t="n"/>
      <c r="L351" s="331" t="n"/>
      <c r="M351" s="332" t="n"/>
      <c r="N351" s="302">
        <f>IF(L351&gt;0,M351/L351,"")</f>
        <v/>
      </c>
      <c r="O351" s="317">
        <f>IF(E351&gt;0,F351/E351*100,"")</f>
        <v/>
      </c>
      <c r="P351" s="275">
        <f>IF(COUNTA(A351:C351)=0,"",IF(OR(A351="",B351="",C351="",D351&lt;0,E351&lt;0,F351&lt;0,H351&lt;0,I351&lt;0,J351&lt;0,K351&lt;0,L351&lt;0),"ERRO: valores inválidos",IF(D351&lt;&gt;E351+K351,"ERRO: total inconsistente",IF(E351&lt;&gt;F351+G351,"ERRO: finalizados inconsistentes",IF(G351&lt;&gt;SUM(H351:J351),"ERRO: reprovações inconsistentes","OK")))))</f>
        <v/>
      </c>
    </row>
    <row r="352" ht="15" customHeight="1" s="131">
      <c r="A352" s="320" t="n"/>
      <c r="B352" s="323" t="n"/>
      <c r="C352" s="323" t="n"/>
      <c r="D352" s="328" t="n"/>
      <c r="E352" s="328" t="n"/>
      <c r="F352" s="328" t="n"/>
      <c r="G352" s="329">
        <f>IF(COUNTA(A352:C352)=0,"",SUM(H352:J352))</f>
        <v/>
      </c>
      <c r="H352" s="328" t="n"/>
      <c r="I352" s="330" t="n"/>
      <c r="J352" s="331" t="n"/>
      <c r="K352" s="331" t="n"/>
      <c r="L352" s="331" t="n"/>
      <c r="M352" s="332" t="n"/>
      <c r="N352" s="302">
        <f>IF(L352&gt;0,M352/L352,"")</f>
        <v/>
      </c>
      <c r="O352" s="317">
        <f>IF(E352&gt;0,F352/E352*100,"")</f>
        <v/>
      </c>
      <c r="P352" s="275">
        <f>IF(COUNTA(A352:C352)=0,"",IF(OR(A352="",B352="",C352="",D352&lt;0,E352&lt;0,F352&lt;0,H352&lt;0,I352&lt;0,J352&lt;0,K352&lt;0,L352&lt;0),"ERRO: valores inválidos",IF(D352&lt;&gt;E352+K352,"ERRO: total inconsistente",IF(E352&lt;&gt;F352+G352,"ERRO: finalizados inconsistentes",IF(G352&lt;&gt;SUM(H352:J352),"ERRO: reprovações inconsistentes","OK")))))</f>
        <v/>
      </c>
    </row>
    <row r="353" ht="15" customHeight="1" s="131">
      <c r="A353" s="320" t="n"/>
      <c r="B353" s="323" t="n"/>
      <c r="C353" s="323" t="n"/>
      <c r="D353" s="328" t="n"/>
      <c r="E353" s="328" t="n"/>
      <c r="F353" s="328" t="n"/>
      <c r="G353" s="329">
        <f>IF(COUNTA(A353:C353)=0,"",SUM(H353:J353))</f>
        <v/>
      </c>
      <c r="H353" s="328" t="n"/>
      <c r="I353" s="330" t="n"/>
      <c r="J353" s="331" t="n"/>
      <c r="K353" s="331" t="n"/>
      <c r="L353" s="331" t="n"/>
      <c r="M353" s="332" t="n"/>
      <c r="N353" s="302">
        <f>IF(L353&gt;0,M353/L353,"")</f>
        <v/>
      </c>
      <c r="O353" s="317">
        <f>IF(E353&gt;0,F353/E353*100,"")</f>
        <v/>
      </c>
      <c r="P353" s="275">
        <f>IF(COUNTA(A353:C353)=0,"",IF(OR(A353="",B353="",C353="",D353&lt;0,E353&lt;0,F353&lt;0,H353&lt;0,I353&lt;0,J353&lt;0,K353&lt;0,L353&lt;0),"ERRO: valores inválidos",IF(D353&lt;&gt;E353+K353,"ERRO: total inconsistente",IF(E353&lt;&gt;F353+G353,"ERRO: finalizados inconsistentes",IF(G353&lt;&gt;SUM(H353:J353),"ERRO: reprovações inconsistentes","OK")))))</f>
        <v/>
      </c>
    </row>
    <row r="354" ht="15" customHeight="1" s="131">
      <c r="A354" s="320" t="n"/>
      <c r="B354" s="323" t="n"/>
      <c r="C354" s="323" t="n"/>
      <c r="D354" s="328" t="n"/>
      <c r="E354" s="328" t="n"/>
      <c r="F354" s="328" t="n"/>
      <c r="G354" s="329">
        <f>IF(COUNTA(A354:C354)=0,"",SUM(H354:J354))</f>
        <v/>
      </c>
      <c r="H354" s="328" t="n"/>
      <c r="I354" s="330" t="n"/>
      <c r="J354" s="331" t="n"/>
      <c r="K354" s="331" t="n"/>
      <c r="L354" s="331" t="n"/>
      <c r="M354" s="332" t="n"/>
      <c r="N354" s="302">
        <f>IF(L354&gt;0,M354/L354,"")</f>
        <v/>
      </c>
      <c r="O354" s="317">
        <f>IF(E354&gt;0,F354/E354*100,"")</f>
        <v/>
      </c>
      <c r="P354" s="275">
        <f>IF(COUNTA(A354:C354)=0,"",IF(OR(A354="",B354="",C354="",D354&lt;0,E354&lt;0,F354&lt;0,H354&lt;0,I354&lt;0,J354&lt;0,K354&lt;0,L354&lt;0),"ERRO: valores inválidos",IF(D354&lt;&gt;E354+K354,"ERRO: total inconsistente",IF(E354&lt;&gt;F354+G354,"ERRO: finalizados inconsistentes",IF(G354&lt;&gt;SUM(H354:J354),"ERRO: reprovações inconsistentes","OK")))))</f>
        <v/>
      </c>
    </row>
    <row r="355" ht="15" customHeight="1" s="131">
      <c r="A355" s="320" t="n"/>
      <c r="B355" s="323" t="n"/>
      <c r="C355" s="323" t="n"/>
      <c r="D355" s="328" t="n"/>
      <c r="E355" s="328" t="n"/>
      <c r="F355" s="328" t="n"/>
      <c r="G355" s="329">
        <f>IF(COUNTA(A355:C355)=0,"",SUM(H355:J355))</f>
        <v/>
      </c>
      <c r="H355" s="328" t="n"/>
      <c r="I355" s="330" t="n"/>
      <c r="J355" s="331" t="n"/>
      <c r="K355" s="331" t="n"/>
      <c r="L355" s="331" t="n"/>
      <c r="M355" s="332" t="n"/>
      <c r="N355" s="302">
        <f>IF(L355&gt;0,M355/L355,"")</f>
        <v/>
      </c>
      <c r="O355" s="317">
        <f>IF(E355&gt;0,F355/E355*100,"")</f>
        <v/>
      </c>
      <c r="P355" s="275">
        <f>IF(COUNTA(A355:C355)=0,"",IF(OR(A355="",B355="",C355="",D355&lt;0,E355&lt;0,F355&lt;0,H355&lt;0,I355&lt;0,J355&lt;0,K355&lt;0,L355&lt;0),"ERRO: valores inválidos",IF(D355&lt;&gt;E355+K355,"ERRO: total inconsistente",IF(E355&lt;&gt;F355+G355,"ERRO: finalizados inconsistentes",IF(G355&lt;&gt;SUM(H355:J355),"ERRO: reprovações inconsistentes","OK")))))</f>
        <v/>
      </c>
    </row>
    <row r="356" ht="15" customHeight="1" s="131">
      <c r="A356" s="320" t="n"/>
      <c r="B356" s="323" t="n"/>
      <c r="C356" s="323" t="n"/>
      <c r="D356" s="328" t="n"/>
      <c r="E356" s="328" t="n"/>
      <c r="F356" s="328" t="n"/>
      <c r="G356" s="329">
        <f>IF(COUNTA(A356:C356)=0,"",SUM(H356:J356))</f>
        <v/>
      </c>
      <c r="H356" s="328" t="n"/>
      <c r="I356" s="330" t="n"/>
      <c r="J356" s="331" t="n"/>
      <c r="K356" s="331" t="n"/>
      <c r="L356" s="331" t="n"/>
      <c r="M356" s="332" t="n"/>
      <c r="N356" s="302">
        <f>IF(L356&gt;0,M356/L356,"")</f>
        <v/>
      </c>
      <c r="O356" s="317">
        <f>IF(E356&gt;0,F356/E356*100,"")</f>
        <v/>
      </c>
      <c r="P356" s="275">
        <f>IF(COUNTA(A356:C356)=0,"",IF(OR(A356="",B356="",C356="",D356&lt;0,E356&lt;0,F356&lt;0,H356&lt;0,I356&lt;0,J356&lt;0,K356&lt;0,L356&lt;0),"ERRO: valores inválidos",IF(D356&lt;&gt;E356+K356,"ERRO: total inconsistente",IF(E356&lt;&gt;F356+G356,"ERRO: finalizados inconsistentes",IF(G356&lt;&gt;SUM(H356:J356),"ERRO: reprovações inconsistentes","OK")))))</f>
        <v/>
      </c>
    </row>
    <row r="357" ht="15" customHeight="1" s="131">
      <c r="A357" s="320" t="n"/>
      <c r="B357" s="323" t="n"/>
      <c r="C357" s="323" t="n"/>
      <c r="D357" s="328" t="n"/>
      <c r="E357" s="328" t="n"/>
      <c r="F357" s="328" t="n"/>
      <c r="G357" s="329">
        <f>IF(COUNTA(A357:C357)=0,"",SUM(H357:J357))</f>
        <v/>
      </c>
      <c r="H357" s="328" t="n"/>
      <c r="I357" s="330" t="n"/>
      <c r="J357" s="331" t="n"/>
      <c r="K357" s="331" t="n"/>
      <c r="L357" s="331" t="n"/>
      <c r="M357" s="332" t="n"/>
      <c r="N357" s="302">
        <f>IF(L357&gt;0,M357/L357,"")</f>
        <v/>
      </c>
      <c r="O357" s="317">
        <f>IF(E357&gt;0,F357/E357*100,"")</f>
        <v/>
      </c>
      <c r="P357" s="275">
        <f>IF(COUNTA(A357:C357)=0,"",IF(OR(A357="",B357="",C357="",D357&lt;0,E357&lt;0,F357&lt;0,H357&lt;0,I357&lt;0,J357&lt;0,K357&lt;0,L357&lt;0),"ERRO: valores inválidos",IF(D357&lt;&gt;E357+K357,"ERRO: total inconsistente",IF(E357&lt;&gt;F357+G357,"ERRO: finalizados inconsistentes",IF(G357&lt;&gt;SUM(H357:J357),"ERRO: reprovações inconsistentes","OK")))))</f>
        <v/>
      </c>
    </row>
    <row r="358" ht="15" customHeight="1" s="131">
      <c r="A358" s="320" t="n"/>
      <c r="B358" s="323" t="n"/>
      <c r="C358" s="323" t="n"/>
      <c r="D358" s="328" t="n"/>
      <c r="E358" s="328" t="n"/>
      <c r="F358" s="328" t="n"/>
      <c r="G358" s="329">
        <f>IF(COUNTA(A358:C358)=0,"",SUM(H358:J358))</f>
        <v/>
      </c>
      <c r="H358" s="328" t="n"/>
      <c r="I358" s="330" t="n"/>
      <c r="J358" s="331" t="n"/>
      <c r="K358" s="331" t="n"/>
      <c r="L358" s="331" t="n"/>
      <c r="M358" s="332" t="n"/>
      <c r="N358" s="302">
        <f>IF(L358&gt;0,M358/L358,"")</f>
        <v/>
      </c>
      <c r="O358" s="317">
        <f>IF(E358&gt;0,F358/E358*100,"")</f>
        <v/>
      </c>
      <c r="P358" s="275">
        <f>IF(COUNTA(A358:C358)=0,"",IF(OR(A358="",B358="",C358="",D358&lt;0,E358&lt;0,F358&lt;0,H358&lt;0,I358&lt;0,J358&lt;0,K358&lt;0,L358&lt;0),"ERRO: valores inválidos",IF(D358&lt;&gt;E358+K358,"ERRO: total inconsistente",IF(E358&lt;&gt;F358+G358,"ERRO: finalizados inconsistentes",IF(G358&lt;&gt;SUM(H358:J358),"ERRO: reprovações inconsistentes","OK")))))</f>
        <v/>
      </c>
    </row>
    <row r="359" ht="15" customHeight="1" s="131">
      <c r="A359" s="320" t="n"/>
      <c r="B359" s="323" t="n"/>
      <c r="C359" s="323" t="n"/>
      <c r="D359" s="328" t="n"/>
      <c r="E359" s="328" t="n"/>
      <c r="F359" s="328" t="n"/>
      <c r="G359" s="329">
        <f>IF(COUNTA(A359:C359)=0,"",SUM(H359:J359))</f>
        <v/>
      </c>
      <c r="H359" s="328" t="n"/>
      <c r="I359" s="330" t="n"/>
      <c r="J359" s="331" t="n"/>
      <c r="K359" s="331" t="n"/>
      <c r="L359" s="331" t="n"/>
      <c r="M359" s="332" t="n"/>
      <c r="N359" s="302">
        <f>IF(L359&gt;0,M359/L359,"")</f>
        <v/>
      </c>
      <c r="O359" s="317">
        <f>IF(E359&gt;0,F359/E359*100,"")</f>
        <v/>
      </c>
      <c r="P359" s="275">
        <f>IF(COUNTA(A359:C359)=0,"",IF(OR(A359="",B359="",C359="",D359&lt;0,E359&lt;0,F359&lt;0,H359&lt;0,I359&lt;0,J359&lt;0,K359&lt;0,L359&lt;0),"ERRO: valores inválidos",IF(D359&lt;&gt;E359+K359,"ERRO: total inconsistente",IF(E359&lt;&gt;F359+G359,"ERRO: finalizados inconsistentes",IF(G359&lt;&gt;SUM(H359:J359),"ERRO: reprovações inconsistentes","OK")))))</f>
        <v/>
      </c>
    </row>
    <row r="360" ht="15" customHeight="1" s="131">
      <c r="A360" s="320" t="n"/>
      <c r="B360" s="323" t="n"/>
      <c r="C360" s="323" t="n"/>
      <c r="D360" s="328" t="n"/>
      <c r="E360" s="328" t="n"/>
      <c r="F360" s="328" t="n"/>
      <c r="G360" s="329">
        <f>IF(COUNTA(A360:C360)=0,"",SUM(H360:J360))</f>
        <v/>
      </c>
      <c r="H360" s="328" t="n"/>
      <c r="I360" s="330" t="n"/>
      <c r="J360" s="331" t="n"/>
      <c r="K360" s="331" t="n"/>
      <c r="L360" s="331" t="n"/>
      <c r="M360" s="332" t="n"/>
      <c r="N360" s="302">
        <f>IF(L360&gt;0,M360/L360,"")</f>
        <v/>
      </c>
      <c r="O360" s="317">
        <f>IF(E360&gt;0,F360/E360*100,"")</f>
        <v/>
      </c>
      <c r="P360" s="275">
        <f>IF(COUNTA(A360:C360)=0,"",IF(OR(A360="",B360="",C360="",D360&lt;0,E360&lt;0,F360&lt;0,H360&lt;0,I360&lt;0,J360&lt;0,K360&lt;0,L360&lt;0),"ERRO: valores inválidos",IF(D360&lt;&gt;E360+K360,"ERRO: total inconsistente",IF(E360&lt;&gt;F360+G360,"ERRO: finalizados inconsistentes",IF(G360&lt;&gt;SUM(H360:J360),"ERRO: reprovações inconsistentes","OK")))))</f>
        <v/>
      </c>
    </row>
    <row r="361" ht="15" customHeight="1" s="131">
      <c r="A361" s="320" t="n"/>
      <c r="B361" s="323" t="n"/>
      <c r="C361" s="323" t="n"/>
      <c r="D361" s="328" t="n"/>
      <c r="E361" s="328" t="n"/>
      <c r="F361" s="328" t="n"/>
      <c r="G361" s="329">
        <f>IF(COUNTA(A361:C361)=0,"",SUM(H361:J361))</f>
        <v/>
      </c>
      <c r="H361" s="328" t="n"/>
      <c r="I361" s="330" t="n"/>
      <c r="J361" s="331" t="n"/>
      <c r="K361" s="331" t="n"/>
      <c r="L361" s="331" t="n"/>
      <c r="M361" s="332" t="n"/>
      <c r="N361" s="302">
        <f>IF(L361&gt;0,M361/L361,"")</f>
        <v/>
      </c>
      <c r="O361" s="317">
        <f>IF(E361&gt;0,F361/E361*100,"")</f>
        <v/>
      </c>
      <c r="P361" s="275">
        <f>IF(COUNTA(A361:C361)=0,"",IF(OR(A361="",B361="",C361="",D361&lt;0,E361&lt;0,F361&lt;0,H361&lt;0,I361&lt;0,J361&lt;0,K361&lt;0,L361&lt;0),"ERRO: valores inválidos",IF(D361&lt;&gt;E361+K361,"ERRO: total inconsistente",IF(E361&lt;&gt;F361+G361,"ERRO: finalizados inconsistentes",IF(G361&lt;&gt;SUM(H361:J361),"ERRO: reprovações inconsistentes","OK")))))</f>
        <v/>
      </c>
    </row>
    <row r="362" ht="15" customHeight="1" s="131">
      <c r="A362" s="320" t="n"/>
      <c r="B362" s="323" t="n"/>
      <c r="C362" s="323" t="n"/>
      <c r="D362" s="328" t="n"/>
      <c r="E362" s="328" t="n"/>
      <c r="F362" s="328" t="n"/>
      <c r="G362" s="329">
        <f>IF(COUNTA(A362:C362)=0,"",SUM(H362:J362))</f>
        <v/>
      </c>
      <c r="H362" s="328" t="n"/>
      <c r="I362" s="330" t="n"/>
      <c r="J362" s="331" t="n"/>
      <c r="K362" s="331" t="n"/>
      <c r="L362" s="331" t="n"/>
      <c r="M362" s="332" t="n"/>
      <c r="N362" s="302">
        <f>IF(L362&gt;0,M362/L362,"")</f>
        <v/>
      </c>
      <c r="O362" s="317">
        <f>IF(E362&gt;0,F362/E362*100,"")</f>
        <v/>
      </c>
      <c r="P362" s="275">
        <f>IF(COUNTA(A362:C362)=0,"",IF(OR(A362="",B362="",C362="",D362&lt;0,E362&lt;0,F362&lt;0,H362&lt;0,I362&lt;0,J362&lt;0,K362&lt;0,L362&lt;0),"ERRO: valores inválidos",IF(D362&lt;&gt;E362+K362,"ERRO: total inconsistente",IF(E362&lt;&gt;F362+G362,"ERRO: finalizados inconsistentes",IF(G362&lt;&gt;SUM(H362:J362),"ERRO: reprovações inconsistentes","OK")))))</f>
        <v/>
      </c>
    </row>
    <row r="363" ht="15" customHeight="1" s="131">
      <c r="A363" s="320" t="n"/>
      <c r="B363" s="323" t="n"/>
      <c r="C363" s="323" t="n"/>
      <c r="D363" s="328" t="n"/>
      <c r="E363" s="328" t="n"/>
      <c r="F363" s="328" t="n"/>
      <c r="G363" s="329">
        <f>IF(COUNTA(A363:C363)=0,"",SUM(H363:J363))</f>
        <v/>
      </c>
      <c r="H363" s="328" t="n"/>
      <c r="I363" s="330" t="n"/>
      <c r="J363" s="331" t="n"/>
      <c r="K363" s="331" t="n"/>
      <c r="L363" s="331" t="n"/>
      <c r="M363" s="332" t="n"/>
      <c r="N363" s="302">
        <f>IF(L363&gt;0,M363/L363,"")</f>
        <v/>
      </c>
      <c r="O363" s="317">
        <f>IF(E363&gt;0,F363/E363*100,"")</f>
        <v/>
      </c>
      <c r="P363" s="275">
        <f>IF(COUNTA(A363:C363)=0,"",IF(OR(A363="",B363="",C363="",D363&lt;0,E363&lt;0,F363&lt;0,H363&lt;0,I363&lt;0,J363&lt;0,K363&lt;0,L363&lt;0),"ERRO: valores inválidos",IF(D363&lt;&gt;E363+K363,"ERRO: total inconsistente",IF(E363&lt;&gt;F363+G363,"ERRO: finalizados inconsistentes",IF(G363&lt;&gt;SUM(H363:J363),"ERRO: reprovações inconsistentes","OK")))))</f>
        <v/>
      </c>
    </row>
    <row r="364" ht="15" customHeight="1" s="131">
      <c r="A364" s="320" t="n"/>
      <c r="B364" s="323" t="n"/>
      <c r="C364" s="323" t="n"/>
      <c r="D364" s="328" t="n"/>
      <c r="E364" s="328" t="n"/>
      <c r="F364" s="328" t="n"/>
      <c r="G364" s="329">
        <f>IF(COUNTA(A364:C364)=0,"",SUM(H364:J364))</f>
        <v/>
      </c>
      <c r="H364" s="328" t="n"/>
      <c r="I364" s="330" t="n"/>
      <c r="J364" s="331" t="n"/>
      <c r="K364" s="331" t="n"/>
      <c r="L364" s="331" t="n"/>
      <c r="M364" s="332" t="n"/>
      <c r="N364" s="302">
        <f>IF(L364&gt;0,M364/L364,"")</f>
        <v/>
      </c>
      <c r="O364" s="317">
        <f>IF(E364&gt;0,F364/E364*100,"")</f>
        <v/>
      </c>
      <c r="P364" s="275">
        <f>IF(COUNTA(A364:C364)=0,"",IF(OR(A364="",B364="",C364="",D364&lt;0,E364&lt;0,F364&lt;0,H364&lt;0,I364&lt;0,J364&lt;0,K364&lt;0,L364&lt;0),"ERRO: valores inválidos",IF(D364&lt;&gt;E364+K364,"ERRO: total inconsistente",IF(E364&lt;&gt;F364+G364,"ERRO: finalizados inconsistentes",IF(G364&lt;&gt;SUM(H364:J364),"ERRO: reprovações inconsistentes","OK")))))</f>
        <v/>
      </c>
    </row>
    <row r="365" ht="15" customHeight="1" s="131">
      <c r="A365" s="320" t="n"/>
      <c r="B365" s="323" t="n"/>
      <c r="C365" s="323" t="n"/>
      <c r="D365" s="328" t="n"/>
      <c r="E365" s="328" t="n"/>
      <c r="F365" s="328" t="n"/>
      <c r="G365" s="329">
        <f>IF(COUNTA(A365:C365)=0,"",SUM(H365:J365))</f>
        <v/>
      </c>
      <c r="H365" s="328" t="n"/>
      <c r="I365" s="330" t="n"/>
      <c r="J365" s="331" t="n"/>
      <c r="K365" s="331" t="n"/>
      <c r="L365" s="331" t="n"/>
      <c r="M365" s="332" t="n"/>
      <c r="N365" s="302">
        <f>IF(L365&gt;0,M365/L365,"")</f>
        <v/>
      </c>
      <c r="O365" s="317">
        <f>IF(E365&gt;0,F365/E365*100,"")</f>
        <v/>
      </c>
      <c r="P365" s="275">
        <f>IF(COUNTA(A365:C365)=0,"",IF(OR(A365="",B365="",C365="",D365&lt;0,E365&lt;0,F365&lt;0,H365&lt;0,I365&lt;0,J365&lt;0,K365&lt;0,L365&lt;0),"ERRO: valores inválidos",IF(D365&lt;&gt;E365+K365,"ERRO: total inconsistente",IF(E365&lt;&gt;F365+G365,"ERRO: finalizados inconsistentes",IF(G365&lt;&gt;SUM(H365:J365),"ERRO: reprovações inconsistentes","OK")))))</f>
        <v/>
      </c>
    </row>
    <row r="366" ht="15" customHeight="1" s="131">
      <c r="A366" s="320" t="n"/>
      <c r="B366" s="323" t="n"/>
      <c r="C366" s="323" t="n"/>
      <c r="D366" s="328" t="n"/>
      <c r="E366" s="328" t="n"/>
      <c r="F366" s="328" t="n"/>
      <c r="G366" s="329">
        <f>IF(COUNTA(A366:C366)=0,"",SUM(H366:J366))</f>
        <v/>
      </c>
      <c r="H366" s="328" t="n"/>
      <c r="I366" s="330" t="n"/>
      <c r="J366" s="331" t="n"/>
      <c r="K366" s="331" t="n"/>
      <c r="L366" s="331" t="n"/>
      <c r="M366" s="332" t="n"/>
      <c r="N366" s="302">
        <f>IF(L366&gt;0,M366/L366,"")</f>
        <v/>
      </c>
      <c r="O366" s="317">
        <f>IF(E366&gt;0,F366/E366*100,"")</f>
        <v/>
      </c>
      <c r="P366" s="275">
        <f>IF(COUNTA(A366:C366)=0,"",IF(OR(A366="",B366="",C366="",D366&lt;0,E366&lt;0,F366&lt;0,H366&lt;0,I366&lt;0,J366&lt;0,K366&lt;0,L366&lt;0),"ERRO: valores inválidos",IF(D366&lt;&gt;E366+K366,"ERRO: total inconsistente",IF(E366&lt;&gt;F366+G366,"ERRO: finalizados inconsistentes",IF(G366&lt;&gt;SUM(H366:J366),"ERRO: reprovações inconsistentes","OK")))))</f>
        <v/>
      </c>
    </row>
    <row r="367" ht="15" customHeight="1" s="131">
      <c r="A367" s="320" t="n"/>
      <c r="B367" s="323" t="n"/>
      <c r="C367" s="323" t="n"/>
      <c r="D367" s="328" t="n"/>
      <c r="E367" s="328" t="n"/>
      <c r="F367" s="328" t="n"/>
      <c r="G367" s="329">
        <f>IF(COUNTA(A367:C367)=0,"",SUM(H367:J367))</f>
        <v/>
      </c>
      <c r="H367" s="328" t="n"/>
      <c r="I367" s="330" t="n"/>
      <c r="J367" s="331" t="n"/>
      <c r="K367" s="331" t="n"/>
      <c r="L367" s="331" t="n"/>
      <c r="M367" s="332" t="n"/>
      <c r="N367" s="302">
        <f>IF(L367&gt;0,M367/L367,"")</f>
        <v/>
      </c>
      <c r="O367" s="317">
        <f>IF(E367&gt;0,F367/E367*100,"")</f>
        <v/>
      </c>
      <c r="P367" s="275">
        <f>IF(COUNTA(A367:C367)=0,"",IF(OR(A367="",B367="",C367="",D367&lt;0,E367&lt;0,F367&lt;0,H367&lt;0,I367&lt;0,J367&lt;0,K367&lt;0,L367&lt;0),"ERRO: valores inválidos",IF(D367&lt;&gt;E367+K367,"ERRO: total inconsistente",IF(E367&lt;&gt;F367+G367,"ERRO: finalizados inconsistentes",IF(G367&lt;&gt;SUM(H367:J367),"ERRO: reprovações inconsistentes","OK")))))</f>
        <v/>
      </c>
    </row>
    <row r="368" ht="15" customHeight="1" s="131">
      <c r="A368" s="320" t="n"/>
      <c r="B368" s="323" t="n"/>
      <c r="C368" s="323" t="n"/>
      <c r="D368" s="328" t="n"/>
      <c r="E368" s="328" t="n"/>
      <c r="F368" s="328" t="n"/>
      <c r="G368" s="329">
        <f>IF(COUNTA(A368:C368)=0,"",SUM(H368:J368))</f>
        <v/>
      </c>
      <c r="H368" s="328" t="n"/>
      <c r="I368" s="330" t="n"/>
      <c r="J368" s="331" t="n"/>
      <c r="K368" s="331" t="n"/>
      <c r="L368" s="331" t="n"/>
      <c r="M368" s="332" t="n"/>
      <c r="N368" s="302">
        <f>IF(L368&gt;0,M368/L368,"")</f>
        <v/>
      </c>
      <c r="O368" s="317">
        <f>IF(E368&gt;0,F368/E368*100,"")</f>
        <v/>
      </c>
      <c r="P368" s="275">
        <f>IF(COUNTA(A368:C368)=0,"",IF(OR(A368="",B368="",C368="",D368&lt;0,E368&lt;0,F368&lt;0,H368&lt;0,I368&lt;0,J368&lt;0,K368&lt;0,L368&lt;0),"ERRO: valores inválidos",IF(D368&lt;&gt;E368+K368,"ERRO: total inconsistente",IF(E368&lt;&gt;F368+G368,"ERRO: finalizados inconsistentes",IF(G368&lt;&gt;SUM(H368:J368),"ERRO: reprovações inconsistentes","OK")))))</f>
        <v/>
      </c>
    </row>
    <row r="369" ht="15" customHeight="1" s="131">
      <c r="A369" s="320" t="n"/>
      <c r="B369" s="323" t="n"/>
      <c r="C369" s="323" t="n"/>
      <c r="D369" s="328" t="n"/>
      <c r="E369" s="328" t="n"/>
      <c r="F369" s="328" t="n"/>
      <c r="G369" s="329">
        <f>IF(COUNTA(A369:C369)=0,"",SUM(H369:J369))</f>
        <v/>
      </c>
      <c r="H369" s="328" t="n"/>
      <c r="I369" s="330" t="n"/>
      <c r="J369" s="331" t="n"/>
      <c r="K369" s="331" t="n"/>
      <c r="L369" s="331" t="n"/>
      <c r="M369" s="332" t="n"/>
      <c r="N369" s="302">
        <f>IF(L369&gt;0,M369/L369,"")</f>
        <v/>
      </c>
      <c r="O369" s="317">
        <f>IF(E369&gt;0,F369/E369*100,"")</f>
        <v/>
      </c>
      <c r="P369" s="275">
        <f>IF(COUNTA(A369:C369)=0,"",IF(OR(A369="",B369="",C369="",D369&lt;0,E369&lt;0,F369&lt;0,H369&lt;0,I369&lt;0,J369&lt;0,K369&lt;0,L369&lt;0),"ERRO: valores inválidos",IF(D369&lt;&gt;E369+K369,"ERRO: total inconsistente",IF(E369&lt;&gt;F369+G369,"ERRO: finalizados inconsistentes",IF(G369&lt;&gt;SUM(H369:J369),"ERRO: reprovações inconsistentes","OK")))))</f>
        <v/>
      </c>
    </row>
    <row r="370" ht="15" customHeight="1" s="131">
      <c r="A370" s="320" t="n"/>
      <c r="B370" s="323" t="n"/>
      <c r="C370" s="323" t="n"/>
      <c r="D370" s="328" t="n"/>
      <c r="E370" s="328" t="n"/>
      <c r="F370" s="328" t="n"/>
      <c r="G370" s="329">
        <f>IF(COUNTA(A370:C370)=0,"",SUM(H370:J370))</f>
        <v/>
      </c>
      <c r="H370" s="328" t="n"/>
      <c r="I370" s="330" t="n"/>
      <c r="J370" s="331" t="n"/>
      <c r="K370" s="331" t="n"/>
      <c r="L370" s="331" t="n"/>
      <c r="M370" s="332" t="n"/>
      <c r="N370" s="302">
        <f>IF(L370&gt;0,M370/L370,"")</f>
        <v/>
      </c>
      <c r="O370" s="317">
        <f>IF(E370&gt;0,F370/E370*100,"")</f>
        <v/>
      </c>
      <c r="P370" s="275">
        <f>IF(COUNTA(A370:C370)=0,"",IF(OR(A370="",B370="",C370="",D370&lt;0,E370&lt;0,F370&lt;0,H370&lt;0,I370&lt;0,J370&lt;0,K370&lt;0,L370&lt;0),"ERRO: valores inválidos",IF(D370&lt;&gt;E370+K370,"ERRO: total inconsistente",IF(E370&lt;&gt;F370+G370,"ERRO: finalizados inconsistentes",IF(G370&lt;&gt;SUM(H370:J370),"ERRO: reprovações inconsistentes","OK")))))</f>
        <v/>
      </c>
    </row>
    <row r="371" ht="15" customHeight="1" s="131">
      <c r="A371" s="320" t="n"/>
      <c r="B371" s="323" t="n"/>
      <c r="C371" s="323" t="n"/>
      <c r="D371" s="328" t="n"/>
      <c r="E371" s="328" t="n"/>
      <c r="F371" s="328" t="n"/>
      <c r="G371" s="329">
        <f>IF(COUNTA(A371:C371)=0,"",SUM(H371:J371))</f>
        <v/>
      </c>
      <c r="H371" s="328" t="n"/>
      <c r="I371" s="330" t="n"/>
      <c r="J371" s="331" t="n"/>
      <c r="K371" s="331" t="n"/>
      <c r="L371" s="331" t="n"/>
      <c r="M371" s="332" t="n"/>
      <c r="N371" s="302">
        <f>IF(L371&gt;0,M371/L371,"")</f>
        <v/>
      </c>
      <c r="O371" s="317">
        <f>IF(E371&gt;0,F371/E371*100,"")</f>
        <v/>
      </c>
      <c r="P371" s="275">
        <f>IF(COUNTA(A371:C371)=0,"",IF(OR(A371="",B371="",C371="",D371&lt;0,E371&lt;0,F371&lt;0,H371&lt;0,I371&lt;0,J371&lt;0,K371&lt;0,L371&lt;0),"ERRO: valores inválidos",IF(D371&lt;&gt;E371+K371,"ERRO: total inconsistente",IF(E371&lt;&gt;F371+G371,"ERRO: finalizados inconsistentes",IF(G371&lt;&gt;SUM(H371:J371),"ERRO: reprovações inconsistentes","OK")))))</f>
        <v/>
      </c>
    </row>
    <row r="372" ht="15" customHeight="1" s="131">
      <c r="A372" s="320" t="n"/>
      <c r="B372" s="323" t="n"/>
      <c r="C372" s="323" t="n"/>
      <c r="D372" s="328" t="n"/>
      <c r="E372" s="328" t="n"/>
      <c r="F372" s="328" t="n"/>
      <c r="G372" s="329">
        <f>IF(COUNTA(A372:C372)=0,"",SUM(H372:J372))</f>
        <v/>
      </c>
      <c r="H372" s="328" t="n"/>
      <c r="I372" s="330" t="n"/>
      <c r="J372" s="331" t="n"/>
      <c r="K372" s="331" t="n"/>
      <c r="L372" s="331" t="n"/>
      <c r="M372" s="332" t="n"/>
      <c r="N372" s="302">
        <f>IF(L372&gt;0,M372/L372,"")</f>
        <v/>
      </c>
      <c r="O372" s="317">
        <f>IF(E372&gt;0,F372/E372*100,"")</f>
        <v/>
      </c>
      <c r="P372" s="275">
        <f>IF(COUNTA(A372:C372)=0,"",IF(OR(A372="",B372="",C372="",D372&lt;0,E372&lt;0,F372&lt;0,H372&lt;0,I372&lt;0,J372&lt;0,K372&lt;0,L372&lt;0),"ERRO: valores inválidos",IF(D372&lt;&gt;E372+K372,"ERRO: total inconsistente",IF(E372&lt;&gt;F372+G372,"ERRO: finalizados inconsistentes",IF(G372&lt;&gt;SUM(H372:J372),"ERRO: reprovações inconsistentes","OK")))))</f>
        <v/>
      </c>
    </row>
    <row r="373" ht="15" customHeight="1" s="131">
      <c r="A373" s="320" t="n"/>
      <c r="B373" s="323" t="n"/>
      <c r="C373" s="323" t="n"/>
      <c r="D373" s="328" t="n"/>
      <c r="E373" s="328" t="n"/>
      <c r="F373" s="328" t="n"/>
      <c r="G373" s="329">
        <f>IF(COUNTA(A373:C373)=0,"",SUM(H373:J373))</f>
        <v/>
      </c>
      <c r="H373" s="328" t="n"/>
      <c r="I373" s="330" t="n"/>
      <c r="J373" s="331" t="n"/>
      <c r="K373" s="331" t="n"/>
      <c r="L373" s="331" t="n"/>
      <c r="M373" s="332" t="n"/>
      <c r="N373" s="302">
        <f>IF(L373&gt;0,M373/L373,"")</f>
        <v/>
      </c>
      <c r="O373" s="317">
        <f>IF(E373&gt;0,F373/E373*100,"")</f>
        <v/>
      </c>
      <c r="P373" s="275">
        <f>IF(COUNTA(A373:C373)=0,"",IF(OR(A373="",B373="",C373="",D373&lt;0,E373&lt;0,F373&lt;0,H373&lt;0,I373&lt;0,J373&lt;0,K373&lt;0,L373&lt;0),"ERRO: valores inválidos",IF(D373&lt;&gt;E373+K373,"ERRO: total inconsistente",IF(E373&lt;&gt;F373+G373,"ERRO: finalizados inconsistentes",IF(G373&lt;&gt;SUM(H373:J373),"ERRO: reprovações inconsistentes","OK")))))</f>
        <v/>
      </c>
    </row>
    <row r="374" ht="15" customHeight="1" s="131">
      <c r="A374" s="320" t="n"/>
      <c r="B374" s="323" t="n"/>
      <c r="C374" s="323" t="n"/>
      <c r="D374" s="328" t="n"/>
      <c r="E374" s="328" t="n"/>
      <c r="F374" s="328" t="n"/>
      <c r="G374" s="329">
        <f>IF(COUNTA(A374:C374)=0,"",SUM(H374:J374))</f>
        <v/>
      </c>
      <c r="H374" s="328" t="n"/>
      <c r="I374" s="330" t="n"/>
      <c r="J374" s="331" t="n"/>
      <c r="K374" s="331" t="n"/>
      <c r="L374" s="331" t="n"/>
      <c r="M374" s="332" t="n"/>
      <c r="N374" s="302">
        <f>IF(L374&gt;0,M374/L374,"")</f>
        <v/>
      </c>
      <c r="O374" s="317">
        <f>IF(E374&gt;0,F374/E374*100,"")</f>
        <v/>
      </c>
      <c r="P374" s="275">
        <f>IF(COUNTA(A374:C374)=0,"",IF(OR(A374="",B374="",C374="",D374&lt;0,E374&lt;0,F374&lt;0,H374&lt;0,I374&lt;0,J374&lt;0,K374&lt;0,L374&lt;0),"ERRO: valores inválidos",IF(D374&lt;&gt;E374+K374,"ERRO: total inconsistente",IF(E374&lt;&gt;F374+G374,"ERRO: finalizados inconsistentes",IF(G374&lt;&gt;SUM(H374:J374),"ERRO: reprovações inconsistentes","OK")))))</f>
        <v/>
      </c>
    </row>
    <row r="375" ht="15" customHeight="1" s="131">
      <c r="A375" s="320" t="n"/>
      <c r="B375" s="323" t="n"/>
      <c r="C375" s="323" t="n"/>
      <c r="D375" s="328" t="n"/>
      <c r="E375" s="328" t="n"/>
      <c r="F375" s="328" t="n"/>
      <c r="G375" s="329">
        <f>IF(COUNTA(A375:C375)=0,"",SUM(H375:J375))</f>
        <v/>
      </c>
      <c r="H375" s="328" t="n"/>
      <c r="I375" s="330" t="n"/>
      <c r="J375" s="331" t="n"/>
      <c r="K375" s="331" t="n"/>
      <c r="L375" s="331" t="n"/>
      <c r="M375" s="332" t="n"/>
      <c r="N375" s="302">
        <f>IF(L375&gt;0,M375/L375,"")</f>
        <v/>
      </c>
      <c r="O375" s="317">
        <f>IF(E375&gt;0,F375/E375*100,"")</f>
        <v/>
      </c>
      <c r="P375" s="275">
        <f>IF(COUNTA(A375:C375)=0,"",IF(OR(A375="",B375="",C375="",D375&lt;0,E375&lt;0,F375&lt;0,H375&lt;0,I375&lt;0,J375&lt;0,K375&lt;0,L375&lt;0),"ERRO: valores inválidos",IF(D375&lt;&gt;E375+K375,"ERRO: total inconsistente",IF(E375&lt;&gt;F375+G375,"ERRO: finalizados inconsistentes",IF(G375&lt;&gt;SUM(H375:J375),"ERRO: reprovações inconsistentes","OK")))))</f>
        <v/>
      </c>
    </row>
    <row r="376" ht="15" customHeight="1" s="131">
      <c r="A376" s="320" t="n"/>
      <c r="B376" s="323" t="n"/>
      <c r="C376" s="323" t="n"/>
      <c r="D376" s="328" t="n"/>
      <c r="E376" s="328" t="n"/>
      <c r="F376" s="328" t="n"/>
      <c r="G376" s="329">
        <f>IF(COUNTA(A376:C376)=0,"",SUM(H376:J376))</f>
        <v/>
      </c>
      <c r="H376" s="328" t="n"/>
      <c r="I376" s="330" t="n"/>
      <c r="J376" s="331" t="n"/>
      <c r="K376" s="331" t="n"/>
      <c r="L376" s="331" t="n"/>
      <c r="M376" s="332" t="n"/>
      <c r="N376" s="302">
        <f>IF(L376&gt;0,M376/L376,"")</f>
        <v/>
      </c>
      <c r="O376" s="317">
        <f>IF(E376&gt;0,F376/E376*100,"")</f>
        <v/>
      </c>
      <c r="P376" s="275">
        <f>IF(COUNTA(A376:C376)=0,"",IF(OR(A376="",B376="",C376="",D376&lt;0,E376&lt;0,F376&lt;0,H376&lt;0,I376&lt;0,J376&lt;0,K376&lt;0,L376&lt;0),"ERRO: valores inválidos",IF(D376&lt;&gt;E376+K376,"ERRO: total inconsistente",IF(E376&lt;&gt;F376+G376,"ERRO: finalizados inconsistentes",IF(G376&lt;&gt;SUM(H376:J376),"ERRO: reprovações inconsistentes","OK")))))</f>
        <v/>
      </c>
    </row>
    <row r="377" ht="15" customHeight="1" s="131">
      <c r="A377" s="320" t="n"/>
      <c r="B377" s="323" t="n"/>
      <c r="C377" s="323" t="n"/>
      <c r="D377" s="328" t="n"/>
      <c r="E377" s="328" t="n"/>
      <c r="F377" s="328" t="n"/>
      <c r="G377" s="329">
        <f>IF(COUNTA(A377:C377)=0,"",SUM(H377:J377))</f>
        <v/>
      </c>
      <c r="H377" s="328" t="n"/>
      <c r="I377" s="330" t="n"/>
      <c r="J377" s="331" t="n"/>
      <c r="K377" s="331" t="n"/>
      <c r="L377" s="331" t="n"/>
      <c r="M377" s="332" t="n"/>
      <c r="N377" s="302">
        <f>IF(L377&gt;0,M377/L377,"")</f>
        <v/>
      </c>
      <c r="O377" s="317">
        <f>IF(E377&gt;0,F377/E377*100,"")</f>
        <v/>
      </c>
      <c r="P377" s="275">
        <f>IF(COUNTA(A377:C377)=0,"",IF(OR(A377="",B377="",C377="",D377&lt;0,E377&lt;0,F377&lt;0,H377&lt;0,I377&lt;0,J377&lt;0,K377&lt;0,L377&lt;0),"ERRO: valores inválidos",IF(D377&lt;&gt;E377+K377,"ERRO: total inconsistente",IF(E377&lt;&gt;F377+G377,"ERRO: finalizados inconsistentes",IF(G377&lt;&gt;SUM(H377:J377),"ERRO: reprovações inconsistentes","OK")))))</f>
        <v/>
      </c>
    </row>
    <row r="378" ht="15" customHeight="1" s="131">
      <c r="A378" s="320" t="n"/>
      <c r="B378" s="323" t="n"/>
      <c r="C378" s="323" t="n"/>
      <c r="D378" s="328" t="n"/>
      <c r="E378" s="328" t="n"/>
      <c r="F378" s="328" t="n"/>
      <c r="G378" s="329">
        <f>IF(COUNTA(A378:C378)=0,"",SUM(H378:J378))</f>
        <v/>
      </c>
      <c r="H378" s="328" t="n"/>
      <c r="I378" s="330" t="n"/>
      <c r="J378" s="331" t="n"/>
      <c r="K378" s="331" t="n"/>
      <c r="L378" s="331" t="n"/>
      <c r="M378" s="332" t="n"/>
      <c r="N378" s="302">
        <f>IF(L378&gt;0,M378/L378,"")</f>
        <v/>
      </c>
      <c r="O378" s="317">
        <f>IF(E378&gt;0,F378/E378*100,"")</f>
        <v/>
      </c>
      <c r="P378" s="275">
        <f>IF(COUNTA(A378:C378)=0,"",IF(OR(A378="",B378="",C378="",D378&lt;0,E378&lt;0,F378&lt;0,H378&lt;0,I378&lt;0,J378&lt;0,K378&lt;0,L378&lt;0),"ERRO: valores inválidos",IF(D378&lt;&gt;E378+K378,"ERRO: total inconsistente",IF(E378&lt;&gt;F378+G378,"ERRO: finalizados inconsistentes",IF(G378&lt;&gt;SUM(H378:J378),"ERRO: reprovações inconsistentes","OK")))))</f>
        <v/>
      </c>
    </row>
    <row r="379" ht="15" customHeight="1" s="131">
      <c r="A379" s="320" t="n"/>
      <c r="B379" s="323" t="n"/>
      <c r="C379" s="323" t="n"/>
      <c r="D379" s="328" t="n"/>
      <c r="E379" s="328" t="n"/>
      <c r="F379" s="328" t="n"/>
      <c r="G379" s="329">
        <f>IF(COUNTA(A379:C379)=0,"",SUM(H379:J379))</f>
        <v/>
      </c>
      <c r="H379" s="328" t="n"/>
      <c r="I379" s="330" t="n"/>
      <c r="J379" s="331" t="n"/>
      <c r="K379" s="331" t="n"/>
      <c r="L379" s="331" t="n"/>
      <c r="M379" s="332" t="n"/>
      <c r="N379" s="302">
        <f>IF(L379&gt;0,M379/L379,"")</f>
        <v/>
      </c>
      <c r="O379" s="317">
        <f>IF(E379&gt;0,F379/E379*100,"")</f>
        <v/>
      </c>
      <c r="P379" s="275">
        <f>IF(COUNTA(A379:C379)=0,"",IF(OR(A379="",B379="",C379="",D379&lt;0,E379&lt;0,F379&lt;0,H379&lt;0,I379&lt;0,J379&lt;0,K379&lt;0,L379&lt;0),"ERRO: valores inválidos",IF(D379&lt;&gt;E379+K379,"ERRO: total inconsistente",IF(E379&lt;&gt;F379+G379,"ERRO: finalizados inconsistentes",IF(G379&lt;&gt;SUM(H379:J379),"ERRO: reprovações inconsistentes","OK")))))</f>
        <v/>
      </c>
    </row>
    <row r="380" ht="15" customHeight="1" s="131">
      <c r="A380" s="320" t="n"/>
      <c r="B380" s="323" t="n"/>
      <c r="C380" s="323" t="n"/>
      <c r="D380" s="328" t="n"/>
      <c r="E380" s="328" t="n"/>
      <c r="F380" s="328" t="n"/>
      <c r="G380" s="329">
        <f>IF(COUNTA(A380:C380)=0,"",SUM(H380:J380))</f>
        <v/>
      </c>
      <c r="H380" s="328" t="n"/>
      <c r="I380" s="330" t="n"/>
      <c r="J380" s="331" t="n"/>
      <c r="K380" s="331" t="n"/>
      <c r="L380" s="331" t="n"/>
      <c r="M380" s="332" t="n"/>
      <c r="N380" s="302">
        <f>IF(L380&gt;0,M380/L380,"")</f>
        <v/>
      </c>
      <c r="O380" s="317">
        <f>IF(E380&gt;0,F380/E380*100,"")</f>
        <v/>
      </c>
      <c r="P380" s="275">
        <f>IF(COUNTA(A380:C380)=0,"",IF(OR(A380="",B380="",C380="",D380&lt;0,E380&lt;0,F380&lt;0,H380&lt;0,I380&lt;0,J380&lt;0,K380&lt;0,L380&lt;0),"ERRO: valores inválidos",IF(D380&lt;&gt;E380+K380,"ERRO: total inconsistente",IF(E380&lt;&gt;F380+G380,"ERRO: finalizados inconsistentes",IF(G380&lt;&gt;SUM(H380:J380),"ERRO: reprovações inconsistentes","OK")))))</f>
        <v/>
      </c>
    </row>
    <row r="381" ht="15" customHeight="1" s="131">
      <c r="A381" s="320" t="n"/>
      <c r="B381" s="323" t="n"/>
      <c r="C381" s="323" t="n"/>
      <c r="D381" s="328" t="n"/>
      <c r="E381" s="328" t="n"/>
      <c r="F381" s="328" t="n"/>
      <c r="G381" s="329">
        <f>IF(COUNTA(A381:C381)=0,"",SUM(H381:J381))</f>
        <v/>
      </c>
      <c r="H381" s="328" t="n"/>
      <c r="I381" s="330" t="n"/>
      <c r="J381" s="331" t="n"/>
      <c r="K381" s="331" t="n"/>
      <c r="L381" s="331" t="n"/>
      <c r="M381" s="332" t="n"/>
      <c r="N381" s="302">
        <f>IF(L381&gt;0,M381/L381,"")</f>
        <v/>
      </c>
      <c r="O381" s="317">
        <f>IF(E381&gt;0,F381/E381*100,"")</f>
        <v/>
      </c>
      <c r="P381" s="275">
        <f>IF(COUNTA(A381:C381)=0,"",IF(OR(A381="",B381="",C381="",D381&lt;0,E381&lt;0,F381&lt;0,H381&lt;0,I381&lt;0,J381&lt;0,K381&lt;0,L381&lt;0),"ERRO: valores inválidos",IF(D381&lt;&gt;E381+K381,"ERRO: total inconsistente",IF(E381&lt;&gt;F381+G381,"ERRO: finalizados inconsistentes",IF(G381&lt;&gt;SUM(H381:J381),"ERRO: reprovações inconsistentes","OK")))))</f>
        <v/>
      </c>
    </row>
    <row r="382" ht="15" customHeight="1" s="131">
      <c r="A382" s="320" t="n"/>
      <c r="B382" s="323" t="n"/>
      <c r="C382" s="323" t="n"/>
      <c r="D382" s="328" t="n"/>
      <c r="E382" s="328" t="n"/>
      <c r="F382" s="328" t="n"/>
      <c r="G382" s="329">
        <f>IF(COUNTA(A382:C382)=0,"",SUM(H382:J382))</f>
        <v/>
      </c>
      <c r="H382" s="328" t="n"/>
      <c r="I382" s="330" t="n"/>
      <c r="J382" s="331" t="n"/>
      <c r="K382" s="331" t="n"/>
      <c r="L382" s="331" t="n"/>
      <c r="M382" s="332" t="n"/>
      <c r="N382" s="302">
        <f>IF(L382&gt;0,M382/L382,"")</f>
        <v/>
      </c>
      <c r="O382" s="317">
        <f>IF(E382&gt;0,F382/E382*100,"")</f>
        <v/>
      </c>
      <c r="P382" s="275">
        <f>IF(COUNTA(A382:C382)=0,"",IF(OR(A382="",B382="",C382="",D382&lt;0,E382&lt;0,F382&lt;0,H382&lt;0,I382&lt;0,J382&lt;0,K382&lt;0,L382&lt;0),"ERRO: valores inválidos",IF(D382&lt;&gt;E382+K382,"ERRO: total inconsistente",IF(E382&lt;&gt;F382+G382,"ERRO: finalizados inconsistentes",IF(G382&lt;&gt;SUM(H382:J382),"ERRO: reprovações inconsistentes","OK")))))</f>
        <v/>
      </c>
    </row>
    <row r="383" ht="15" customHeight="1" s="131">
      <c r="A383" s="320" t="n"/>
      <c r="B383" s="323" t="n"/>
      <c r="C383" s="323" t="n"/>
      <c r="D383" s="328" t="n"/>
      <c r="E383" s="328" t="n"/>
      <c r="F383" s="328" t="n"/>
      <c r="G383" s="329">
        <f>IF(COUNTA(A383:C383)=0,"",SUM(H383:J383))</f>
        <v/>
      </c>
      <c r="H383" s="328" t="n"/>
      <c r="I383" s="330" t="n"/>
      <c r="J383" s="331" t="n"/>
      <c r="K383" s="331" t="n"/>
      <c r="L383" s="331" t="n"/>
      <c r="M383" s="332" t="n"/>
      <c r="N383" s="302">
        <f>IF(L383&gt;0,M383/L383,"")</f>
        <v/>
      </c>
      <c r="O383" s="317">
        <f>IF(E383&gt;0,F383/E383*100,"")</f>
        <v/>
      </c>
      <c r="P383" s="275">
        <f>IF(COUNTA(A383:C383)=0,"",IF(OR(A383="",B383="",C383="",D383&lt;0,E383&lt;0,F383&lt;0,H383&lt;0,I383&lt;0,J383&lt;0,K383&lt;0,L383&lt;0),"ERRO: valores inválidos",IF(D383&lt;&gt;E383+K383,"ERRO: total inconsistente",IF(E383&lt;&gt;F383+G383,"ERRO: finalizados inconsistentes",IF(G383&lt;&gt;SUM(H383:J383),"ERRO: reprovações inconsistentes","OK")))))</f>
        <v/>
      </c>
    </row>
    <row r="384" ht="15" customHeight="1" s="131">
      <c r="A384" s="320" t="n"/>
      <c r="B384" s="323" t="n"/>
      <c r="C384" s="323" t="n"/>
      <c r="D384" s="328" t="n"/>
      <c r="E384" s="328" t="n"/>
      <c r="F384" s="328" t="n"/>
      <c r="G384" s="329">
        <f>IF(COUNTA(A384:C384)=0,"",SUM(H384:J384))</f>
        <v/>
      </c>
      <c r="H384" s="328" t="n"/>
      <c r="I384" s="330" t="n"/>
      <c r="J384" s="331" t="n"/>
      <c r="K384" s="331" t="n"/>
      <c r="L384" s="331" t="n"/>
      <c r="M384" s="332" t="n"/>
      <c r="N384" s="302">
        <f>IF(L384&gt;0,M384/L384,"")</f>
        <v/>
      </c>
      <c r="O384" s="317">
        <f>IF(E384&gt;0,F384/E384*100,"")</f>
        <v/>
      </c>
      <c r="P384" s="275">
        <f>IF(COUNTA(A384:C384)=0,"",IF(OR(A384="",B384="",C384="",D384&lt;0,E384&lt;0,F384&lt;0,H384&lt;0,I384&lt;0,J384&lt;0,K384&lt;0,L384&lt;0),"ERRO: valores inválidos",IF(D384&lt;&gt;E384+K384,"ERRO: total inconsistente",IF(E384&lt;&gt;F384+G384,"ERRO: finalizados inconsistentes",IF(G384&lt;&gt;SUM(H384:J384),"ERRO: reprovações inconsistentes","OK")))))</f>
        <v/>
      </c>
    </row>
    <row r="385" ht="15" customHeight="1" s="131">
      <c r="A385" s="320" t="n"/>
      <c r="B385" s="323" t="n"/>
      <c r="C385" s="323" t="n"/>
      <c r="D385" s="328" t="n"/>
      <c r="E385" s="328" t="n"/>
      <c r="F385" s="328" t="n"/>
      <c r="G385" s="329">
        <f>IF(COUNTA(A385:C385)=0,"",SUM(H385:J385))</f>
        <v/>
      </c>
      <c r="H385" s="328" t="n"/>
      <c r="I385" s="330" t="n"/>
      <c r="J385" s="331" t="n"/>
      <c r="K385" s="331" t="n"/>
      <c r="L385" s="331" t="n"/>
      <c r="M385" s="332" t="n"/>
      <c r="N385" s="302">
        <f>IF(L385&gt;0,M385/L385,"")</f>
        <v/>
      </c>
      <c r="O385" s="317">
        <f>IF(E385&gt;0,F385/E385*100,"")</f>
        <v/>
      </c>
      <c r="P385" s="275">
        <f>IF(COUNTA(A385:C385)=0,"",IF(OR(A385="",B385="",C385="",D385&lt;0,E385&lt;0,F385&lt;0,H385&lt;0,I385&lt;0,J385&lt;0,K385&lt;0,L385&lt;0),"ERRO: valores inválidos",IF(D385&lt;&gt;E385+K385,"ERRO: total inconsistente",IF(E385&lt;&gt;F385+G385,"ERRO: finalizados inconsistentes",IF(G385&lt;&gt;SUM(H385:J385),"ERRO: reprovações inconsistentes","OK")))))</f>
        <v/>
      </c>
    </row>
    <row r="386" ht="15" customHeight="1" s="131">
      <c r="A386" s="320" t="n"/>
      <c r="B386" s="323" t="n"/>
      <c r="C386" s="323" t="n"/>
      <c r="D386" s="328" t="n"/>
      <c r="E386" s="328" t="n"/>
      <c r="F386" s="328" t="n"/>
      <c r="G386" s="329">
        <f>IF(COUNTA(A386:C386)=0,"",SUM(H386:J386))</f>
        <v/>
      </c>
      <c r="H386" s="328" t="n"/>
      <c r="I386" s="330" t="n"/>
      <c r="J386" s="331" t="n"/>
      <c r="K386" s="331" t="n"/>
      <c r="L386" s="331" t="n"/>
      <c r="M386" s="332" t="n"/>
      <c r="N386" s="302">
        <f>IF(L386&gt;0,M386/L386,"")</f>
        <v/>
      </c>
      <c r="O386" s="317">
        <f>IF(E386&gt;0,F386/E386*100,"")</f>
        <v/>
      </c>
      <c r="P386" s="275">
        <f>IF(COUNTA(A386:C386)=0,"",IF(OR(A386="",B386="",C386="",D386&lt;0,E386&lt;0,F386&lt;0,H386&lt;0,I386&lt;0,J386&lt;0,K386&lt;0,L386&lt;0),"ERRO: valores inválidos",IF(D386&lt;&gt;E386+K386,"ERRO: total inconsistente",IF(E386&lt;&gt;F386+G386,"ERRO: finalizados inconsistentes",IF(G386&lt;&gt;SUM(H386:J386),"ERRO: reprovações inconsistentes","OK")))))</f>
        <v/>
      </c>
    </row>
    <row r="387" ht="15" customHeight="1" s="131">
      <c r="A387" s="320" t="n"/>
      <c r="B387" s="323" t="n"/>
      <c r="C387" s="323" t="n"/>
      <c r="D387" s="328" t="n"/>
      <c r="E387" s="328" t="n"/>
      <c r="F387" s="328" t="n"/>
      <c r="G387" s="329">
        <f>IF(COUNTA(A387:C387)=0,"",SUM(H387:J387))</f>
        <v/>
      </c>
      <c r="H387" s="328" t="n"/>
      <c r="I387" s="330" t="n"/>
      <c r="J387" s="331" t="n"/>
      <c r="K387" s="331" t="n"/>
      <c r="L387" s="331" t="n"/>
      <c r="M387" s="332" t="n"/>
      <c r="N387" s="302">
        <f>IF(L387&gt;0,M387/L387,"")</f>
        <v/>
      </c>
      <c r="O387" s="317">
        <f>IF(E387&gt;0,F387/E387*100,"")</f>
        <v/>
      </c>
      <c r="P387" s="275">
        <f>IF(COUNTA(A387:C387)=0,"",IF(OR(A387="",B387="",C387="",D387&lt;0,E387&lt;0,F387&lt;0,H387&lt;0,I387&lt;0,J387&lt;0,K387&lt;0,L387&lt;0),"ERRO: valores inválidos",IF(D387&lt;&gt;E387+K387,"ERRO: total inconsistente",IF(E387&lt;&gt;F387+G387,"ERRO: finalizados inconsistentes",IF(G387&lt;&gt;SUM(H387:J387),"ERRO: reprovações inconsistentes","OK")))))</f>
        <v/>
      </c>
    </row>
    <row r="388" ht="15" customHeight="1" s="131">
      <c r="A388" s="320" t="n"/>
      <c r="B388" s="323" t="n"/>
      <c r="C388" s="323" t="n"/>
      <c r="D388" s="328" t="n"/>
      <c r="E388" s="328" t="n"/>
      <c r="F388" s="328" t="n"/>
      <c r="G388" s="329">
        <f>IF(COUNTA(A388:C388)=0,"",SUM(H388:J388))</f>
        <v/>
      </c>
      <c r="H388" s="328" t="n"/>
      <c r="I388" s="330" t="n"/>
      <c r="J388" s="331" t="n"/>
      <c r="K388" s="331" t="n"/>
      <c r="L388" s="331" t="n"/>
      <c r="M388" s="332" t="n"/>
      <c r="N388" s="302">
        <f>IF(L388&gt;0,M388/L388,"")</f>
        <v/>
      </c>
      <c r="O388" s="317">
        <f>IF(E388&gt;0,F388/E388*100,"")</f>
        <v/>
      </c>
      <c r="P388" s="275">
        <f>IF(COUNTA(A388:C388)=0,"",IF(OR(A388="",B388="",C388="",D388&lt;0,E388&lt;0,F388&lt;0,H388&lt;0,I388&lt;0,J388&lt;0,K388&lt;0,L388&lt;0),"ERRO: valores inválidos",IF(D388&lt;&gt;E388+K388,"ERRO: total inconsistente",IF(E388&lt;&gt;F388+G388,"ERRO: finalizados inconsistentes",IF(G388&lt;&gt;SUM(H388:J388),"ERRO: reprovações inconsistentes","OK")))))</f>
        <v/>
      </c>
    </row>
    <row r="389" ht="15" customHeight="1" s="131">
      <c r="A389" s="320" t="n"/>
      <c r="B389" s="323" t="n"/>
      <c r="C389" s="323" t="n"/>
      <c r="D389" s="328" t="n"/>
      <c r="E389" s="328" t="n"/>
      <c r="F389" s="328" t="n"/>
      <c r="G389" s="329">
        <f>IF(COUNTA(A389:C389)=0,"",SUM(H389:J389))</f>
        <v/>
      </c>
      <c r="H389" s="328" t="n"/>
      <c r="I389" s="330" t="n"/>
      <c r="J389" s="331" t="n"/>
      <c r="K389" s="331" t="n"/>
      <c r="L389" s="331" t="n"/>
      <c r="M389" s="332" t="n"/>
      <c r="N389" s="302">
        <f>IF(L389&gt;0,M389/L389,"")</f>
        <v/>
      </c>
      <c r="O389" s="317">
        <f>IF(E389&gt;0,F389/E389*100,"")</f>
        <v/>
      </c>
      <c r="P389" s="275">
        <f>IF(COUNTA(A389:C389)=0,"",IF(OR(A389="",B389="",C389="",D389&lt;0,E389&lt;0,F389&lt;0,H389&lt;0,I389&lt;0,J389&lt;0,K389&lt;0,L389&lt;0),"ERRO: valores inválidos",IF(D389&lt;&gt;E389+K389,"ERRO: total inconsistente",IF(E389&lt;&gt;F389+G389,"ERRO: finalizados inconsistentes",IF(G389&lt;&gt;SUM(H389:J389),"ERRO: reprovações inconsistentes","OK")))))</f>
        <v/>
      </c>
    </row>
    <row r="390" ht="15" customHeight="1" s="131">
      <c r="A390" s="320" t="n"/>
      <c r="B390" s="323" t="n"/>
      <c r="C390" s="323" t="n"/>
      <c r="D390" s="328" t="n"/>
      <c r="E390" s="328" t="n"/>
      <c r="F390" s="328" t="n"/>
      <c r="G390" s="329">
        <f>IF(COUNTA(A390:C390)=0,"",SUM(H390:J390))</f>
        <v/>
      </c>
      <c r="H390" s="328" t="n"/>
      <c r="I390" s="330" t="n"/>
      <c r="J390" s="331" t="n"/>
      <c r="K390" s="331" t="n"/>
      <c r="L390" s="331" t="n"/>
      <c r="M390" s="332" t="n"/>
      <c r="N390" s="302">
        <f>IF(L390&gt;0,M390/L390,"")</f>
        <v/>
      </c>
      <c r="O390" s="317">
        <f>IF(E390&gt;0,F390/E390*100,"")</f>
        <v/>
      </c>
      <c r="P390" s="275">
        <f>IF(COUNTA(A390:C390)=0,"",IF(OR(A390="",B390="",C390="",D390&lt;0,E390&lt;0,F390&lt;0,H390&lt;0,I390&lt;0,J390&lt;0,K390&lt;0,L390&lt;0),"ERRO: valores inválidos",IF(D390&lt;&gt;E390+K390,"ERRO: total inconsistente",IF(E390&lt;&gt;F390+G390,"ERRO: finalizados inconsistentes",IF(G390&lt;&gt;SUM(H390:J390),"ERRO: reprovações inconsistentes","OK")))))</f>
        <v/>
      </c>
    </row>
    <row r="391" ht="15" customHeight="1" s="131">
      <c r="A391" s="320" t="n"/>
      <c r="B391" s="323" t="n"/>
      <c r="C391" s="323" t="n"/>
      <c r="D391" s="328" t="n"/>
      <c r="E391" s="328" t="n"/>
      <c r="F391" s="328" t="n"/>
      <c r="G391" s="329">
        <f>IF(COUNTA(A391:C391)=0,"",SUM(H391:J391))</f>
        <v/>
      </c>
      <c r="H391" s="328" t="n"/>
      <c r="I391" s="330" t="n"/>
      <c r="J391" s="331" t="n"/>
      <c r="K391" s="331" t="n"/>
      <c r="L391" s="331" t="n"/>
      <c r="M391" s="332" t="n"/>
      <c r="N391" s="302">
        <f>IF(L391&gt;0,M391/L391,"")</f>
        <v/>
      </c>
      <c r="O391" s="317">
        <f>IF(E391&gt;0,F391/E391*100,"")</f>
        <v/>
      </c>
      <c r="P391" s="275">
        <f>IF(COUNTA(A391:C391)=0,"",IF(OR(A391="",B391="",C391="",D391&lt;0,E391&lt;0,F391&lt;0,H391&lt;0,I391&lt;0,J391&lt;0,K391&lt;0,L391&lt;0),"ERRO: valores inválidos",IF(D391&lt;&gt;E391+K391,"ERRO: total inconsistente",IF(E391&lt;&gt;F391+G391,"ERRO: finalizados inconsistentes",IF(G391&lt;&gt;SUM(H391:J391),"ERRO: reprovações inconsistentes","OK")))))</f>
        <v/>
      </c>
    </row>
    <row r="392" ht="15" customHeight="1" s="131">
      <c r="A392" s="320" t="n"/>
      <c r="B392" s="323" t="n"/>
      <c r="C392" s="323" t="n"/>
      <c r="D392" s="328" t="n"/>
      <c r="E392" s="328" t="n"/>
      <c r="F392" s="328" t="n"/>
      <c r="G392" s="329">
        <f>IF(COUNTA(A392:C392)=0,"",SUM(H392:J392))</f>
        <v/>
      </c>
      <c r="H392" s="328" t="n"/>
      <c r="I392" s="330" t="n"/>
      <c r="J392" s="331" t="n"/>
      <c r="K392" s="331" t="n"/>
      <c r="L392" s="331" t="n"/>
      <c r="M392" s="332" t="n"/>
      <c r="N392" s="302">
        <f>IF(L392&gt;0,M392/L392,"")</f>
        <v/>
      </c>
      <c r="O392" s="317">
        <f>IF(E392&gt;0,F392/E392*100,"")</f>
        <v/>
      </c>
      <c r="P392" s="275">
        <f>IF(COUNTA(A392:C392)=0,"",IF(OR(A392="",B392="",C392="",D392&lt;0,E392&lt;0,F392&lt;0,H392&lt;0,I392&lt;0,J392&lt;0,K392&lt;0,L392&lt;0),"ERRO: valores inválidos",IF(D392&lt;&gt;E392+K392,"ERRO: total inconsistente",IF(E392&lt;&gt;F392+G392,"ERRO: finalizados inconsistentes",IF(G392&lt;&gt;SUM(H392:J392),"ERRO: reprovações inconsistentes","OK")))))</f>
        <v/>
      </c>
    </row>
    <row r="393" ht="15" customHeight="1" s="131">
      <c r="A393" s="320" t="n"/>
      <c r="B393" s="323" t="n"/>
      <c r="C393" s="323" t="n"/>
      <c r="D393" s="328" t="n"/>
      <c r="E393" s="328" t="n"/>
      <c r="F393" s="328" t="n"/>
      <c r="G393" s="329">
        <f>IF(COUNTA(A393:C393)=0,"",SUM(H393:J393))</f>
        <v/>
      </c>
      <c r="H393" s="328" t="n"/>
      <c r="I393" s="330" t="n"/>
      <c r="J393" s="331" t="n"/>
      <c r="K393" s="331" t="n"/>
      <c r="L393" s="331" t="n"/>
      <c r="M393" s="332" t="n"/>
      <c r="N393" s="302">
        <f>IF(L393&gt;0,M393/L393,"")</f>
        <v/>
      </c>
      <c r="O393" s="317">
        <f>IF(E393&gt;0,F393/E393*100,"")</f>
        <v/>
      </c>
      <c r="P393" s="275">
        <f>IF(COUNTA(A393:C393)=0,"",IF(OR(A393="",B393="",C393="",D393&lt;0,E393&lt;0,F393&lt;0,H393&lt;0,I393&lt;0,J393&lt;0,K393&lt;0,L393&lt;0),"ERRO: valores inválidos",IF(D393&lt;&gt;E393+K393,"ERRO: total inconsistente",IF(E393&lt;&gt;F393+G393,"ERRO: finalizados inconsistentes",IF(G393&lt;&gt;SUM(H393:J393),"ERRO: reprovações inconsistentes","OK")))))</f>
        <v/>
      </c>
    </row>
    <row r="394" ht="15" customHeight="1" s="131">
      <c r="A394" s="320" t="n"/>
      <c r="B394" s="323" t="n"/>
      <c r="C394" s="323" t="n"/>
      <c r="D394" s="328" t="n"/>
      <c r="E394" s="328" t="n"/>
      <c r="F394" s="328" t="n"/>
      <c r="G394" s="329">
        <f>IF(COUNTA(A394:C394)=0,"",SUM(H394:J394))</f>
        <v/>
      </c>
      <c r="H394" s="328" t="n"/>
      <c r="I394" s="330" t="n"/>
      <c r="J394" s="331" t="n"/>
      <c r="K394" s="331" t="n"/>
      <c r="L394" s="331" t="n"/>
      <c r="M394" s="332" t="n"/>
      <c r="N394" s="302">
        <f>IF(L394&gt;0,M394/L394,"")</f>
        <v/>
      </c>
      <c r="O394" s="317">
        <f>IF(E394&gt;0,F394/E394*100,"")</f>
        <v/>
      </c>
      <c r="P394" s="275">
        <f>IF(COUNTA(A394:C394)=0,"",IF(OR(A394="",B394="",C394="",D394&lt;0,E394&lt;0,F394&lt;0,H394&lt;0,I394&lt;0,J394&lt;0,K394&lt;0,L394&lt;0),"ERRO: valores inválidos",IF(D394&lt;&gt;E394+K394,"ERRO: total inconsistente",IF(E394&lt;&gt;F394+G394,"ERRO: finalizados inconsistentes",IF(G394&lt;&gt;SUM(H394:J394),"ERRO: reprovações inconsistentes","OK")))))</f>
        <v/>
      </c>
    </row>
    <row r="395" ht="15" customHeight="1" s="131">
      <c r="A395" s="320" t="n"/>
      <c r="B395" s="323" t="n"/>
      <c r="C395" s="323" t="n"/>
      <c r="D395" s="328" t="n"/>
      <c r="E395" s="328" t="n"/>
      <c r="F395" s="328" t="n"/>
      <c r="G395" s="329">
        <f>IF(COUNTA(A395:C395)=0,"",SUM(H395:J395))</f>
        <v/>
      </c>
      <c r="H395" s="328" t="n"/>
      <c r="I395" s="330" t="n"/>
      <c r="J395" s="331" t="n"/>
      <c r="K395" s="331" t="n"/>
      <c r="L395" s="331" t="n"/>
      <c r="M395" s="332" t="n"/>
      <c r="N395" s="302">
        <f>IF(L395&gt;0,M395/L395,"")</f>
        <v/>
      </c>
      <c r="O395" s="317">
        <f>IF(E395&gt;0,F395/E395*100,"")</f>
        <v/>
      </c>
      <c r="P395" s="275">
        <f>IF(COUNTA(A395:C395)=0,"",IF(OR(A395="",B395="",C395="",D395&lt;0,E395&lt;0,F395&lt;0,H395&lt;0,I395&lt;0,J395&lt;0,K395&lt;0,L395&lt;0),"ERRO: valores inválidos",IF(D395&lt;&gt;E395+K395,"ERRO: total inconsistente",IF(E395&lt;&gt;F395+G395,"ERRO: finalizados inconsistentes",IF(G395&lt;&gt;SUM(H395:J395),"ERRO: reprovações inconsistentes","OK")))))</f>
        <v/>
      </c>
    </row>
    <row r="396" ht="15" customHeight="1" s="131">
      <c r="A396" s="320" t="n"/>
      <c r="B396" s="323" t="n"/>
      <c r="C396" s="323" t="n"/>
      <c r="D396" s="328" t="n"/>
      <c r="E396" s="328" t="n"/>
      <c r="F396" s="328" t="n"/>
      <c r="G396" s="329">
        <f>IF(COUNTA(A396:C396)=0,"",SUM(H396:J396))</f>
        <v/>
      </c>
      <c r="H396" s="328" t="n"/>
      <c r="I396" s="330" t="n"/>
      <c r="J396" s="331" t="n"/>
      <c r="K396" s="331" t="n"/>
      <c r="L396" s="331" t="n"/>
      <c r="M396" s="332" t="n"/>
      <c r="N396" s="302">
        <f>IF(L396&gt;0,M396/L396,"")</f>
        <v/>
      </c>
      <c r="O396" s="317">
        <f>IF(E396&gt;0,F396/E396*100,"")</f>
        <v/>
      </c>
      <c r="P396" s="275">
        <f>IF(COUNTA(A396:C396)=0,"",IF(OR(A396="",B396="",C396="",D396&lt;0,E396&lt;0,F396&lt;0,H396&lt;0,I396&lt;0,J396&lt;0,K396&lt;0,L396&lt;0),"ERRO: valores inválidos",IF(D396&lt;&gt;E396+K396,"ERRO: total inconsistente",IF(E396&lt;&gt;F396+G396,"ERRO: finalizados inconsistentes",IF(G396&lt;&gt;SUM(H396:J396),"ERRO: reprovações inconsistentes","OK")))))</f>
        <v/>
      </c>
    </row>
    <row r="397" ht="15" customHeight="1" s="131">
      <c r="A397" s="320" t="n"/>
      <c r="B397" s="323" t="n"/>
      <c r="C397" s="323" t="n"/>
      <c r="D397" s="328" t="n"/>
      <c r="E397" s="328" t="n"/>
      <c r="F397" s="328" t="n"/>
      <c r="G397" s="329">
        <f>IF(COUNTA(A397:C397)=0,"",SUM(H397:J397))</f>
        <v/>
      </c>
      <c r="H397" s="328" t="n"/>
      <c r="I397" s="330" t="n"/>
      <c r="J397" s="331" t="n"/>
      <c r="K397" s="331" t="n"/>
      <c r="L397" s="331" t="n"/>
      <c r="M397" s="332" t="n"/>
      <c r="N397" s="302">
        <f>IF(L397&gt;0,M397/L397,"")</f>
        <v/>
      </c>
      <c r="O397" s="317">
        <f>IF(E397&gt;0,F397/E397*100,"")</f>
        <v/>
      </c>
      <c r="P397" s="275">
        <f>IF(COUNTA(A397:C397)=0,"",IF(OR(A397="",B397="",C397="",D397&lt;0,E397&lt;0,F397&lt;0,H397&lt;0,I397&lt;0,J397&lt;0,K397&lt;0,L397&lt;0),"ERRO: valores inválidos",IF(D397&lt;&gt;E397+K397,"ERRO: total inconsistente",IF(E397&lt;&gt;F397+G397,"ERRO: finalizados inconsistentes",IF(G397&lt;&gt;SUM(H397:J397),"ERRO: reprovações inconsistentes","OK")))))</f>
        <v/>
      </c>
    </row>
    <row r="398" ht="15" customHeight="1" s="131">
      <c r="A398" s="320" t="n"/>
      <c r="B398" s="323" t="n"/>
      <c r="C398" s="323" t="n"/>
      <c r="D398" s="328" t="n"/>
      <c r="E398" s="328" t="n"/>
      <c r="F398" s="328" t="n"/>
      <c r="G398" s="329">
        <f>IF(COUNTA(A398:C398)=0,"",SUM(H398:J398))</f>
        <v/>
      </c>
      <c r="H398" s="328" t="n"/>
      <c r="I398" s="330" t="n"/>
      <c r="J398" s="331" t="n"/>
      <c r="K398" s="331" t="n"/>
      <c r="L398" s="331" t="n"/>
      <c r="M398" s="332" t="n"/>
      <c r="N398" s="302">
        <f>IF(L398&gt;0,M398/L398,"")</f>
        <v/>
      </c>
      <c r="O398" s="317">
        <f>IF(E398&gt;0,F398/E398*100,"")</f>
        <v/>
      </c>
      <c r="P398" s="275">
        <f>IF(COUNTA(A398:C398)=0,"",IF(OR(A398="",B398="",C398="",D398&lt;0,E398&lt;0,F398&lt;0,H398&lt;0,I398&lt;0,J398&lt;0,K398&lt;0,L398&lt;0),"ERRO: valores inválidos",IF(D398&lt;&gt;E398+K398,"ERRO: total inconsistente",IF(E398&lt;&gt;F398+G398,"ERRO: finalizados inconsistentes",IF(G398&lt;&gt;SUM(H398:J398),"ERRO: reprovações inconsistentes","OK")))))</f>
        <v/>
      </c>
    </row>
    <row r="399" ht="15" customHeight="1" s="131">
      <c r="A399" s="320" t="n"/>
      <c r="B399" s="323" t="n"/>
      <c r="C399" s="323" t="n"/>
      <c r="D399" s="328" t="n"/>
      <c r="E399" s="328" t="n"/>
      <c r="F399" s="328" t="n"/>
      <c r="G399" s="329">
        <f>IF(COUNTA(A399:C399)=0,"",SUM(H399:J399))</f>
        <v/>
      </c>
      <c r="H399" s="328" t="n"/>
      <c r="I399" s="330" t="n"/>
      <c r="J399" s="331" t="n"/>
      <c r="K399" s="331" t="n"/>
      <c r="L399" s="331" t="n"/>
      <c r="M399" s="332" t="n"/>
      <c r="N399" s="302">
        <f>IF(L399&gt;0,M399/L399,"")</f>
        <v/>
      </c>
      <c r="O399" s="317">
        <f>IF(E399&gt;0,F399/E399*100,"")</f>
        <v/>
      </c>
      <c r="P399" s="275">
        <f>IF(COUNTA(A399:C399)=0,"",IF(OR(A399="",B399="",C399="",D399&lt;0,E399&lt;0,F399&lt;0,H399&lt;0,I399&lt;0,J399&lt;0,K399&lt;0,L399&lt;0),"ERRO: valores inválidos",IF(D399&lt;&gt;E399+K399,"ERRO: total inconsistente",IF(E399&lt;&gt;F399+G399,"ERRO: finalizados inconsistentes",IF(G399&lt;&gt;SUM(H399:J399),"ERRO: reprovações inconsistentes","OK")))))</f>
        <v/>
      </c>
    </row>
    <row r="400" ht="15" customHeight="1" s="131">
      <c r="A400" s="320" t="n"/>
      <c r="B400" s="323" t="n"/>
      <c r="C400" s="323" t="n"/>
      <c r="D400" s="328" t="n"/>
      <c r="E400" s="328" t="n"/>
      <c r="F400" s="328" t="n"/>
      <c r="G400" s="329">
        <f>IF(COUNTA(A400:C400)=0,"",SUM(H400:J400))</f>
        <v/>
      </c>
      <c r="H400" s="328" t="n"/>
      <c r="I400" s="330" t="n"/>
      <c r="J400" s="331" t="n"/>
      <c r="K400" s="331" t="n"/>
      <c r="L400" s="331" t="n"/>
      <c r="M400" s="332" t="n"/>
      <c r="N400" s="302">
        <f>IF(L400&gt;0,M400/L400,"")</f>
        <v/>
      </c>
      <c r="O400" s="317">
        <f>IF(E400&gt;0,F400/E400*100,"")</f>
        <v/>
      </c>
      <c r="P400" s="275">
        <f>IF(COUNTA(A400:C400)=0,"",IF(OR(A400="",B400="",C400="",D400&lt;0,E400&lt;0,F400&lt;0,H400&lt;0,I400&lt;0,J400&lt;0,K400&lt;0,L400&lt;0),"ERRO: valores inválidos",IF(D400&lt;&gt;E400+K400,"ERRO: total inconsistente",IF(E400&lt;&gt;F400+G400,"ERRO: finalizados inconsistentes",IF(G400&lt;&gt;SUM(H400:J400),"ERRO: reprovações inconsistentes","OK")))))</f>
        <v/>
      </c>
    </row>
    <row r="401" ht="15" customHeight="1" s="131">
      <c r="A401" s="320" t="n"/>
      <c r="B401" s="323" t="n"/>
      <c r="C401" s="323" t="n"/>
      <c r="D401" s="328" t="n"/>
      <c r="E401" s="328" t="n"/>
      <c r="F401" s="328" t="n"/>
      <c r="G401" s="329">
        <f>IF(COUNTA(A401:C401)=0,"",SUM(H401:J401))</f>
        <v/>
      </c>
      <c r="H401" s="328" t="n"/>
      <c r="I401" s="330" t="n"/>
      <c r="J401" s="331" t="n"/>
      <c r="K401" s="331" t="n"/>
      <c r="L401" s="331" t="n"/>
      <c r="M401" s="332" t="n"/>
      <c r="N401" s="302">
        <f>IF(L401&gt;0,M401/L401,"")</f>
        <v/>
      </c>
      <c r="O401" s="317">
        <f>IF(E401&gt;0,F401/E401*100,"")</f>
        <v/>
      </c>
      <c r="P401" s="275">
        <f>IF(COUNTA(A401:C401)=0,"",IF(OR(A401="",B401="",C401="",D401&lt;0,E401&lt;0,F401&lt;0,H401&lt;0,I401&lt;0,J401&lt;0,K401&lt;0,L401&lt;0),"ERRO: valores inválidos",IF(D401&lt;&gt;E401+K401,"ERRO: total inconsistente",IF(E401&lt;&gt;F401+G401,"ERRO: finalizados inconsistentes",IF(G401&lt;&gt;SUM(H401:J401),"ERRO: reprovações inconsistentes","OK")))))</f>
        <v/>
      </c>
    </row>
    <row r="402" ht="15" customHeight="1" s="131">
      <c r="A402" s="320" t="n"/>
      <c r="B402" s="323" t="n"/>
      <c r="C402" s="323" t="n"/>
      <c r="D402" s="328" t="n"/>
      <c r="E402" s="328" t="n"/>
      <c r="F402" s="328" t="n"/>
      <c r="G402" s="329">
        <f>IF(COUNTA(A402:C402)=0,"",SUM(H402:J402))</f>
        <v/>
      </c>
      <c r="H402" s="328" t="n"/>
      <c r="I402" s="330" t="n"/>
      <c r="J402" s="331" t="n"/>
      <c r="K402" s="331" t="n"/>
      <c r="L402" s="331" t="n"/>
      <c r="M402" s="332" t="n"/>
      <c r="N402" s="302">
        <f>IF(L402&gt;0,M402/L402,"")</f>
        <v/>
      </c>
      <c r="O402" s="317">
        <f>IF(E402&gt;0,F402/E402*100,"")</f>
        <v/>
      </c>
      <c r="P402" s="275">
        <f>IF(COUNTA(A402:C402)=0,"",IF(OR(A402="",B402="",C402="",D402&lt;0,E402&lt;0,F402&lt;0,H402&lt;0,I402&lt;0,J402&lt;0,K402&lt;0,L402&lt;0),"ERRO: valores inválidos",IF(D402&lt;&gt;E402+K402,"ERRO: total inconsistente",IF(E402&lt;&gt;F402+G402,"ERRO: finalizados inconsistentes",IF(G402&lt;&gt;SUM(H402:J402),"ERRO: reprovações inconsistentes","OK")))))</f>
        <v/>
      </c>
    </row>
    <row r="403" ht="15" customHeight="1" s="131">
      <c r="A403" s="320" t="n"/>
      <c r="B403" s="323" t="n"/>
      <c r="C403" s="323" t="n"/>
      <c r="D403" s="328" t="n"/>
      <c r="E403" s="328" t="n"/>
      <c r="F403" s="328" t="n"/>
      <c r="G403" s="329">
        <f>IF(COUNTA(A403:C403)=0,"",SUM(H403:J403))</f>
        <v/>
      </c>
      <c r="H403" s="328" t="n"/>
      <c r="I403" s="330" t="n"/>
      <c r="J403" s="331" t="n"/>
      <c r="K403" s="331" t="n"/>
      <c r="L403" s="331" t="n"/>
      <c r="M403" s="332" t="n"/>
      <c r="N403" s="302">
        <f>IF(L403&gt;0,M403/L403,"")</f>
        <v/>
      </c>
      <c r="O403" s="317">
        <f>IF(E403&gt;0,F403/E403*100,"")</f>
        <v/>
      </c>
      <c r="P403" s="275">
        <f>IF(COUNTA(A403:C403)=0,"",IF(OR(A403="",B403="",C403="",D403&lt;0,E403&lt;0,F403&lt;0,H403&lt;0,I403&lt;0,J403&lt;0,K403&lt;0,L403&lt;0),"ERRO: valores inválidos",IF(D403&lt;&gt;E403+K403,"ERRO: total inconsistente",IF(E403&lt;&gt;F403+G403,"ERRO: finalizados inconsistentes",IF(G403&lt;&gt;SUM(H403:J403),"ERRO: reprovações inconsistentes","OK")))))</f>
        <v/>
      </c>
    </row>
    <row r="404" ht="15" customHeight="1" s="131">
      <c r="A404" s="320" t="n"/>
      <c r="B404" s="323" t="n"/>
      <c r="C404" s="323" t="n"/>
      <c r="D404" s="328" t="n"/>
      <c r="E404" s="328" t="n"/>
      <c r="F404" s="328" t="n"/>
      <c r="G404" s="329">
        <f>IF(COUNTA(A404:C404)=0,"",SUM(H404:J404))</f>
        <v/>
      </c>
      <c r="H404" s="328" t="n"/>
      <c r="I404" s="330" t="n"/>
      <c r="J404" s="331" t="n"/>
      <c r="K404" s="331" t="n"/>
      <c r="L404" s="331" t="n"/>
      <c r="M404" s="332" t="n"/>
      <c r="N404" s="302">
        <f>IF(L404&gt;0,M404/L404,"")</f>
        <v/>
      </c>
      <c r="O404" s="317">
        <f>IF(E404&gt;0,F404/E404*100,"")</f>
        <v/>
      </c>
      <c r="P404" s="275">
        <f>IF(COUNTA(A404:C404)=0,"",IF(OR(A404="",B404="",C404="",D404&lt;0,E404&lt;0,F404&lt;0,H404&lt;0,I404&lt;0,J404&lt;0,K404&lt;0,L404&lt;0),"ERRO: valores inválidos",IF(D404&lt;&gt;E404+K404,"ERRO: total inconsistente",IF(E404&lt;&gt;F404+G404,"ERRO: finalizados inconsistentes",IF(G404&lt;&gt;SUM(H404:J404),"ERRO: reprovações inconsistentes","OK")))))</f>
        <v/>
      </c>
    </row>
    <row r="405" ht="15" customHeight="1" s="131">
      <c r="A405" s="320" t="n"/>
      <c r="B405" s="323" t="n"/>
      <c r="C405" s="323" t="n"/>
      <c r="D405" s="328" t="n"/>
      <c r="E405" s="328" t="n"/>
      <c r="F405" s="328" t="n"/>
      <c r="G405" s="329">
        <f>IF(COUNTA(A405:C405)=0,"",SUM(H405:J405))</f>
        <v/>
      </c>
      <c r="H405" s="328" t="n"/>
      <c r="I405" s="330" t="n"/>
      <c r="J405" s="331" t="n"/>
      <c r="K405" s="331" t="n"/>
      <c r="L405" s="331" t="n"/>
      <c r="M405" s="332" t="n"/>
      <c r="N405" s="302">
        <f>IF(L405&gt;0,M405/L405,"")</f>
        <v/>
      </c>
      <c r="O405" s="317">
        <f>IF(E405&gt;0,F405/E405*100,"")</f>
        <v/>
      </c>
      <c r="P405" s="275">
        <f>IF(COUNTA(A405:C405)=0,"",IF(OR(A405="",B405="",C405="",D405&lt;0,E405&lt;0,F405&lt;0,H405&lt;0,I405&lt;0,J405&lt;0,K405&lt;0,L405&lt;0),"ERRO: valores inválidos",IF(D405&lt;&gt;E405+K405,"ERRO: total inconsistente",IF(E405&lt;&gt;F405+G405,"ERRO: finalizados inconsistentes",IF(G405&lt;&gt;SUM(H405:J405),"ERRO: reprovações inconsistentes","OK")))))</f>
        <v/>
      </c>
    </row>
    <row r="406" ht="15" customHeight="1" s="131">
      <c r="A406" s="320" t="n"/>
      <c r="B406" s="323" t="n"/>
      <c r="C406" s="323" t="n"/>
      <c r="D406" s="328" t="n"/>
      <c r="E406" s="328" t="n"/>
      <c r="F406" s="328" t="n"/>
      <c r="G406" s="329">
        <f>IF(COUNTA(A406:C406)=0,"",SUM(H406:J406))</f>
        <v/>
      </c>
      <c r="H406" s="328" t="n"/>
      <c r="I406" s="330" t="n"/>
      <c r="J406" s="331" t="n"/>
      <c r="K406" s="331" t="n"/>
      <c r="L406" s="331" t="n"/>
      <c r="M406" s="332" t="n"/>
      <c r="N406" s="302">
        <f>IF(L406&gt;0,M406/L406,"")</f>
        <v/>
      </c>
      <c r="O406" s="317">
        <f>IF(E406&gt;0,F406/E406*100,"")</f>
        <v/>
      </c>
      <c r="P406" s="275">
        <f>IF(COUNTA(A406:C406)=0,"",IF(OR(A406="",B406="",C406="",D406&lt;0,E406&lt;0,F406&lt;0,H406&lt;0,I406&lt;0,J406&lt;0,K406&lt;0,L406&lt;0),"ERRO: valores inválidos",IF(D406&lt;&gt;E406+K406,"ERRO: total inconsistente",IF(E406&lt;&gt;F406+G406,"ERRO: finalizados inconsistentes",IF(G406&lt;&gt;SUM(H406:J406),"ERRO: reprovações inconsistentes","OK")))))</f>
        <v/>
      </c>
    </row>
    <row r="407" ht="15" customHeight="1" s="131">
      <c r="A407" s="320" t="n"/>
      <c r="B407" s="323" t="n"/>
      <c r="C407" s="323" t="n"/>
      <c r="D407" s="328" t="n"/>
      <c r="E407" s="328" t="n"/>
      <c r="F407" s="328" t="n"/>
      <c r="G407" s="329">
        <f>IF(COUNTA(A407:C407)=0,"",SUM(H407:J407))</f>
        <v/>
      </c>
      <c r="H407" s="328" t="n"/>
      <c r="I407" s="330" t="n"/>
      <c r="J407" s="331" t="n"/>
      <c r="K407" s="331" t="n"/>
      <c r="L407" s="331" t="n"/>
      <c r="M407" s="332" t="n"/>
      <c r="N407" s="302">
        <f>IF(L407&gt;0,M407/L407,"")</f>
        <v/>
      </c>
      <c r="O407" s="317">
        <f>IF(E407&gt;0,F407/E407*100,"")</f>
        <v/>
      </c>
      <c r="P407" s="275">
        <f>IF(COUNTA(A407:C407)=0,"",IF(OR(A407="",B407="",C407="",D407&lt;0,E407&lt;0,F407&lt;0,H407&lt;0,I407&lt;0,J407&lt;0,K407&lt;0,L407&lt;0),"ERRO: valores inválidos",IF(D407&lt;&gt;E407+K407,"ERRO: total inconsistente",IF(E407&lt;&gt;F407+G407,"ERRO: finalizados inconsistentes",IF(G407&lt;&gt;SUM(H407:J407),"ERRO: reprovações inconsistentes","OK")))))</f>
        <v/>
      </c>
    </row>
    <row r="408" ht="15" customHeight="1" s="131">
      <c r="A408" s="320" t="n"/>
      <c r="B408" s="323" t="n"/>
      <c r="C408" s="323" t="n"/>
      <c r="D408" s="328" t="n"/>
      <c r="E408" s="328" t="n"/>
      <c r="F408" s="328" t="n"/>
      <c r="G408" s="329">
        <f>IF(COUNTA(A408:C408)=0,"",SUM(H408:J408))</f>
        <v/>
      </c>
      <c r="H408" s="328" t="n"/>
      <c r="I408" s="330" t="n"/>
      <c r="J408" s="331" t="n"/>
      <c r="K408" s="331" t="n"/>
      <c r="L408" s="331" t="n"/>
      <c r="M408" s="332" t="n"/>
      <c r="N408" s="302">
        <f>IF(L408&gt;0,M408/L408,"")</f>
        <v/>
      </c>
      <c r="O408" s="317">
        <f>IF(E408&gt;0,F408/E408*100,"")</f>
        <v/>
      </c>
      <c r="P408" s="275">
        <f>IF(COUNTA(A408:C408)=0,"",IF(OR(A408="",B408="",C408="",D408&lt;0,E408&lt;0,F408&lt;0,H408&lt;0,I408&lt;0,J408&lt;0,K408&lt;0,L408&lt;0),"ERRO: valores inválidos",IF(D408&lt;&gt;E408+K408,"ERRO: total inconsistente",IF(E408&lt;&gt;F408+G408,"ERRO: finalizados inconsistentes",IF(G408&lt;&gt;SUM(H408:J408),"ERRO: reprovações inconsistentes","OK")))))</f>
        <v/>
      </c>
    </row>
    <row r="409" ht="15" customHeight="1" s="131">
      <c r="A409" s="320" t="n"/>
      <c r="B409" s="323" t="n"/>
      <c r="C409" s="323" t="n"/>
      <c r="D409" s="328" t="n"/>
      <c r="E409" s="328" t="n"/>
      <c r="F409" s="328" t="n"/>
      <c r="G409" s="329">
        <f>IF(COUNTA(A409:C409)=0,"",SUM(H409:J409))</f>
        <v/>
      </c>
      <c r="H409" s="328" t="n"/>
      <c r="I409" s="330" t="n"/>
      <c r="J409" s="331" t="n"/>
      <c r="K409" s="331" t="n"/>
      <c r="L409" s="331" t="n"/>
      <c r="M409" s="332" t="n"/>
      <c r="N409" s="302">
        <f>IF(L409&gt;0,M409/L409,"")</f>
        <v/>
      </c>
      <c r="O409" s="317">
        <f>IF(E409&gt;0,F409/E409*100,"")</f>
        <v/>
      </c>
      <c r="P409" s="275">
        <f>IF(COUNTA(A409:C409)=0,"",IF(OR(A409="",B409="",C409="",D409&lt;0,E409&lt;0,F409&lt;0,H409&lt;0,I409&lt;0,J409&lt;0,K409&lt;0,L409&lt;0),"ERRO: valores inválidos",IF(D409&lt;&gt;E409+K409,"ERRO: total inconsistente",IF(E409&lt;&gt;F409+G409,"ERRO: finalizados inconsistentes",IF(G409&lt;&gt;SUM(H409:J409),"ERRO: reprovações inconsistentes","OK")))))</f>
        <v/>
      </c>
    </row>
    <row r="410" ht="15" customHeight="1" s="131">
      <c r="A410" s="320" t="n"/>
      <c r="B410" s="323" t="n"/>
      <c r="C410" s="323" t="n"/>
      <c r="D410" s="328" t="n"/>
      <c r="E410" s="328" t="n"/>
      <c r="F410" s="328" t="n"/>
      <c r="G410" s="329">
        <f>IF(COUNTA(A410:C410)=0,"",SUM(H410:J410))</f>
        <v/>
      </c>
      <c r="H410" s="328" t="n"/>
      <c r="I410" s="330" t="n"/>
      <c r="J410" s="331" t="n"/>
      <c r="K410" s="331" t="n"/>
      <c r="L410" s="331" t="n"/>
      <c r="M410" s="332" t="n"/>
      <c r="N410" s="302">
        <f>IF(L410&gt;0,M410/L410,"")</f>
        <v/>
      </c>
      <c r="O410" s="317">
        <f>IF(E410&gt;0,F410/E410*100,"")</f>
        <v/>
      </c>
      <c r="P410" s="275">
        <f>IF(COUNTA(A410:C410)=0,"",IF(OR(A410="",B410="",C410="",D410&lt;0,E410&lt;0,F410&lt;0,H410&lt;0,I410&lt;0,J410&lt;0,K410&lt;0,L410&lt;0),"ERRO: valores inválidos",IF(D410&lt;&gt;E410+K410,"ERRO: total inconsistente",IF(E410&lt;&gt;F410+G410,"ERRO: finalizados inconsistentes",IF(G410&lt;&gt;SUM(H410:J410),"ERRO: reprovações inconsistentes","OK")))))</f>
        <v/>
      </c>
    </row>
    <row r="411" ht="15" customHeight="1" s="131">
      <c r="A411" s="320" t="n"/>
      <c r="B411" s="323" t="n"/>
      <c r="C411" s="323" t="n"/>
      <c r="D411" s="328" t="n"/>
      <c r="E411" s="328" t="n"/>
      <c r="F411" s="328" t="n"/>
      <c r="G411" s="329">
        <f>IF(COUNTA(A411:C411)=0,"",SUM(H411:J411))</f>
        <v/>
      </c>
      <c r="H411" s="328" t="n"/>
      <c r="I411" s="330" t="n"/>
      <c r="J411" s="331" t="n"/>
      <c r="K411" s="331" t="n"/>
      <c r="L411" s="331" t="n"/>
      <c r="M411" s="332" t="n"/>
      <c r="N411" s="302">
        <f>IF(L411&gt;0,M411/L411,"")</f>
        <v/>
      </c>
      <c r="O411" s="317">
        <f>IF(E411&gt;0,F411/E411*100,"")</f>
        <v/>
      </c>
      <c r="P411" s="275">
        <f>IF(COUNTA(A411:C411)=0,"",IF(OR(A411="",B411="",C411="",D411&lt;0,E411&lt;0,F411&lt;0,H411&lt;0,I411&lt;0,J411&lt;0,K411&lt;0,L411&lt;0),"ERRO: valores inválidos",IF(D411&lt;&gt;E411+K411,"ERRO: total inconsistente",IF(E411&lt;&gt;F411+G411,"ERRO: finalizados inconsistentes",IF(G411&lt;&gt;SUM(H411:J411),"ERRO: reprovações inconsistentes","OK")))))</f>
        <v/>
      </c>
    </row>
    <row r="412" ht="15" customHeight="1" s="131">
      <c r="A412" s="320" t="n"/>
      <c r="B412" s="323" t="n"/>
      <c r="C412" s="323" t="n"/>
      <c r="D412" s="328" t="n"/>
      <c r="E412" s="328" t="n"/>
      <c r="F412" s="328" t="n"/>
      <c r="G412" s="329">
        <f>IF(COUNTA(A412:C412)=0,"",SUM(H412:J412))</f>
        <v/>
      </c>
      <c r="H412" s="328" t="n"/>
      <c r="I412" s="330" t="n"/>
      <c r="J412" s="331" t="n"/>
      <c r="K412" s="331" t="n"/>
      <c r="L412" s="331" t="n"/>
      <c r="M412" s="332" t="n"/>
      <c r="N412" s="302">
        <f>IF(L412&gt;0,M412/L412,"")</f>
        <v/>
      </c>
      <c r="O412" s="317">
        <f>IF(E412&gt;0,F412/E412*100,"")</f>
        <v/>
      </c>
      <c r="P412" s="275">
        <f>IF(COUNTA(A412:C412)=0,"",IF(OR(A412="",B412="",C412="",D412&lt;0,E412&lt;0,F412&lt;0,H412&lt;0,I412&lt;0,J412&lt;0,K412&lt;0,L412&lt;0),"ERRO: valores inválidos",IF(D412&lt;&gt;E412+K412,"ERRO: total inconsistente",IF(E412&lt;&gt;F412+G412,"ERRO: finalizados inconsistentes",IF(G412&lt;&gt;SUM(H412:J412),"ERRO: reprovações inconsistentes","OK")))))</f>
        <v/>
      </c>
    </row>
    <row r="413" ht="15" customHeight="1" s="131">
      <c r="A413" s="320" t="n"/>
      <c r="B413" s="323" t="n"/>
      <c r="C413" s="323" t="n"/>
      <c r="D413" s="328" t="n"/>
      <c r="E413" s="328" t="n"/>
      <c r="F413" s="328" t="n"/>
      <c r="G413" s="329">
        <f>IF(COUNTA(A413:C413)=0,"",SUM(H413:J413))</f>
        <v/>
      </c>
      <c r="H413" s="328" t="n"/>
      <c r="I413" s="330" t="n"/>
      <c r="J413" s="331" t="n"/>
      <c r="K413" s="331" t="n"/>
      <c r="L413" s="331" t="n"/>
      <c r="M413" s="332" t="n"/>
      <c r="N413" s="302">
        <f>IF(L413&gt;0,M413/L413,"")</f>
        <v/>
      </c>
      <c r="O413" s="317">
        <f>IF(E413&gt;0,F413/E413*100,"")</f>
        <v/>
      </c>
      <c r="P413" s="275">
        <f>IF(COUNTA(A413:C413)=0,"",IF(OR(A413="",B413="",C413="",D413&lt;0,E413&lt;0,F413&lt;0,H413&lt;0,I413&lt;0,J413&lt;0,K413&lt;0,L413&lt;0),"ERRO: valores inválidos",IF(D413&lt;&gt;E413+K413,"ERRO: total inconsistente",IF(E413&lt;&gt;F413+G413,"ERRO: finalizados inconsistentes",IF(G413&lt;&gt;SUM(H413:J413),"ERRO: reprovações inconsistentes","OK")))))</f>
        <v/>
      </c>
    </row>
    <row r="414" ht="15" customHeight="1" s="131">
      <c r="A414" s="320" t="n"/>
      <c r="B414" s="323" t="n"/>
      <c r="C414" s="323" t="n"/>
      <c r="D414" s="328" t="n"/>
      <c r="E414" s="328" t="n"/>
      <c r="F414" s="328" t="n"/>
      <c r="G414" s="329">
        <f>IF(COUNTA(A414:C414)=0,"",SUM(H414:J414))</f>
        <v/>
      </c>
      <c r="H414" s="328" t="n"/>
      <c r="I414" s="330" t="n"/>
      <c r="J414" s="331" t="n"/>
      <c r="K414" s="331" t="n"/>
      <c r="L414" s="331" t="n"/>
      <c r="M414" s="332" t="n"/>
      <c r="N414" s="302">
        <f>IF(L414&gt;0,M414/L414,"")</f>
        <v/>
      </c>
      <c r="O414" s="317">
        <f>IF(E414&gt;0,F414/E414*100,"")</f>
        <v/>
      </c>
      <c r="P414" s="275">
        <f>IF(COUNTA(A414:C414)=0,"",IF(OR(A414="",B414="",C414="",D414&lt;0,E414&lt;0,F414&lt;0,H414&lt;0,I414&lt;0,J414&lt;0,K414&lt;0,L414&lt;0),"ERRO: valores inválidos",IF(D414&lt;&gt;E414+K414,"ERRO: total inconsistente",IF(E414&lt;&gt;F414+G414,"ERRO: finalizados inconsistentes",IF(G414&lt;&gt;SUM(H414:J414),"ERRO: reprovações inconsistentes","OK")))))</f>
        <v/>
      </c>
    </row>
    <row r="415" ht="15" customHeight="1" s="131">
      <c r="A415" s="320" t="n"/>
      <c r="B415" s="323" t="n"/>
      <c r="C415" s="323" t="n"/>
      <c r="D415" s="328" t="n"/>
      <c r="E415" s="328" t="n"/>
      <c r="F415" s="328" t="n"/>
      <c r="G415" s="329">
        <f>IF(COUNTA(A415:C415)=0,"",SUM(H415:J415))</f>
        <v/>
      </c>
      <c r="H415" s="328" t="n"/>
      <c r="I415" s="330" t="n"/>
      <c r="J415" s="331" t="n"/>
      <c r="K415" s="331" t="n"/>
      <c r="L415" s="331" t="n"/>
      <c r="M415" s="332" t="n"/>
      <c r="N415" s="302">
        <f>IF(L415&gt;0,M415/L415,"")</f>
        <v/>
      </c>
      <c r="O415" s="317">
        <f>IF(E415&gt;0,F415/E415*100,"")</f>
        <v/>
      </c>
      <c r="P415" s="275">
        <f>IF(COUNTA(A415:C415)=0,"",IF(OR(A415="",B415="",C415="",D415&lt;0,E415&lt;0,F415&lt;0,H415&lt;0,I415&lt;0,J415&lt;0,K415&lt;0,L415&lt;0),"ERRO: valores inválidos",IF(D415&lt;&gt;E415+K415,"ERRO: total inconsistente",IF(E415&lt;&gt;F415+G415,"ERRO: finalizados inconsistentes",IF(G415&lt;&gt;SUM(H415:J415),"ERRO: reprovações inconsistentes","OK")))))</f>
        <v/>
      </c>
    </row>
    <row r="416" ht="15" customHeight="1" s="131">
      <c r="A416" s="320" t="n"/>
      <c r="B416" s="323" t="n"/>
      <c r="C416" s="323" t="n"/>
      <c r="D416" s="328" t="n"/>
      <c r="E416" s="328" t="n"/>
      <c r="F416" s="328" t="n"/>
      <c r="G416" s="329">
        <f>IF(COUNTA(A416:C416)=0,"",SUM(H416:J416))</f>
        <v/>
      </c>
      <c r="H416" s="328" t="n"/>
      <c r="I416" s="330" t="n"/>
      <c r="J416" s="331" t="n"/>
      <c r="K416" s="331" t="n"/>
      <c r="L416" s="331" t="n"/>
      <c r="M416" s="332" t="n"/>
      <c r="N416" s="302">
        <f>IF(L416&gt;0,M416/L416,"")</f>
        <v/>
      </c>
      <c r="O416" s="317">
        <f>IF(E416&gt;0,F416/E416*100,"")</f>
        <v/>
      </c>
      <c r="P416" s="275">
        <f>IF(COUNTA(A416:C416)=0,"",IF(OR(A416="",B416="",C416="",D416&lt;0,E416&lt;0,F416&lt;0,H416&lt;0,I416&lt;0,J416&lt;0,K416&lt;0,L416&lt;0),"ERRO: valores inválidos",IF(D416&lt;&gt;E416+K416,"ERRO: total inconsistente",IF(E416&lt;&gt;F416+G416,"ERRO: finalizados inconsistentes",IF(G416&lt;&gt;SUM(H416:J416),"ERRO: reprovações inconsistentes","OK")))))</f>
        <v/>
      </c>
    </row>
    <row r="417" ht="15" customHeight="1" s="131">
      <c r="A417" s="320" t="n"/>
      <c r="B417" s="323" t="n"/>
      <c r="C417" s="323" t="n"/>
      <c r="D417" s="328" t="n"/>
      <c r="E417" s="328" t="n"/>
      <c r="F417" s="328" t="n"/>
      <c r="G417" s="329">
        <f>IF(COUNTA(A417:C417)=0,"",SUM(H417:J417))</f>
        <v/>
      </c>
      <c r="H417" s="328" t="n"/>
      <c r="I417" s="330" t="n"/>
      <c r="J417" s="331" t="n"/>
      <c r="K417" s="331" t="n"/>
      <c r="L417" s="331" t="n"/>
      <c r="M417" s="332" t="n"/>
      <c r="N417" s="302">
        <f>IF(L417&gt;0,M417/L417,"")</f>
        <v/>
      </c>
      <c r="O417" s="317">
        <f>IF(E417&gt;0,F417/E417*100,"")</f>
        <v/>
      </c>
      <c r="P417" s="275">
        <f>IF(COUNTA(A417:C417)=0,"",IF(OR(A417="",B417="",C417="",D417&lt;0,E417&lt;0,F417&lt;0,H417&lt;0,I417&lt;0,J417&lt;0,K417&lt;0,L417&lt;0),"ERRO: valores inválidos",IF(D417&lt;&gt;E417+K417,"ERRO: total inconsistente",IF(E417&lt;&gt;F417+G417,"ERRO: finalizados inconsistentes",IF(G417&lt;&gt;SUM(H417:J417),"ERRO: reprovações inconsistentes","OK")))))</f>
        <v/>
      </c>
    </row>
    <row r="418" ht="15" customHeight="1" s="131">
      <c r="A418" s="320" t="n"/>
      <c r="B418" s="323" t="n"/>
      <c r="C418" s="323" t="n"/>
      <c r="D418" s="328" t="n"/>
      <c r="E418" s="328" t="n"/>
      <c r="F418" s="328" t="n"/>
      <c r="G418" s="329">
        <f>IF(COUNTA(A418:C418)=0,"",SUM(H418:J418))</f>
        <v/>
      </c>
      <c r="H418" s="328" t="n"/>
      <c r="I418" s="330" t="n"/>
      <c r="J418" s="331" t="n"/>
      <c r="K418" s="331" t="n"/>
      <c r="L418" s="331" t="n"/>
      <c r="M418" s="332" t="n"/>
      <c r="N418" s="302">
        <f>IF(L418&gt;0,M418/L418,"")</f>
        <v/>
      </c>
      <c r="O418" s="317">
        <f>IF(E418&gt;0,F418/E418*100,"")</f>
        <v/>
      </c>
      <c r="P418" s="275">
        <f>IF(COUNTA(A418:C418)=0,"",IF(OR(A418="",B418="",C418="",D418&lt;0,E418&lt;0,F418&lt;0,H418&lt;0,I418&lt;0,J418&lt;0,K418&lt;0,L418&lt;0),"ERRO: valores inválidos",IF(D418&lt;&gt;E418+K418,"ERRO: total inconsistente",IF(E418&lt;&gt;F418+G418,"ERRO: finalizados inconsistentes",IF(G418&lt;&gt;SUM(H418:J418),"ERRO: reprovações inconsistentes","OK")))))</f>
        <v/>
      </c>
    </row>
    <row r="419" ht="15" customHeight="1" s="131">
      <c r="A419" s="320" t="n"/>
      <c r="B419" s="323" t="n"/>
      <c r="C419" s="323" t="n"/>
      <c r="D419" s="328" t="n"/>
      <c r="E419" s="328" t="n"/>
      <c r="F419" s="328" t="n"/>
      <c r="G419" s="329">
        <f>IF(COUNTA(A419:C419)=0,"",SUM(H419:J419))</f>
        <v/>
      </c>
      <c r="H419" s="328" t="n"/>
      <c r="I419" s="330" t="n"/>
      <c r="J419" s="331" t="n"/>
      <c r="K419" s="331" t="n"/>
      <c r="L419" s="331" t="n"/>
      <c r="M419" s="332" t="n"/>
      <c r="N419" s="302">
        <f>IF(L419&gt;0,M419/L419,"")</f>
        <v/>
      </c>
      <c r="O419" s="317">
        <f>IF(E419&gt;0,F419/E419*100,"")</f>
        <v/>
      </c>
      <c r="P419" s="275">
        <f>IF(COUNTA(A419:C419)=0,"",IF(OR(A419="",B419="",C419="",D419&lt;0,E419&lt;0,F419&lt;0,H419&lt;0,I419&lt;0,J419&lt;0,K419&lt;0,L419&lt;0),"ERRO: valores inválidos",IF(D419&lt;&gt;E419+K419,"ERRO: total inconsistente",IF(E419&lt;&gt;F419+G419,"ERRO: finalizados inconsistentes",IF(G419&lt;&gt;SUM(H419:J419),"ERRO: reprovações inconsistentes","OK")))))</f>
        <v/>
      </c>
    </row>
    <row r="420" ht="15" customHeight="1" s="131">
      <c r="A420" s="320" t="n"/>
      <c r="B420" s="323" t="n"/>
      <c r="C420" s="323" t="n"/>
      <c r="D420" s="328" t="n"/>
      <c r="E420" s="328" t="n"/>
      <c r="F420" s="328" t="n"/>
      <c r="G420" s="329">
        <f>IF(COUNTA(A420:C420)=0,"",SUM(H420:J420))</f>
        <v/>
      </c>
      <c r="H420" s="328" t="n"/>
      <c r="I420" s="330" t="n"/>
      <c r="J420" s="331" t="n"/>
      <c r="K420" s="331" t="n"/>
      <c r="L420" s="331" t="n"/>
      <c r="M420" s="332" t="n"/>
      <c r="N420" s="302">
        <f>IF(L420&gt;0,M420/L420,"")</f>
        <v/>
      </c>
      <c r="O420" s="317">
        <f>IF(E420&gt;0,F420/E420*100,"")</f>
        <v/>
      </c>
      <c r="P420" s="275">
        <f>IF(COUNTA(A420:C420)=0,"",IF(OR(A420="",B420="",C420="",D420&lt;0,E420&lt;0,F420&lt;0,H420&lt;0,I420&lt;0,J420&lt;0,K420&lt;0,L420&lt;0),"ERRO: valores inválidos",IF(D420&lt;&gt;E420+K420,"ERRO: total inconsistente",IF(E420&lt;&gt;F420+G420,"ERRO: finalizados inconsistentes",IF(G420&lt;&gt;SUM(H420:J420),"ERRO: reprovações inconsistentes","OK")))))</f>
        <v/>
      </c>
    </row>
    <row r="421" ht="15" customHeight="1" s="131">
      <c r="A421" s="320" t="n"/>
      <c r="B421" s="323" t="n"/>
      <c r="C421" s="323" t="n"/>
      <c r="D421" s="328" t="n"/>
      <c r="E421" s="328" t="n"/>
      <c r="F421" s="328" t="n"/>
      <c r="G421" s="329">
        <f>IF(COUNTA(A421:C421)=0,"",SUM(H421:J421))</f>
        <v/>
      </c>
      <c r="H421" s="328" t="n"/>
      <c r="I421" s="330" t="n"/>
      <c r="J421" s="331" t="n"/>
      <c r="K421" s="331" t="n"/>
      <c r="L421" s="331" t="n"/>
      <c r="M421" s="332" t="n"/>
      <c r="N421" s="302">
        <f>IF(L421&gt;0,M421/L421,"")</f>
        <v/>
      </c>
      <c r="O421" s="317">
        <f>IF(E421&gt;0,F421/E421*100,"")</f>
        <v/>
      </c>
      <c r="P421" s="275">
        <f>IF(COUNTA(A421:C421)=0,"",IF(OR(A421="",B421="",C421="",D421&lt;0,E421&lt;0,F421&lt;0,H421&lt;0,I421&lt;0,J421&lt;0,K421&lt;0,L421&lt;0),"ERRO: valores inválidos",IF(D421&lt;&gt;E421+K421,"ERRO: total inconsistente",IF(E421&lt;&gt;F421+G421,"ERRO: finalizados inconsistentes",IF(G421&lt;&gt;SUM(H421:J421),"ERRO: reprovações inconsistentes","OK")))))</f>
        <v/>
      </c>
    </row>
    <row r="422" ht="15" customHeight="1" s="131">
      <c r="A422" s="320" t="n"/>
      <c r="B422" s="323" t="n"/>
      <c r="C422" s="323" t="n"/>
      <c r="D422" s="328" t="n"/>
      <c r="E422" s="328" t="n"/>
      <c r="F422" s="328" t="n"/>
      <c r="G422" s="329">
        <f>IF(COUNTA(A422:C422)=0,"",SUM(H422:J422))</f>
        <v/>
      </c>
      <c r="H422" s="328" t="n"/>
      <c r="I422" s="330" t="n"/>
      <c r="J422" s="331" t="n"/>
      <c r="K422" s="331" t="n"/>
      <c r="L422" s="331" t="n"/>
      <c r="M422" s="332" t="n"/>
      <c r="N422" s="302">
        <f>IF(L422&gt;0,M422/L422,"")</f>
        <v/>
      </c>
      <c r="O422" s="317">
        <f>IF(E422&gt;0,F422/E422*100,"")</f>
        <v/>
      </c>
      <c r="P422" s="275">
        <f>IF(COUNTA(A422:C422)=0,"",IF(OR(A422="",B422="",C422="",D422&lt;0,E422&lt;0,F422&lt;0,H422&lt;0,I422&lt;0,J422&lt;0,K422&lt;0,L422&lt;0),"ERRO: valores inválidos",IF(D422&lt;&gt;E422+K422,"ERRO: total inconsistente",IF(E422&lt;&gt;F422+G422,"ERRO: finalizados inconsistentes",IF(G422&lt;&gt;SUM(H422:J422),"ERRO: reprovações inconsistentes","OK")))))</f>
        <v/>
      </c>
    </row>
    <row r="423" ht="15" customHeight="1" s="131">
      <c r="A423" s="320" t="n"/>
      <c r="B423" s="323" t="n"/>
      <c r="C423" s="323" t="n"/>
      <c r="D423" s="328" t="n"/>
      <c r="E423" s="328" t="n"/>
      <c r="F423" s="328" t="n"/>
      <c r="G423" s="329">
        <f>IF(COUNTA(A423:C423)=0,"",SUM(H423:J423))</f>
        <v/>
      </c>
      <c r="H423" s="328" t="n"/>
      <c r="I423" s="330" t="n"/>
      <c r="J423" s="331" t="n"/>
      <c r="K423" s="331" t="n"/>
      <c r="L423" s="331" t="n"/>
      <c r="M423" s="332" t="n"/>
      <c r="N423" s="302">
        <f>IF(L423&gt;0,M423/L423,"")</f>
        <v/>
      </c>
      <c r="O423" s="317">
        <f>IF(E423&gt;0,F423/E423*100,"")</f>
        <v/>
      </c>
      <c r="P423" s="275">
        <f>IF(COUNTA(A423:C423)=0,"",IF(OR(A423="",B423="",C423="",D423&lt;0,E423&lt;0,F423&lt;0,H423&lt;0,I423&lt;0,J423&lt;0,K423&lt;0,L423&lt;0),"ERRO: valores inválidos",IF(D423&lt;&gt;E423+K423,"ERRO: total inconsistente",IF(E423&lt;&gt;F423+G423,"ERRO: finalizados inconsistentes",IF(G423&lt;&gt;SUM(H423:J423),"ERRO: reprovações inconsistentes","OK")))))</f>
        <v/>
      </c>
    </row>
    <row r="424" ht="15" customHeight="1" s="131">
      <c r="A424" s="320" t="n"/>
      <c r="B424" s="323" t="n"/>
      <c r="C424" s="323" t="n"/>
      <c r="D424" s="328" t="n"/>
      <c r="E424" s="328" t="n"/>
      <c r="F424" s="328" t="n"/>
      <c r="G424" s="329">
        <f>IF(COUNTA(A424:C424)=0,"",SUM(H424:J424))</f>
        <v/>
      </c>
      <c r="H424" s="328" t="n"/>
      <c r="I424" s="330" t="n"/>
      <c r="J424" s="331" t="n"/>
      <c r="K424" s="331" t="n"/>
      <c r="L424" s="331" t="n"/>
      <c r="M424" s="332" t="n"/>
      <c r="N424" s="302">
        <f>IF(L424&gt;0,M424/L424,"")</f>
        <v/>
      </c>
      <c r="O424" s="317">
        <f>IF(E424&gt;0,F424/E424*100,"")</f>
        <v/>
      </c>
      <c r="P424" s="275">
        <f>IF(COUNTA(A424:C424)=0,"",IF(OR(A424="",B424="",C424="",D424&lt;0,E424&lt;0,F424&lt;0,H424&lt;0,I424&lt;0,J424&lt;0,K424&lt;0,L424&lt;0),"ERRO: valores inválidos",IF(D424&lt;&gt;E424+K424,"ERRO: total inconsistente",IF(E424&lt;&gt;F424+G424,"ERRO: finalizados inconsistentes",IF(G424&lt;&gt;SUM(H424:J424),"ERRO: reprovações inconsistentes","OK")))))</f>
        <v/>
      </c>
    </row>
    <row r="425" ht="15" customHeight="1" s="131">
      <c r="A425" s="320" t="n"/>
      <c r="B425" s="323" t="n"/>
      <c r="C425" s="323" t="n"/>
      <c r="D425" s="328" t="n"/>
      <c r="E425" s="328" t="n"/>
      <c r="F425" s="328" t="n"/>
      <c r="G425" s="329">
        <f>IF(COUNTA(A425:C425)=0,"",SUM(H425:J425))</f>
        <v/>
      </c>
      <c r="H425" s="328" t="n"/>
      <c r="I425" s="330" t="n"/>
      <c r="J425" s="331" t="n"/>
      <c r="K425" s="331" t="n"/>
      <c r="L425" s="331" t="n"/>
      <c r="M425" s="332" t="n"/>
      <c r="N425" s="302">
        <f>IF(L425&gt;0,M425/L425,"")</f>
        <v/>
      </c>
      <c r="O425" s="317">
        <f>IF(E425&gt;0,F425/E425*100,"")</f>
        <v/>
      </c>
      <c r="P425" s="275">
        <f>IF(COUNTA(A425:C425)=0,"",IF(OR(A425="",B425="",C425="",D425&lt;0,E425&lt;0,F425&lt;0,H425&lt;0,I425&lt;0,J425&lt;0,K425&lt;0,L425&lt;0),"ERRO: valores inválidos",IF(D425&lt;&gt;E425+K425,"ERRO: total inconsistente",IF(E425&lt;&gt;F425+G425,"ERRO: finalizados inconsistentes",IF(G425&lt;&gt;SUM(H425:J425),"ERRO: reprovações inconsistentes","OK")))))</f>
        <v/>
      </c>
    </row>
    <row r="426" ht="15" customHeight="1" s="131">
      <c r="A426" s="320" t="n"/>
      <c r="B426" s="323" t="n"/>
      <c r="C426" s="323" t="n"/>
      <c r="D426" s="328" t="n"/>
      <c r="E426" s="328" t="n"/>
      <c r="F426" s="328" t="n"/>
      <c r="G426" s="329">
        <f>IF(COUNTA(A426:C426)=0,"",SUM(H426:J426))</f>
        <v/>
      </c>
      <c r="H426" s="328" t="n"/>
      <c r="I426" s="330" t="n"/>
      <c r="J426" s="331" t="n"/>
      <c r="K426" s="331" t="n"/>
      <c r="L426" s="331" t="n"/>
      <c r="M426" s="332" t="n"/>
      <c r="N426" s="302">
        <f>IF(L426&gt;0,M426/L426,"")</f>
        <v/>
      </c>
      <c r="O426" s="317">
        <f>IF(E426&gt;0,F426/E426*100,"")</f>
        <v/>
      </c>
      <c r="P426" s="275">
        <f>IF(COUNTA(A426:C426)=0,"",IF(OR(A426="",B426="",C426="",D426&lt;0,E426&lt;0,F426&lt;0,H426&lt;0,I426&lt;0,J426&lt;0,K426&lt;0,L426&lt;0),"ERRO: valores inválidos",IF(D426&lt;&gt;E426+K426,"ERRO: total inconsistente",IF(E426&lt;&gt;F426+G426,"ERRO: finalizados inconsistentes",IF(G426&lt;&gt;SUM(H426:J426),"ERRO: reprovações inconsistentes","OK")))))</f>
        <v/>
      </c>
    </row>
    <row r="427" ht="15" customHeight="1" s="131">
      <c r="A427" s="320" t="n"/>
      <c r="B427" s="323" t="n"/>
      <c r="C427" s="323" t="n"/>
      <c r="D427" s="328" t="n"/>
      <c r="E427" s="328" t="n"/>
      <c r="F427" s="328" t="n"/>
      <c r="G427" s="329">
        <f>IF(COUNTA(A427:C427)=0,"",SUM(H427:J427))</f>
        <v/>
      </c>
      <c r="H427" s="328" t="n"/>
      <c r="I427" s="330" t="n"/>
      <c r="J427" s="331" t="n"/>
      <c r="K427" s="331" t="n"/>
      <c r="L427" s="331" t="n"/>
      <c r="M427" s="332" t="n"/>
      <c r="N427" s="302">
        <f>IF(L427&gt;0,M427/L427,"")</f>
        <v/>
      </c>
      <c r="O427" s="317">
        <f>IF(E427&gt;0,F427/E427*100,"")</f>
        <v/>
      </c>
      <c r="P427" s="275">
        <f>IF(COUNTA(A427:C427)=0,"",IF(OR(A427="",B427="",C427="",D427&lt;0,E427&lt;0,F427&lt;0,H427&lt;0,I427&lt;0,J427&lt;0,K427&lt;0,L427&lt;0),"ERRO: valores inválidos",IF(D427&lt;&gt;E427+K427,"ERRO: total inconsistente",IF(E427&lt;&gt;F427+G427,"ERRO: finalizados inconsistentes",IF(G427&lt;&gt;SUM(H427:J427),"ERRO: reprovações inconsistentes","OK")))))</f>
        <v/>
      </c>
    </row>
    <row r="428" ht="15" customHeight="1" s="131">
      <c r="A428" s="320" t="n"/>
      <c r="B428" s="323" t="n"/>
      <c r="C428" s="323" t="n"/>
      <c r="D428" s="328" t="n"/>
      <c r="E428" s="328" t="n"/>
      <c r="F428" s="328" t="n"/>
      <c r="G428" s="329">
        <f>IF(COUNTA(A428:C428)=0,"",SUM(H428:J428))</f>
        <v/>
      </c>
      <c r="H428" s="328" t="n"/>
      <c r="I428" s="330" t="n"/>
      <c r="J428" s="331" t="n"/>
      <c r="K428" s="331" t="n"/>
      <c r="L428" s="331" t="n"/>
      <c r="M428" s="332" t="n"/>
      <c r="N428" s="302">
        <f>IF(L428&gt;0,M428/L428,"")</f>
        <v/>
      </c>
      <c r="O428" s="317">
        <f>IF(E428&gt;0,F428/E428*100,"")</f>
        <v/>
      </c>
      <c r="P428" s="275">
        <f>IF(COUNTA(A428:C428)=0,"",IF(OR(A428="",B428="",C428="",D428&lt;0,E428&lt;0,F428&lt;0,H428&lt;0,I428&lt;0,J428&lt;0,K428&lt;0,L428&lt;0),"ERRO: valores inválidos",IF(D428&lt;&gt;E428+K428,"ERRO: total inconsistente",IF(E428&lt;&gt;F428+G428,"ERRO: finalizados inconsistentes",IF(G428&lt;&gt;SUM(H428:J428),"ERRO: reprovações inconsistentes","OK")))))</f>
        <v/>
      </c>
    </row>
    <row r="429" ht="15" customHeight="1" s="131">
      <c r="A429" s="320" t="n"/>
      <c r="B429" s="323" t="n"/>
      <c r="C429" s="323" t="n"/>
      <c r="D429" s="328" t="n"/>
      <c r="E429" s="328" t="n"/>
      <c r="F429" s="328" t="n"/>
      <c r="G429" s="329">
        <f>IF(COUNTA(A429:C429)=0,"",SUM(H429:J429))</f>
        <v/>
      </c>
      <c r="H429" s="328" t="n"/>
      <c r="I429" s="330" t="n"/>
      <c r="J429" s="331" t="n"/>
      <c r="K429" s="331" t="n"/>
      <c r="L429" s="331" t="n"/>
      <c r="M429" s="332" t="n"/>
      <c r="N429" s="302">
        <f>IF(L429&gt;0,M429/L429,"")</f>
        <v/>
      </c>
      <c r="O429" s="317">
        <f>IF(E429&gt;0,F429/E429*100,"")</f>
        <v/>
      </c>
      <c r="P429" s="275">
        <f>IF(COUNTA(A429:C429)=0,"",IF(OR(A429="",B429="",C429="",D429&lt;0,E429&lt;0,F429&lt;0,H429&lt;0,I429&lt;0,J429&lt;0,K429&lt;0,L429&lt;0),"ERRO: valores inválidos",IF(D429&lt;&gt;E429+K429,"ERRO: total inconsistente",IF(E429&lt;&gt;F429+G429,"ERRO: finalizados inconsistentes",IF(G429&lt;&gt;SUM(H429:J429),"ERRO: reprovações inconsistentes","OK")))))</f>
        <v/>
      </c>
    </row>
    <row r="430" ht="15" customHeight="1" s="131">
      <c r="A430" s="320" t="n"/>
      <c r="B430" s="323" t="n"/>
      <c r="C430" s="323" t="n"/>
      <c r="D430" s="328" t="n"/>
      <c r="E430" s="328" t="n"/>
      <c r="F430" s="328" t="n"/>
      <c r="G430" s="329">
        <f>IF(COUNTA(A430:C430)=0,"",SUM(H430:J430))</f>
        <v/>
      </c>
      <c r="H430" s="328" t="n"/>
      <c r="I430" s="330" t="n"/>
      <c r="J430" s="331" t="n"/>
      <c r="K430" s="331" t="n"/>
      <c r="L430" s="331" t="n"/>
      <c r="M430" s="332" t="n"/>
      <c r="N430" s="302">
        <f>IF(L430&gt;0,M430/L430,"")</f>
        <v/>
      </c>
      <c r="O430" s="317">
        <f>IF(E430&gt;0,F430/E430*100,"")</f>
        <v/>
      </c>
      <c r="P430" s="275">
        <f>IF(COUNTA(A430:C430)=0,"",IF(OR(A430="",B430="",C430="",D430&lt;0,E430&lt;0,F430&lt;0,H430&lt;0,I430&lt;0,J430&lt;0,K430&lt;0,L430&lt;0),"ERRO: valores inválidos",IF(D430&lt;&gt;E430+K430,"ERRO: total inconsistente",IF(E430&lt;&gt;F430+G430,"ERRO: finalizados inconsistentes",IF(G430&lt;&gt;SUM(H430:J430),"ERRO: reprovações inconsistentes","OK")))))</f>
        <v/>
      </c>
    </row>
    <row r="431" ht="15" customHeight="1" s="131">
      <c r="A431" s="320" t="n"/>
      <c r="B431" s="323" t="n"/>
      <c r="C431" s="323" t="n"/>
      <c r="D431" s="328" t="n"/>
      <c r="E431" s="328" t="n"/>
      <c r="F431" s="328" t="n"/>
      <c r="G431" s="329">
        <f>IF(COUNTA(A431:C431)=0,"",SUM(H431:J431))</f>
        <v/>
      </c>
      <c r="H431" s="328" t="n"/>
      <c r="I431" s="330" t="n"/>
      <c r="J431" s="331" t="n"/>
      <c r="K431" s="331" t="n"/>
      <c r="L431" s="331" t="n"/>
      <c r="M431" s="332" t="n"/>
      <c r="N431" s="302">
        <f>IF(L431&gt;0,M431/L431,"")</f>
        <v/>
      </c>
      <c r="O431" s="317">
        <f>IF(E431&gt;0,F431/E431*100,"")</f>
        <v/>
      </c>
      <c r="P431" s="275">
        <f>IF(COUNTA(A431:C431)=0,"",IF(OR(A431="",B431="",C431="",D431&lt;0,E431&lt;0,F431&lt;0,H431&lt;0,I431&lt;0,J431&lt;0,K431&lt;0,L431&lt;0),"ERRO: valores inválidos",IF(D431&lt;&gt;E431+K431,"ERRO: total inconsistente",IF(E431&lt;&gt;F431+G431,"ERRO: finalizados inconsistentes",IF(G431&lt;&gt;SUM(H431:J431),"ERRO: reprovações inconsistentes","OK")))))</f>
        <v/>
      </c>
    </row>
    <row r="432" ht="15" customHeight="1" s="131">
      <c r="A432" s="320" t="n"/>
      <c r="B432" s="323" t="n"/>
      <c r="C432" s="323" t="n"/>
      <c r="D432" s="328" t="n"/>
      <c r="E432" s="328" t="n"/>
      <c r="F432" s="328" t="n"/>
      <c r="G432" s="329">
        <f>IF(COUNTA(A432:C432)=0,"",SUM(H432:J432))</f>
        <v/>
      </c>
      <c r="H432" s="328" t="n"/>
      <c r="I432" s="330" t="n"/>
      <c r="J432" s="331" t="n"/>
      <c r="K432" s="331" t="n"/>
      <c r="L432" s="331" t="n"/>
      <c r="M432" s="332" t="n"/>
      <c r="N432" s="302">
        <f>IF(L432&gt;0,M432/L432,"")</f>
        <v/>
      </c>
      <c r="O432" s="317">
        <f>IF(E432&gt;0,F432/E432*100,"")</f>
        <v/>
      </c>
      <c r="P432" s="275">
        <f>IF(COUNTA(A432:C432)=0,"",IF(OR(A432="",B432="",C432="",D432&lt;0,E432&lt;0,F432&lt;0,H432&lt;0,I432&lt;0,J432&lt;0,K432&lt;0,L432&lt;0),"ERRO: valores inválidos",IF(D432&lt;&gt;E432+K432,"ERRO: total inconsistente",IF(E432&lt;&gt;F432+G432,"ERRO: finalizados inconsistentes",IF(G432&lt;&gt;SUM(H432:J432),"ERRO: reprovações inconsistentes","OK")))))</f>
        <v/>
      </c>
    </row>
    <row r="433" ht="15" customHeight="1" s="131">
      <c r="A433" s="320" t="n"/>
      <c r="B433" s="323" t="n"/>
      <c r="C433" s="323" t="n"/>
      <c r="D433" s="328" t="n"/>
      <c r="E433" s="328" t="n"/>
      <c r="F433" s="328" t="n"/>
      <c r="G433" s="329">
        <f>IF(COUNTA(A433:C433)=0,"",SUM(H433:J433))</f>
        <v/>
      </c>
      <c r="H433" s="328" t="n"/>
      <c r="I433" s="330" t="n"/>
      <c r="J433" s="331" t="n"/>
      <c r="K433" s="331" t="n"/>
      <c r="L433" s="331" t="n"/>
      <c r="M433" s="332" t="n"/>
      <c r="N433" s="302">
        <f>IF(L433&gt;0,M433/L433,"")</f>
        <v/>
      </c>
      <c r="O433" s="317">
        <f>IF(E433&gt;0,F433/E433*100,"")</f>
        <v/>
      </c>
      <c r="P433" s="275">
        <f>IF(COUNTA(A433:C433)=0,"",IF(OR(A433="",B433="",C433="",D433&lt;0,E433&lt;0,F433&lt;0,H433&lt;0,I433&lt;0,J433&lt;0,K433&lt;0,L433&lt;0),"ERRO: valores inválidos",IF(D433&lt;&gt;E433+K433,"ERRO: total inconsistente",IF(E433&lt;&gt;F433+G433,"ERRO: finalizados inconsistentes",IF(G433&lt;&gt;SUM(H433:J433),"ERRO: reprovações inconsistentes","OK")))))</f>
        <v/>
      </c>
    </row>
    <row r="434" ht="15" customHeight="1" s="131">
      <c r="A434" s="320" t="n"/>
      <c r="B434" s="323" t="n"/>
      <c r="C434" s="323" t="n"/>
      <c r="D434" s="328" t="n"/>
      <c r="E434" s="328" t="n"/>
      <c r="F434" s="328" t="n"/>
      <c r="G434" s="329">
        <f>IF(COUNTA(A434:C434)=0,"",SUM(H434:J434))</f>
        <v/>
      </c>
      <c r="H434" s="328" t="n"/>
      <c r="I434" s="330" t="n"/>
      <c r="J434" s="331" t="n"/>
      <c r="K434" s="331" t="n"/>
      <c r="L434" s="331" t="n"/>
      <c r="M434" s="332" t="n"/>
      <c r="N434" s="302">
        <f>IF(L434&gt;0,M434/L434,"")</f>
        <v/>
      </c>
      <c r="O434" s="317">
        <f>IF(E434&gt;0,F434/E434*100,"")</f>
        <v/>
      </c>
      <c r="P434" s="275">
        <f>IF(COUNTA(A434:C434)=0,"",IF(OR(A434="",B434="",C434="",D434&lt;0,E434&lt;0,F434&lt;0,H434&lt;0,I434&lt;0,J434&lt;0,K434&lt;0,L434&lt;0),"ERRO: valores inválidos",IF(D434&lt;&gt;E434+K434,"ERRO: total inconsistente",IF(E434&lt;&gt;F434+G434,"ERRO: finalizados inconsistentes",IF(G434&lt;&gt;SUM(H434:J434),"ERRO: reprovações inconsistentes","OK")))))</f>
        <v/>
      </c>
    </row>
    <row r="435" ht="15" customHeight="1" s="131">
      <c r="A435" s="320" t="n"/>
      <c r="B435" s="323" t="n"/>
      <c r="C435" s="323" t="n"/>
      <c r="D435" s="328" t="n"/>
      <c r="E435" s="328" t="n"/>
      <c r="F435" s="328" t="n"/>
      <c r="G435" s="329">
        <f>IF(COUNTA(A435:C435)=0,"",SUM(H435:J435))</f>
        <v/>
      </c>
      <c r="H435" s="328" t="n"/>
      <c r="I435" s="330" t="n"/>
      <c r="J435" s="331" t="n"/>
      <c r="K435" s="331" t="n"/>
      <c r="L435" s="331" t="n"/>
      <c r="M435" s="332" t="n"/>
      <c r="N435" s="302">
        <f>IF(L435&gt;0,M435/L435,"")</f>
        <v/>
      </c>
      <c r="O435" s="317">
        <f>IF(E435&gt;0,F435/E435*100,"")</f>
        <v/>
      </c>
      <c r="P435" s="275">
        <f>IF(COUNTA(A435:C435)=0,"",IF(OR(A435="",B435="",C435="",D435&lt;0,E435&lt;0,F435&lt;0,H435&lt;0,I435&lt;0,J435&lt;0,K435&lt;0,L435&lt;0),"ERRO: valores inválidos",IF(D435&lt;&gt;E435+K435,"ERRO: total inconsistente",IF(E435&lt;&gt;F435+G435,"ERRO: finalizados inconsistentes",IF(G435&lt;&gt;SUM(H435:J435),"ERRO: reprovações inconsistentes","OK")))))</f>
        <v/>
      </c>
    </row>
    <row r="436" ht="15" customHeight="1" s="131">
      <c r="A436" s="320" t="n"/>
      <c r="B436" s="323" t="n"/>
      <c r="C436" s="323" t="n"/>
      <c r="D436" s="328" t="n"/>
      <c r="E436" s="328" t="n"/>
      <c r="F436" s="328" t="n"/>
      <c r="G436" s="329">
        <f>IF(COUNTA(A436:C436)=0,"",SUM(H436:J436))</f>
        <v/>
      </c>
      <c r="H436" s="328" t="n"/>
      <c r="I436" s="330" t="n"/>
      <c r="J436" s="331" t="n"/>
      <c r="K436" s="331" t="n"/>
      <c r="L436" s="331" t="n"/>
      <c r="M436" s="332" t="n"/>
      <c r="N436" s="302">
        <f>IF(L436&gt;0,M436/L436,"")</f>
        <v/>
      </c>
      <c r="O436" s="317">
        <f>IF(E436&gt;0,F436/E436*100,"")</f>
        <v/>
      </c>
      <c r="P436" s="275">
        <f>IF(COUNTA(A436:C436)=0,"",IF(OR(A436="",B436="",C436="",D436&lt;0,E436&lt;0,F436&lt;0,H436&lt;0,I436&lt;0,J436&lt;0,K436&lt;0,L436&lt;0),"ERRO: valores inválidos",IF(D436&lt;&gt;E436+K436,"ERRO: total inconsistente",IF(E436&lt;&gt;F436+G436,"ERRO: finalizados inconsistentes",IF(G436&lt;&gt;SUM(H436:J436),"ERRO: reprovações inconsistentes","OK")))))</f>
        <v/>
      </c>
    </row>
    <row r="437" ht="15" customHeight="1" s="131">
      <c r="A437" s="320" t="n"/>
      <c r="B437" s="323" t="n"/>
      <c r="C437" s="323" t="n"/>
      <c r="D437" s="328" t="n"/>
      <c r="E437" s="328" t="n"/>
      <c r="F437" s="328" t="n"/>
      <c r="G437" s="329">
        <f>IF(COUNTA(A437:C437)=0,"",SUM(H437:J437))</f>
        <v/>
      </c>
      <c r="H437" s="328" t="n"/>
      <c r="I437" s="330" t="n"/>
      <c r="J437" s="331" t="n"/>
      <c r="K437" s="331" t="n"/>
      <c r="L437" s="331" t="n"/>
      <c r="M437" s="332" t="n"/>
      <c r="N437" s="302">
        <f>IF(L437&gt;0,M437/L437,"")</f>
        <v/>
      </c>
      <c r="O437" s="317">
        <f>IF(E437&gt;0,F437/E437*100,"")</f>
        <v/>
      </c>
      <c r="P437" s="275">
        <f>IF(COUNTA(A437:C437)=0,"",IF(OR(A437="",B437="",C437="",D437&lt;0,E437&lt;0,F437&lt;0,H437&lt;0,I437&lt;0,J437&lt;0,K437&lt;0,L437&lt;0),"ERRO: valores inválidos",IF(D437&lt;&gt;E437+K437,"ERRO: total inconsistente",IF(E437&lt;&gt;F437+G437,"ERRO: finalizados inconsistentes",IF(G437&lt;&gt;SUM(H437:J437),"ERRO: reprovações inconsistentes","OK")))))</f>
        <v/>
      </c>
    </row>
    <row r="438" ht="15" customHeight="1" s="131">
      <c r="A438" s="320" t="n"/>
      <c r="B438" s="323" t="n"/>
      <c r="C438" s="323" t="n"/>
      <c r="D438" s="328" t="n"/>
      <c r="E438" s="328" t="n"/>
      <c r="F438" s="328" t="n"/>
      <c r="G438" s="329">
        <f>IF(COUNTA(A438:C438)=0,"",SUM(H438:J438))</f>
        <v/>
      </c>
      <c r="H438" s="328" t="n"/>
      <c r="I438" s="330" t="n"/>
      <c r="J438" s="331" t="n"/>
      <c r="K438" s="331" t="n"/>
      <c r="L438" s="331" t="n"/>
      <c r="M438" s="332" t="n"/>
      <c r="N438" s="302">
        <f>IF(L438&gt;0,M438/L438,"")</f>
        <v/>
      </c>
      <c r="O438" s="317">
        <f>IF(E438&gt;0,F438/E438*100,"")</f>
        <v/>
      </c>
      <c r="P438" s="275">
        <f>IF(COUNTA(A438:C438)=0,"",IF(OR(A438="",B438="",C438="",D438&lt;0,E438&lt;0,F438&lt;0,H438&lt;0,I438&lt;0,J438&lt;0,K438&lt;0,L438&lt;0),"ERRO: valores inválidos",IF(D438&lt;&gt;E438+K438,"ERRO: total inconsistente",IF(E438&lt;&gt;F438+G438,"ERRO: finalizados inconsistentes",IF(G438&lt;&gt;SUM(H438:J438),"ERRO: reprovações inconsistentes","OK")))))</f>
        <v/>
      </c>
    </row>
    <row r="439" ht="15" customHeight="1" s="131">
      <c r="A439" s="320" t="n"/>
      <c r="B439" s="323" t="n"/>
      <c r="C439" s="323" t="n"/>
      <c r="D439" s="328" t="n"/>
      <c r="E439" s="328" t="n"/>
      <c r="F439" s="328" t="n"/>
      <c r="G439" s="329">
        <f>IF(COUNTA(A439:C439)=0,"",SUM(H439:J439))</f>
        <v/>
      </c>
      <c r="H439" s="328" t="n"/>
      <c r="I439" s="330" t="n"/>
      <c r="J439" s="331" t="n"/>
      <c r="K439" s="331" t="n"/>
      <c r="L439" s="331" t="n"/>
      <c r="M439" s="332" t="n"/>
      <c r="N439" s="302">
        <f>IF(L439&gt;0,M439/L439,"")</f>
        <v/>
      </c>
      <c r="O439" s="317">
        <f>IF(E439&gt;0,F439/E439*100,"")</f>
        <v/>
      </c>
      <c r="P439" s="275">
        <f>IF(COUNTA(A439:C439)=0,"",IF(OR(A439="",B439="",C439="",D439&lt;0,E439&lt;0,F439&lt;0,H439&lt;0,I439&lt;0,J439&lt;0,K439&lt;0,L439&lt;0),"ERRO: valores inválidos",IF(D439&lt;&gt;E439+K439,"ERRO: total inconsistente",IF(E439&lt;&gt;F439+G439,"ERRO: finalizados inconsistentes",IF(G439&lt;&gt;SUM(H439:J439),"ERRO: reprovações inconsistentes","OK")))))</f>
        <v/>
      </c>
    </row>
    <row r="440" ht="15" customHeight="1" s="131">
      <c r="A440" s="320" t="n"/>
      <c r="B440" s="323" t="n"/>
      <c r="C440" s="323" t="n"/>
      <c r="D440" s="328" t="n"/>
      <c r="E440" s="328" t="n"/>
      <c r="F440" s="328" t="n"/>
      <c r="G440" s="329">
        <f>IF(COUNTA(A440:C440)=0,"",SUM(H440:J440))</f>
        <v/>
      </c>
      <c r="H440" s="328" t="n"/>
      <c r="I440" s="330" t="n"/>
      <c r="J440" s="331" t="n"/>
      <c r="K440" s="331" t="n"/>
      <c r="L440" s="331" t="n"/>
      <c r="M440" s="332" t="n"/>
      <c r="N440" s="302">
        <f>IF(L440&gt;0,M440/L440,"")</f>
        <v/>
      </c>
      <c r="O440" s="317">
        <f>IF(E440&gt;0,F440/E440*100,"")</f>
        <v/>
      </c>
      <c r="P440" s="275">
        <f>IF(COUNTA(A440:C440)=0,"",IF(OR(A440="",B440="",C440="",D440&lt;0,E440&lt;0,F440&lt;0,H440&lt;0,I440&lt;0,J440&lt;0,K440&lt;0,L440&lt;0),"ERRO: valores inválidos",IF(D440&lt;&gt;E440+K440,"ERRO: total inconsistente",IF(E440&lt;&gt;F440+G440,"ERRO: finalizados inconsistentes",IF(G440&lt;&gt;SUM(H440:J440),"ERRO: reprovações inconsistentes","OK")))))</f>
        <v/>
      </c>
    </row>
    <row r="441" ht="15" customHeight="1" s="131">
      <c r="A441" s="320" t="n"/>
      <c r="B441" s="323" t="n"/>
      <c r="C441" s="323" t="n"/>
      <c r="D441" s="328" t="n"/>
      <c r="E441" s="328" t="n"/>
      <c r="F441" s="328" t="n"/>
      <c r="G441" s="329">
        <f>IF(COUNTA(A441:C441)=0,"",SUM(H441:J441))</f>
        <v/>
      </c>
      <c r="H441" s="328" t="n"/>
      <c r="I441" s="330" t="n"/>
      <c r="J441" s="331" t="n"/>
      <c r="K441" s="331" t="n"/>
      <c r="L441" s="331" t="n"/>
      <c r="M441" s="332" t="n"/>
      <c r="N441" s="302">
        <f>IF(L441&gt;0,M441/L441,"")</f>
        <v/>
      </c>
      <c r="O441" s="317">
        <f>IF(E441&gt;0,F441/E441*100,"")</f>
        <v/>
      </c>
      <c r="P441" s="275">
        <f>IF(COUNTA(A441:C441)=0,"",IF(OR(A441="",B441="",C441="",D441&lt;0,E441&lt;0,F441&lt;0,H441&lt;0,I441&lt;0,J441&lt;0,K441&lt;0,L441&lt;0),"ERRO: valores inválidos",IF(D441&lt;&gt;E441+K441,"ERRO: total inconsistente",IF(E441&lt;&gt;F441+G441,"ERRO: finalizados inconsistentes",IF(G441&lt;&gt;SUM(H441:J441),"ERRO: reprovações inconsistentes","OK")))))</f>
        <v/>
      </c>
    </row>
    <row r="442" ht="15" customHeight="1" s="131">
      <c r="A442" s="320" t="n"/>
      <c r="B442" s="323" t="n"/>
      <c r="C442" s="323" t="n"/>
      <c r="D442" s="328" t="n"/>
      <c r="E442" s="328" t="n"/>
      <c r="F442" s="328" t="n"/>
      <c r="G442" s="329">
        <f>IF(COUNTA(A442:C442)=0,"",SUM(H442:J442))</f>
        <v/>
      </c>
      <c r="H442" s="328" t="n"/>
      <c r="I442" s="330" t="n"/>
      <c r="J442" s="331" t="n"/>
      <c r="K442" s="331" t="n"/>
      <c r="L442" s="331" t="n"/>
      <c r="M442" s="332" t="n"/>
      <c r="N442" s="302">
        <f>IF(L442&gt;0,M442/L442,"")</f>
        <v/>
      </c>
      <c r="O442" s="317">
        <f>IF(E442&gt;0,F442/E442*100,"")</f>
        <v/>
      </c>
      <c r="P442" s="275">
        <f>IF(COUNTA(A442:C442)=0,"",IF(OR(A442="",B442="",C442="",D442&lt;0,E442&lt;0,F442&lt;0,H442&lt;0,I442&lt;0,J442&lt;0,K442&lt;0,L442&lt;0),"ERRO: valores inválidos",IF(D442&lt;&gt;E442+K442,"ERRO: total inconsistente",IF(E442&lt;&gt;F442+G442,"ERRO: finalizados inconsistentes",IF(G442&lt;&gt;SUM(H442:J442),"ERRO: reprovações inconsistentes","OK")))))</f>
        <v/>
      </c>
    </row>
    <row r="443" ht="15" customHeight="1" s="131">
      <c r="A443" s="320" t="n"/>
      <c r="B443" s="323" t="n"/>
      <c r="C443" s="323" t="n"/>
      <c r="D443" s="328" t="n"/>
      <c r="E443" s="328" t="n"/>
      <c r="F443" s="328" t="n"/>
      <c r="G443" s="329">
        <f>IF(COUNTA(A443:C443)=0,"",SUM(H443:J443))</f>
        <v/>
      </c>
      <c r="H443" s="328" t="n"/>
      <c r="I443" s="330" t="n"/>
      <c r="J443" s="331" t="n"/>
      <c r="K443" s="331" t="n"/>
      <c r="L443" s="331" t="n"/>
      <c r="M443" s="332" t="n"/>
      <c r="N443" s="302">
        <f>IF(L443&gt;0,M443/L443,"")</f>
        <v/>
      </c>
      <c r="O443" s="317">
        <f>IF(E443&gt;0,F443/E443*100,"")</f>
        <v/>
      </c>
      <c r="P443" s="275">
        <f>IF(COUNTA(A443:C443)=0,"",IF(OR(A443="",B443="",C443="",D443&lt;0,E443&lt;0,F443&lt;0,H443&lt;0,I443&lt;0,J443&lt;0,K443&lt;0,L443&lt;0),"ERRO: valores inválidos",IF(D443&lt;&gt;E443+K443,"ERRO: total inconsistente",IF(E443&lt;&gt;F443+G443,"ERRO: finalizados inconsistentes",IF(G443&lt;&gt;SUM(H443:J443),"ERRO: reprovações inconsistentes","OK")))))</f>
        <v/>
      </c>
    </row>
    <row r="444" ht="15" customHeight="1" s="131">
      <c r="A444" s="320" t="n"/>
      <c r="B444" s="323" t="n"/>
      <c r="C444" s="323" t="n"/>
      <c r="D444" s="328" t="n"/>
      <c r="E444" s="328" t="n"/>
      <c r="F444" s="328" t="n"/>
      <c r="G444" s="329">
        <f>IF(COUNTA(A444:C444)=0,"",SUM(H444:J444))</f>
        <v/>
      </c>
      <c r="H444" s="328" t="n"/>
      <c r="I444" s="330" t="n"/>
      <c r="J444" s="331" t="n"/>
      <c r="K444" s="331" t="n"/>
      <c r="L444" s="331" t="n"/>
      <c r="M444" s="332" t="n"/>
      <c r="N444" s="302">
        <f>IF(L444&gt;0,M444/L444,"")</f>
        <v/>
      </c>
      <c r="O444" s="317">
        <f>IF(E444&gt;0,F444/E444*100,"")</f>
        <v/>
      </c>
      <c r="P444" s="275">
        <f>IF(COUNTA(A444:C444)=0,"",IF(OR(A444="",B444="",C444="",D444&lt;0,E444&lt;0,F444&lt;0,H444&lt;0,I444&lt;0,J444&lt;0,K444&lt;0,L444&lt;0),"ERRO: valores inválidos",IF(D444&lt;&gt;E444+K444,"ERRO: total inconsistente",IF(E444&lt;&gt;F444+G444,"ERRO: finalizados inconsistentes",IF(G444&lt;&gt;SUM(H444:J444),"ERRO: reprovações inconsistentes","OK")))))</f>
        <v/>
      </c>
    </row>
    <row r="445" ht="15" customHeight="1" s="131">
      <c r="A445" s="320" t="n"/>
      <c r="B445" s="323" t="n"/>
      <c r="C445" s="323" t="n"/>
      <c r="D445" s="328" t="n"/>
      <c r="E445" s="328" t="n"/>
      <c r="F445" s="328" t="n"/>
      <c r="G445" s="329">
        <f>IF(COUNTA(A445:C445)=0,"",SUM(H445:J445))</f>
        <v/>
      </c>
      <c r="H445" s="328" t="n"/>
      <c r="I445" s="330" t="n"/>
      <c r="J445" s="331" t="n"/>
      <c r="K445" s="331" t="n"/>
      <c r="L445" s="331" t="n"/>
      <c r="M445" s="332" t="n"/>
      <c r="N445" s="302">
        <f>IF(L445&gt;0,M445/L445,"")</f>
        <v/>
      </c>
      <c r="O445" s="317">
        <f>IF(E445&gt;0,F445/E445*100,"")</f>
        <v/>
      </c>
      <c r="P445" s="275">
        <f>IF(COUNTA(A445:C445)=0,"",IF(OR(A445="",B445="",C445="",D445&lt;0,E445&lt;0,F445&lt;0,H445&lt;0,I445&lt;0,J445&lt;0,K445&lt;0,L445&lt;0),"ERRO: valores inválidos",IF(D445&lt;&gt;E445+K445,"ERRO: total inconsistente",IF(E445&lt;&gt;F445+G445,"ERRO: finalizados inconsistentes",IF(G445&lt;&gt;SUM(H445:J445),"ERRO: reprovações inconsistentes","OK")))))</f>
        <v/>
      </c>
    </row>
    <row r="446" ht="15" customHeight="1" s="131">
      <c r="A446" s="320" t="n"/>
      <c r="B446" s="323" t="n"/>
      <c r="C446" s="323" t="n"/>
      <c r="D446" s="328" t="n"/>
      <c r="E446" s="328" t="n"/>
      <c r="F446" s="328" t="n"/>
      <c r="G446" s="329">
        <f>IF(COUNTA(A446:C446)=0,"",SUM(H446:J446))</f>
        <v/>
      </c>
      <c r="H446" s="328" t="n"/>
      <c r="I446" s="330" t="n"/>
      <c r="J446" s="331" t="n"/>
      <c r="K446" s="331" t="n"/>
      <c r="L446" s="331" t="n"/>
      <c r="M446" s="332" t="n"/>
      <c r="N446" s="302">
        <f>IF(L446&gt;0,M446/L446,"")</f>
        <v/>
      </c>
      <c r="O446" s="317">
        <f>IF(E446&gt;0,F446/E446*100,"")</f>
        <v/>
      </c>
      <c r="P446" s="275">
        <f>IF(COUNTA(A446:C446)=0,"",IF(OR(A446="",B446="",C446="",D446&lt;0,E446&lt;0,F446&lt;0,H446&lt;0,I446&lt;0,J446&lt;0,K446&lt;0,L446&lt;0),"ERRO: valores inválidos",IF(D446&lt;&gt;E446+K446,"ERRO: total inconsistente",IF(E446&lt;&gt;F446+G446,"ERRO: finalizados inconsistentes",IF(G446&lt;&gt;SUM(H446:J446),"ERRO: reprovações inconsistentes","OK")))))</f>
        <v/>
      </c>
    </row>
    <row r="447" ht="15" customHeight="1" s="131">
      <c r="A447" s="320" t="n"/>
      <c r="B447" s="323" t="n"/>
      <c r="C447" s="323" t="n"/>
      <c r="D447" s="328" t="n"/>
      <c r="E447" s="328" t="n"/>
      <c r="F447" s="328" t="n"/>
      <c r="G447" s="329">
        <f>IF(COUNTA(A447:C447)=0,"",SUM(H447:J447))</f>
        <v/>
      </c>
      <c r="H447" s="328" t="n"/>
      <c r="I447" s="330" t="n"/>
      <c r="J447" s="331" t="n"/>
      <c r="K447" s="331" t="n"/>
      <c r="L447" s="331" t="n"/>
      <c r="M447" s="332" t="n"/>
      <c r="N447" s="302">
        <f>IF(L447&gt;0,M447/L447,"")</f>
        <v/>
      </c>
      <c r="O447" s="317">
        <f>IF(E447&gt;0,F447/E447*100,"")</f>
        <v/>
      </c>
      <c r="P447" s="275">
        <f>IF(COUNTA(A447:C447)=0,"",IF(OR(A447="",B447="",C447="",D447&lt;0,E447&lt;0,F447&lt;0,H447&lt;0,I447&lt;0,J447&lt;0,K447&lt;0,L447&lt;0),"ERRO: valores inválidos",IF(D447&lt;&gt;E447+K447,"ERRO: total inconsistente",IF(E447&lt;&gt;F447+G447,"ERRO: finalizados inconsistentes",IF(G447&lt;&gt;SUM(H447:J447),"ERRO: reprovações inconsistentes","OK")))))</f>
        <v/>
      </c>
    </row>
    <row r="448" ht="15" customHeight="1" s="131">
      <c r="A448" s="320" t="n"/>
      <c r="B448" s="323" t="n"/>
      <c r="C448" s="323" t="n"/>
      <c r="D448" s="328" t="n"/>
      <c r="E448" s="328" t="n"/>
      <c r="F448" s="328" t="n"/>
      <c r="G448" s="329">
        <f>IF(COUNTA(A448:C448)=0,"",SUM(H448:J448))</f>
        <v/>
      </c>
      <c r="H448" s="328" t="n"/>
      <c r="I448" s="330" t="n"/>
      <c r="J448" s="331" t="n"/>
      <c r="K448" s="331" t="n"/>
      <c r="L448" s="331" t="n"/>
      <c r="M448" s="332" t="n"/>
      <c r="N448" s="302">
        <f>IF(L448&gt;0,M448/L448,"")</f>
        <v/>
      </c>
      <c r="O448" s="317">
        <f>IF(E448&gt;0,F448/E448*100,"")</f>
        <v/>
      </c>
      <c r="P448" s="275">
        <f>IF(COUNTA(A448:C448)=0,"",IF(OR(A448="",B448="",C448="",D448&lt;0,E448&lt;0,F448&lt;0,H448&lt;0,I448&lt;0,J448&lt;0,K448&lt;0,L448&lt;0),"ERRO: valores inválidos",IF(D448&lt;&gt;E448+K448,"ERRO: total inconsistente",IF(E448&lt;&gt;F448+G448,"ERRO: finalizados inconsistentes",IF(G448&lt;&gt;SUM(H448:J448),"ERRO: reprovações inconsistentes","OK")))))</f>
        <v/>
      </c>
    </row>
    <row r="449" ht="15" customHeight="1" s="131">
      <c r="A449" s="320" t="n"/>
      <c r="B449" s="323" t="n"/>
      <c r="C449" s="323" t="n"/>
      <c r="D449" s="328" t="n"/>
      <c r="E449" s="328" t="n"/>
      <c r="F449" s="328" t="n"/>
      <c r="G449" s="329">
        <f>IF(COUNTA(A449:C449)=0,"",SUM(H449:J449))</f>
        <v/>
      </c>
      <c r="H449" s="328" t="n"/>
      <c r="I449" s="330" t="n"/>
      <c r="J449" s="331" t="n"/>
      <c r="K449" s="331" t="n"/>
      <c r="L449" s="331" t="n"/>
      <c r="M449" s="332" t="n"/>
      <c r="N449" s="302">
        <f>IF(L449&gt;0,M449/L449,"")</f>
        <v/>
      </c>
      <c r="O449" s="317">
        <f>IF(E449&gt;0,F449/E449*100,"")</f>
        <v/>
      </c>
      <c r="P449" s="275">
        <f>IF(COUNTA(A449:C449)=0,"",IF(OR(A449="",B449="",C449="",D449&lt;0,E449&lt;0,F449&lt;0,H449&lt;0,I449&lt;0,J449&lt;0,K449&lt;0,L449&lt;0),"ERRO: valores inválidos",IF(D449&lt;&gt;E449+K449,"ERRO: total inconsistente",IF(E449&lt;&gt;F449+G449,"ERRO: finalizados inconsistentes",IF(G449&lt;&gt;SUM(H449:J449),"ERRO: reprovações inconsistentes","OK")))))</f>
        <v/>
      </c>
    </row>
    <row r="450" ht="15" customHeight="1" s="131">
      <c r="A450" s="320" t="n"/>
      <c r="B450" s="323" t="n"/>
      <c r="C450" s="323" t="n"/>
      <c r="D450" s="328" t="n"/>
      <c r="E450" s="328" t="n"/>
      <c r="F450" s="328" t="n"/>
      <c r="G450" s="329">
        <f>IF(COUNTA(A450:C450)=0,"",SUM(H450:J450))</f>
        <v/>
      </c>
      <c r="H450" s="328" t="n"/>
      <c r="I450" s="330" t="n"/>
      <c r="J450" s="331" t="n"/>
      <c r="K450" s="331" t="n"/>
      <c r="L450" s="331" t="n"/>
      <c r="M450" s="332" t="n"/>
      <c r="N450" s="302">
        <f>IF(L450&gt;0,M450/L450,"")</f>
        <v/>
      </c>
      <c r="O450" s="317">
        <f>IF(E450&gt;0,F450/E450*100,"")</f>
        <v/>
      </c>
      <c r="P450" s="275">
        <f>IF(COUNTA(A450:C450)=0,"",IF(OR(A450="",B450="",C450="",D450&lt;0,E450&lt;0,F450&lt;0,H450&lt;0,I450&lt;0,J450&lt;0,K450&lt;0,L450&lt;0),"ERRO: valores inválidos",IF(D450&lt;&gt;E450+K450,"ERRO: total inconsistente",IF(E450&lt;&gt;F450+G450,"ERRO: finalizados inconsistentes",IF(G450&lt;&gt;SUM(H450:J450),"ERRO: reprovações inconsistentes","OK")))))</f>
        <v/>
      </c>
    </row>
    <row r="451" ht="15" customHeight="1" s="131">
      <c r="A451" s="320" t="n"/>
      <c r="B451" s="323" t="n"/>
      <c r="C451" s="323" t="n"/>
      <c r="D451" s="328" t="n"/>
      <c r="E451" s="328" t="n"/>
      <c r="F451" s="328" t="n"/>
      <c r="G451" s="329">
        <f>IF(COUNTA(A451:C451)=0,"",SUM(H451:J451))</f>
        <v/>
      </c>
      <c r="H451" s="328" t="n"/>
      <c r="I451" s="330" t="n"/>
      <c r="J451" s="331" t="n"/>
      <c r="K451" s="331" t="n"/>
      <c r="L451" s="331" t="n"/>
      <c r="M451" s="332" t="n"/>
      <c r="N451" s="302">
        <f>IF(L451&gt;0,M451/L451,"")</f>
        <v/>
      </c>
      <c r="O451" s="317">
        <f>IF(E451&gt;0,F451/E451*100,"")</f>
        <v/>
      </c>
      <c r="P451" s="275">
        <f>IF(COUNTA(A451:C451)=0,"",IF(OR(A451="",B451="",C451="",D451&lt;0,E451&lt;0,F451&lt;0,H451&lt;0,I451&lt;0,J451&lt;0,K451&lt;0,L451&lt;0),"ERRO: valores inválidos",IF(D451&lt;&gt;E451+K451,"ERRO: total inconsistente",IF(E451&lt;&gt;F451+G451,"ERRO: finalizados inconsistentes",IF(G451&lt;&gt;SUM(H451:J451),"ERRO: reprovações inconsistentes","OK")))))</f>
        <v/>
      </c>
    </row>
    <row r="452" ht="15" customHeight="1" s="131">
      <c r="A452" s="320" t="n"/>
      <c r="B452" s="323" t="n"/>
      <c r="C452" s="323" t="n"/>
      <c r="D452" s="328" t="n"/>
      <c r="E452" s="328" t="n"/>
      <c r="F452" s="328" t="n"/>
      <c r="G452" s="329">
        <f>IF(COUNTA(A452:C452)=0,"",SUM(H452:J452))</f>
        <v/>
      </c>
      <c r="H452" s="328" t="n"/>
      <c r="I452" s="330" t="n"/>
      <c r="J452" s="331" t="n"/>
      <c r="K452" s="331" t="n"/>
      <c r="L452" s="331" t="n"/>
      <c r="M452" s="332" t="n"/>
      <c r="N452" s="302">
        <f>IF(L452&gt;0,M452/L452,"")</f>
        <v/>
      </c>
      <c r="O452" s="317">
        <f>IF(E452&gt;0,F452/E452*100,"")</f>
        <v/>
      </c>
      <c r="P452" s="275">
        <f>IF(COUNTA(A452:C452)=0,"",IF(OR(A452="",B452="",C452="",D452&lt;0,E452&lt;0,F452&lt;0,H452&lt;0,I452&lt;0,J452&lt;0,K452&lt;0,L452&lt;0),"ERRO: valores inválidos",IF(D452&lt;&gt;E452+K452,"ERRO: total inconsistente",IF(E452&lt;&gt;F452+G452,"ERRO: finalizados inconsistentes",IF(G452&lt;&gt;SUM(H452:J452),"ERRO: reprovações inconsistentes","OK")))))</f>
        <v/>
      </c>
    </row>
    <row r="453" ht="15" customHeight="1" s="131">
      <c r="A453" s="320" t="n"/>
      <c r="B453" s="323" t="n"/>
      <c r="C453" s="323" t="n"/>
      <c r="D453" s="328" t="n"/>
      <c r="E453" s="328" t="n"/>
      <c r="F453" s="328" t="n"/>
      <c r="G453" s="329">
        <f>IF(COUNTA(A453:C453)=0,"",SUM(H453:J453))</f>
        <v/>
      </c>
      <c r="H453" s="328" t="n"/>
      <c r="I453" s="330" t="n"/>
      <c r="J453" s="331" t="n"/>
      <c r="K453" s="331" t="n"/>
      <c r="L453" s="331" t="n"/>
      <c r="M453" s="332" t="n"/>
      <c r="N453" s="302">
        <f>IF(L453&gt;0,M453/L453,"")</f>
        <v/>
      </c>
      <c r="O453" s="317">
        <f>IF(E453&gt;0,F453/E453*100,"")</f>
        <v/>
      </c>
      <c r="P453" s="275">
        <f>IF(COUNTA(A453:C453)=0,"",IF(OR(A453="",B453="",C453="",D453&lt;0,E453&lt;0,F453&lt;0,H453&lt;0,I453&lt;0,J453&lt;0,K453&lt;0,L453&lt;0),"ERRO: valores inválidos",IF(D453&lt;&gt;E453+K453,"ERRO: total inconsistente",IF(E453&lt;&gt;F453+G453,"ERRO: finalizados inconsistentes",IF(G453&lt;&gt;SUM(H453:J453),"ERRO: reprovações inconsistentes","OK")))))</f>
        <v/>
      </c>
    </row>
    <row r="454" ht="15" customHeight="1" s="131">
      <c r="A454" s="320" t="n"/>
      <c r="B454" s="323" t="n"/>
      <c r="C454" s="323" t="n"/>
      <c r="D454" s="328" t="n"/>
      <c r="E454" s="328" t="n"/>
      <c r="F454" s="328" t="n"/>
      <c r="G454" s="329">
        <f>IF(COUNTA(A454:C454)=0,"",SUM(H454:J454))</f>
        <v/>
      </c>
      <c r="H454" s="328" t="n"/>
      <c r="I454" s="330" t="n"/>
      <c r="J454" s="331" t="n"/>
      <c r="K454" s="331" t="n"/>
      <c r="L454" s="331" t="n"/>
      <c r="M454" s="332" t="n"/>
      <c r="N454" s="302">
        <f>IF(L454&gt;0,M454/L454,"")</f>
        <v/>
      </c>
      <c r="O454" s="317">
        <f>IF(E454&gt;0,F454/E454*100,"")</f>
        <v/>
      </c>
      <c r="P454" s="275">
        <f>IF(COUNTA(A454:C454)=0,"",IF(OR(A454="",B454="",C454="",D454&lt;0,E454&lt;0,F454&lt;0,H454&lt;0,I454&lt;0,J454&lt;0,K454&lt;0,L454&lt;0),"ERRO: valores inválidos",IF(D454&lt;&gt;E454+K454,"ERRO: total inconsistente",IF(E454&lt;&gt;F454+G454,"ERRO: finalizados inconsistentes",IF(G454&lt;&gt;SUM(H454:J454),"ERRO: reprovações inconsistentes","OK")))))</f>
        <v/>
      </c>
    </row>
    <row r="455" ht="15" customHeight="1" s="131">
      <c r="A455" s="320" t="n"/>
      <c r="B455" s="323" t="n"/>
      <c r="C455" s="323" t="n"/>
      <c r="D455" s="328" t="n"/>
      <c r="E455" s="328" t="n"/>
      <c r="F455" s="328" t="n"/>
      <c r="G455" s="329">
        <f>IF(COUNTA(A455:C455)=0,"",SUM(H455:J455))</f>
        <v/>
      </c>
      <c r="H455" s="328" t="n"/>
      <c r="I455" s="330" t="n"/>
      <c r="J455" s="331" t="n"/>
      <c r="K455" s="331" t="n"/>
      <c r="L455" s="331" t="n"/>
      <c r="M455" s="332" t="n"/>
      <c r="N455" s="302">
        <f>IF(L455&gt;0,M455/L455,"")</f>
        <v/>
      </c>
      <c r="O455" s="317">
        <f>IF(E455&gt;0,F455/E455*100,"")</f>
        <v/>
      </c>
      <c r="P455" s="275">
        <f>IF(COUNTA(A455:C455)=0,"",IF(OR(A455="",B455="",C455="",D455&lt;0,E455&lt;0,F455&lt;0,H455&lt;0,I455&lt;0,J455&lt;0,K455&lt;0,L455&lt;0),"ERRO: valores inválidos",IF(D455&lt;&gt;E455+K455,"ERRO: total inconsistente",IF(E455&lt;&gt;F455+G455,"ERRO: finalizados inconsistentes",IF(G455&lt;&gt;SUM(H455:J455),"ERRO: reprovações inconsistentes","OK")))))</f>
        <v/>
      </c>
    </row>
    <row r="456" ht="15" customHeight="1" s="131">
      <c r="A456" s="320" t="n"/>
      <c r="B456" s="323" t="n"/>
      <c r="C456" s="323" t="n"/>
      <c r="D456" s="328" t="n"/>
      <c r="E456" s="328" t="n"/>
      <c r="F456" s="328" t="n"/>
      <c r="G456" s="329">
        <f>IF(COUNTA(A456:C456)=0,"",SUM(H456:J456))</f>
        <v/>
      </c>
      <c r="H456" s="328" t="n"/>
      <c r="I456" s="330" t="n"/>
      <c r="J456" s="331" t="n"/>
      <c r="K456" s="331" t="n"/>
      <c r="L456" s="331" t="n"/>
      <c r="M456" s="332" t="n"/>
      <c r="N456" s="302">
        <f>IF(L456&gt;0,M456/L456,"")</f>
        <v/>
      </c>
      <c r="O456" s="317">
        <f>IF(E456&gt;0,F456/E456*100,"")</f>
        <v/>
      </c>
      <c r="P456" s="275">
        <f>IF(COUNTA(A456:C456)=0,"",IF(OR(A456="",B456="",C456="",D456&lt;0,E456&lt;0,F456&lt;0,H456&lt;0,I456&lt;0,J456&lt;0,K456&lt;0,L456&lt;0),"ERRO: valores inválidos",IF(D456&lt;&gt;E456+K456,"ERRO: total inconsistente",IF(E456&lt;&gt;F456+G456,"ERRO: finalizados inconsistentes",IF(G456&lt;&gt;SUM(H456:J456),"ERRO: reprovações inconsistentes","OK")))))</f>
        <v/>
      </c>
    </row>
    <row r="457" ht="15" customHeight="1" s="131">
      <c r="A457" s="320" t="n"/>
      <c r="B457" s="323" t="n"/>
      <c r="C457" s="323" t="n"/>
      <c r="D457" s="328" t="n"/>
      <c r="E457" s="328" t="n"/>
      <c r="F457" s="328" t="n"/>
      <c r="G457" s="329">
        <f>IF(COUNTA(A457:C457)=0,"",SUM(H457:J457))</f>
        <v/>
      </c>
      <c r="H457" s="328" t="n"/>
      <c r="I457" s="330" t="n"/>
      <c r="J457" s="331" t="n"/>
      <c r="K457" s="331" t="n"/>
      <c r="L457" s="331" t="n"/>
      <c r="M457" s="332" t="n"/>
      <c r="N457" s="302">
        <f>IF(L457&gt;0,M457/L457,"")</f>
        <v/>
      </c>
      <c r="O457" s="317">
        <f>IF(E457&gt;0,F457/E457*100,"")</f>
        <v/>
      </c>
      <c r="P457" s="275">
        <f>IF(COUNTA(A457:C457)=0,"",IF(OR(A457="",B457="",C457="",D457&lt;0,E457&lt;0,F457&lt;0,H457&lt;0,I457&lt;0,J457&lt;0,K457&lt;0,L457&lt;0),"ERRO: valores inválidos",IF(D457&lt;&gt;E457+K457,"ERRO: total inconsistente",IF(E457&lt;&gt;F457+G457,"ERRO: finalizados inconsistentes",IF(G457&lt;&gt;SUM(H457:J457),"ERRO: reprovações inconsistentes","OK")))))</f>
        <v/>
      </c>
    </row>
    <row r="458" ht="15" customHeight="1" s="131">
      <c r="A458" s="320" t="n"/>
      <c r="B458" s="323" t="n"/>
      <c r="C458" s="323" t="n"/>
      <c r="D458" s="328" t="n"/>
      <c r="E458" s="328" t="n"/>
      <c r="F458" s="328" t="n"/>
      <c r="G458" s="329">
        <f>IF(COUNTA(A458:C458)=0,"",SUM(H458:J458))</f>
        <v/>
      </c>
      <c r="H458" s="328" t="n"/>
      <c r="I458" s="330" t="n"/>
      <c r="J458" s="331" t="n"/>
      <c r="K458" s="331" t="n"/>
      <c r="L458" s="331" t="n"/>
      <c r="M458" s="332" t="n"/>
      <c r="N458" s="302">
        <f>IF(L458&gt;0,M458/L458,"")</f>
        <v/>
      </c>
      <c r="O458" s="317">
        <f>IF(E458&gt;0,F458/E458*100,"")</f>
        <v/>
      </c>
      <c r="P458" s="275">
        <f>IF(COUNTA(A458:C458)=0,"",IF(OR(A458="",B458="",C458="",D458&lt;0,E458&lt;0,F458&lt;0,H458&lt;0,I458&lt;0,J458&lt;0,K458&lt;0,L458&lt;0),"ERRO: valores inválidos",IF(D458&lt;&gt;E458+K458,"ERRO: total inconsistente",IF(E458&lt;&gt;F458+G458,"ERRO: finalizados inconsistentes",IF(G458&lt;&gt;SUM(H458:J458),"ERRO: reprovações inconsistentes","OK")))))</f>
        <v/>
      </c>
    </row>
    <row r="459" ht="15" customHeight="1" s="131">
      <c r="A459" s="320" t="n"/>
      <c r="B459" s="323" t="n"/>
      <c r="C459" s="323" t="n"/>
      <c r="D459" s="328" t="n"/>
      <c r="E459" s="328" t="n"/>
      <c r="F459" s="328" t="n"/>
      <c r="G459" s="329">
        <f>IF(COUNTA(A459:C459)=0,"",SUM(H459:J459))</f>
        <v/>
      </c>
      <c r="H459" s="328" t="n"/>
      <c r="I459" s="330" t="n"/>
      <c r="J459" s="331" t="n"/>
      <c r="K459" s="331" t="n"/>
      <c r="L459" s="331" t="n"/>
      <c r="M459" s="332" t="n"/>
      <c r="N459" s="302">
        <f>IF(L459&gt;0,M459/L459,"")</f>
        <v/>
      </c>
      <c r="O459" s="317">
        <f>IF(E459&gt;0,F459/E459*100,"")</f>
        <v/>
      </c>
      <c r="P459" s="275">
        <f>IF(COUNTA(A459:C459)=0,"",IF(OR(A459="",B459="",C459="",D459&lt;0,E459&lt;0,F459&lt;0,H459&lt;0,I459&lt;0,J459&lt;0,K459&lt;0,L459&lt;0),"ERRO: valores inválidos",IF(D459&lt;&gt;E459+K459,"ERRO: total inconsistente",IF(E459&lt;&gt;F459+G459,"ERRO: finalizados inconsistentes",IF(G459&lt;&gt;SUM(H459:J459),"ERRO: reprovações inconsistentes","OK")))))</f>
        <v/>
      </c>
    </row>
    <row r="460" ht="15" customHeight="1" s="131">
      <c r="A460" s="320" t="n"/>
      <c r="B460" s="323" t="n"/>
      <c r="C460" s="323" t="n"/>
      <c r="D460" s="328" t="n"/>
      <c r="E460" s="328" t="n"/>
      <c r="F460" s="328" t="n"/>
      <c r="G460" s="329">
        <f>IF(COUNTA(A460:C460)=0,"",SUM(H460:J460))</f>
        <v/>
      </c>
      <c r="H460" s="328" t="n"/>
      <c r="I460" s="330" t="n"/>
      <c r="J460" s="331" t="n"/>
      <c r="K460" s="331" t="n"/>
      <c r="L460" s="331" t="n"/>
      <c r="M460" s="332" t="n"/>
      <c r="N460" s="302">
        <f>IF(L460&gt;0,M460/L460,"")</f>
        <v/>
      </c>
      <c r="O460" s="317">
        <f>IF(E460&gt;0,F460/E460*100,"")</f>
        <v/>
      </c>
      <c r="P460" s="275">
        <f>IF(COUNTA(A460:C460)=0,"",IF(OR(A460="",B460="",C460="",D460&lt;0,E460&lt;0,F460&lt;0,H460&lt;0,I460&lt;0,J460&lt;0,K460&lt;0,L460&lt;0),"ERRO: valores inválidos",IF(D460&lt;&gt;E460+K460,"ERRO: total inconsistente",IF(E460&lt;&gt;F460+G460,"ERRO: finalizados inconsistentes",IF(G460&lt;&gt;SUM(H460:J460),"ERRO: reprovações inconsistentes","OK")))))</f>
        <v/>
      </c>
    </row>
    <row r="461" ht="15" customHeight="1" s="131">
      <c r="A461" s="320" t="n"/>
      <c r="B461" s="323" t="n"/>
      <c r="C461" s="323" t="n"/>
      <c r="D461" s="328" t="n"/>
      <c r="E461" s="328" t="n"/>
      <c r="F461" s="328" t="n"/>
      <c r="G461" s="329">
        <f>IF(COUNTA(A461:C461)=0,"",SUM(H461:J461))</f>
        <v/>
      </c>
      <c r="H461" s="328" t="n"/>
      <c r="I461" s="330" t="n"/>
      <c r="J461" s="331" t="n"/>
      <c r="K461" s="331" t="n"/>
      <c r="L461" s="331" t="n"/>
      <c r="M461" s="332" t="n"/>
      <c r="N461" s="302">
        <f>IF(L461&gt;0,M461/L461,"")</f>
        <v/>
      </c>
      <c r="O461" s="317">
        <f>IF(E461&gt;0,F461/E461*100,"")</f>
        <v/>
      </c>
      <c r="P461" s="275">
        <f>IF(COUNTA(A461:C461)=0,"",IF(OR(A461="",B461="",C461="",D461&lt;0,E461&lt;0,F461&lt;0,H461&lt;0,I461&lt;0,J461&lt;0,K461&lt;0,L461&lt;0),"ERRO: valores inválidos",IF(D461&lt;&gt;E461+K461,"ERRO: total inconsistente",IF(E461&lt;&gt;F461+G461,"ERRO: finalizados inconsistentes",IF(G461&lt;&gt;SUM(H461:J461),"ERRO: reprovações inconsistentes","OK")))))</f>
        <v/>
      </c>
    </row>
    <row r="462" ht="15" customHeight="1" s="131">
      <c r="A462" s="320" t="n"/>
      <c r="B462" s="323" t="n"/>
      <c r="C462" s="323" t="n"/>
      <c r="D462" s="328" t="n"/>
      <c r="E462" s="328" t="n"/>
      <c r="F462" s="328" t="n"/>
      <c r="G462" s="329">
        <f>IF(COUNTA(A462:C462)=0,"",SUM(H462:J462))</f>
        <v/>
      </c>
      <c r="H462" s="328" t="n"/>
      <c r="I462" s="330" t="n"/>
      <c r="J462" s="331" t="n"/>
      <c r="K462" s="331" t="n"/>
      <c r="L462" s="331" t="n"/>
      <c r="M462" s="332" t="n"/>
      <c r="N462" s="302">
        <f>IF(L462&gt;0,M462/L462,"")</f>
        <v/>
      </c>
      <c r="O462" s="317">
        <f>IF(E462&gt;0,F462/E462*100,"")</f>
        <v/>
      </c>
      <c r="P462" s="275">
        <f>IF(COUNTA(A462:C462)=0,"",IF(OR(A462="",B462="",C462="",D462&lt;0,E462&lt;0,F462&lt;0,H462&lt;0,I462&lt;0,J462&lt;0,K462&lt;0,L462&lt;0),"ERRO: valores inválidos",IF(D462&lt;&gt;E462+K462,"ERRO: total inconsistente",IF(E462&lt;&gt;F462+G462,"ERRO: finalizados inconsistentes",IF(G462&lt;&gt;SUM(H462:J462),"ERRO: reprovações inconsistentes","OK")))))</f>
        <v/>
      </c>
    </row>
    <row r="463" ht="15" customHeight="1" s="131">
      <c r="A463" s="320" t="n"/>
      <c r="B463" s="323" t="n"/>
      <c r="C463" s="323" t="n"/>
      <c r="D463" s="328" t="n"/>
      <c r="E463" s="328" t="n"/>
      <c r="F463" s="328" t="n"/>
      <c r="G463" s="329">
        <f>IF(COUNTA(A463:C463)=0,"",SUM(H463:J463))</f>
        <v/>
      </c>
      <c r="H463" s="328" t="n"/>
      <c r="I463" s="330" t="n"/>
      <c r="J463" s="331" t="n"/>
      <c r="K463" s="331" t="n"/>
      <c r="L463" s="331" t="n"/>
      <c r="M463" s="332" t="n"/>
      <c r="N463" s="302">
        <f>IF(L463&gt;0,M463/L463,"")</f>
        <v/>
      </c>
      <c r="O463" s="317">
        <f>IF(E463&gt;0,F463/E463*100,"")</f>
        <v/>
      </c>
      <c r="P463" s="275">
        <f>IF(COUNTA(A463:C463)=0,"",IF(OR(A463="",B463="",C463="",D463&lt;0,E463&lt;0,F463&lt;0,H463&lt;0,I463&lt;0,J463&lt;0,K463&lt;0,L463&lt;0),"ERRO: valores inválidos",IF(D463&lt;&gt;E463+K463,"ERRO: total inconsistente",IF(E463&lt;&gt;F463+G463,"ERRO: finalizados inconsistentes",IF(G463&lt;&gt;SUM(H463:J463),"ERRO: reprovações inconsistentes","OK")))))</f>
        <v/>
      </c>
    </row>
    <row r="464" ht="15" customHeight="1" s="131">
      <c r="A464" s="320" t="n"/>
      <c r="B464" s="323" t="n"/>
      <c r="C464" s="323" t="n"/>
      <c r="D464" s="328" t="n"/>
      <c r="E464" s="328" t="n"/>
      <c r="F464" s="328" t="n"/>
      <c r="G464" s="329">
        <f>IF(COUNTA(A464:C464)=0,"",SUM(H464:J464))</f>
        <v/>
      </c>
      <c r="H464" s="328" t="n"/>
      <c r="I464" s="330" t="n"/>
      <c r="J464" s="331" t="n"/>
      <c r="K464" s="331" t="n"/>
      <c r="L464" s="331" t="n"/>
      <c r="M464" s="332" t="n"/>
      <c r="N464" s="302">
        <f>IF(L464&gt;0,M464/L464,"")</f>
        <v/>
      </c>
      <c r="O464" s="317">
        <f>IF(E464&gt;0,F464/E464*100,"")</f>
        <v/>
      </c>
      <c r="P464" s="275">
        <f>IF(COUNTA(A464:C464)=0,"",IF(OR(A464="",B464="",C464="",D464&lt;0,E464&lt;0,F464&lt;0,H464&lt;0,I464&lt;0,J464&lt;0,K464&lt;0,L464&lt;0),"ERRO: valores inválidos",IF(D464&lt;&gt;E464+K464,"ERRO: total inconsistente",IF(E464&lt;&gt;F464+G464,"ERRO: finalizados inconsistentes",IF(G464&lt;&gt;SUM(H464:J464),"ERRO: reprovações inconsistentes","OK")))))</f>
        <v/>
      </c>
    </row>
    <row r="465" ht="15" customHeight="1" s="131">
      <c r="A465" s="320" t="n"/>
      <c r="B465" s="323" t="n"/>
      <c r="C465" s="323" t="n"/>
      <c r="D465" s="328" t="n"/>
      <c r="E465" s="328" t="n"/>
      <c r="F465" s="328" t="n"/>
      <c r="G465" s="329">
        <f>IF(COUNTA(A465:C465)=0,"",SUM(H465:J465))</f>
        <v/>
      </c>
      <c r="H465" s="328" t="n"/>
      <c r="I465" s="330" t="n"/>
      <c r="J465" s="331" t="n"/>
      <c r="K465" s="331" t="n"/>
      <c r="L465" s="331" t="n"/>
      <c r="M465" s="332" t="n"/>
      <c r="N465" s="302">
        <f>IF(L465&gt;0,M465/L465,"")</f>
        <v/>
      </c>
      <c r="O465" s="317">
        <f>IF(E465&gt;0,F465/E465*100,"")</f>
        <v/>
      </c>
      <c r="P465" s="275">
        <f>IF(COUNTA(A465:C465)=0,"",IF(OR(A465="",B465="",C465="",D465&lt;0,E465&lt;0,F465&lt;0,H465&lt;0,I465&lt;0,J465&lt;0,K465&lt;0,L465&lt;0),"ERRO: valores inválidos",IF(D465&lt;&gt;E465+K465,"ERRO: total inconsistente",IF(E465&lt;&gt;F465+G465,"ERRO: finalizados inconsistentes",IF(G465&lt;&gt;SUM(H465:J465),"ERRO: reprovações inconsistentes","OK")))))</f>
        <v/>
      </c>
    </row>
    <row r="466" ht="15" customHeight="1" s="131">
      <c r="A466" s="320" t="n"/>
      <c r="B466" s="323" t="n"/>
      <c r="C466" s="323" t="n"/>
      <c r="D466" s="328" t="n"/>
      <c r="E466" s="328" t="n"/>
      <c r="F466" s="328" t="n"/>
      <c r="G466" s="329">
        <f>IF(COUNTA(A466:C466)=0,"",SUM(H466:J466))</f>
        <v/>
      </c>
      <c r="H466" s="328" t="n"/>
      <c r="I466" s="330" t="n"/>
      <c r="J466" s="331" t="n"/>
      <c r="K466" s="331" t="n"/>
      <c r="L466" s="331" t="n"/>
      <c r="M466" s="332" t="n"/>
      <c r="N466" s="302">
        <f>IF(L466&gt;0,M466/L466,"")</f>
        <v/>
      </c>
      <c r="O466" s="317">
        <f>IF(E466&gt;0,F466/E466*100,"")</f>
        <v/>
      </c>
      <c r="P466" s="275">
        <f>IF(COUNTA(A466:C466)=0,"",IF(OR(A466="",B466="",C466="",D466&lt;0,E466&lt;0,F466&lt;0,H466&lt;0,I466&lt;0,J466&lt;0,K466&lt;0,L466&lt;0),"ERRO: valores inválidos",IF(D466&lt;&gt;E466+K466,"ERRO: total inconsistente",IF(E466&lt;&gt;F466+G466,"ERRO: finalizados inconsistentes",IF(G466&lt;&gt;SUM(H466:J466),"ERRO: reprovações inconsistentes","OK")))))</f>
        <v/>
      </c>
    </row>
    <row r="467" ht="15" customHeight="1" s="131">
      <c r="A467" s="320" t="n"/>
      <c r="B467" s="323" t="n"/>
      <c r="C467" s="323" t="n"/>
      <c r="D467" s="328" t="n"/>
      <c r="E467" s="328" t="n"/>
      <c r="F467" s="328" t="n"/>
      <c r="G467" s="329">
        <f>IF(COUNTA(A467:C467)=0,"",SUM(H467:J467))</f>
        <v/>
      </c>
      <c r="H467" s="328" t="n"/>
      <c r="I467" s="330" t="n"/>
      <c r="J467" s="331" t="n"/>
      <c r="K467" s="331" t="n"/>
      <c r="L467" s="331" t="n"/>
      <c r="M467" s="332" t="n"/>
      <c r="N467" s="302">
        <f>IF(L467&gt;0,M467/L467,"")</f>
        <v/>
      </c>
      <c r="O467" s="317">
        <f>IF(E467&gt;0,F467/E467*100,"")</f>
        <v/>
      </c>
      <c r="P467" s="275">
        <f>IF(COUNTA(A467:C467)=0,"",IF(OR(A467="",B467="",C467="",D467&lt;0,E467&lt;0,F467&lt;0,H467&lt;0,I467&lt;0,J467&lt;0,K467&lt;0,L467&lt;0),"ERRO: valores inválidos",IF(D467&lt;&gt;E467+K467,"ERRO: total inconsistente",IF(E467&lt;&gt;F467+G467,"ERRO: finalizados inconsistentes",IF(G467&lt;&gt;SUM(H467:J467),"ERRO: reprovações inconsistentes","OK")))))</f>
        <v/>
      </c>
    </row>
    <row r="468" ht="15" customHeight="1" s="131">
      <c r="A468" s="320" t="n"/>
      <c r="B468" s="323" t="n"/>
      <c r="C468" s="323" t="n"/>
      <c r="D468" s="328" t="n"/>
      <c r="E468" s="328" t="n"/>
      <c r="F468" s="328" t="n"/>
      <c r="G468" s="329">
        <f>IF(COUNTA(A468:C468)=0,"",SUM(H468:J468))</f>
        <v/>
      </c>
      <c r="H468" s="328" t="n"/>
      <c r="I468" s="330" t="n"/>
      <c r="J468" s="331" t="n"/>
      <c r="K468" s="331" t="n"/>
      <c r="L468" s="331" t="n"/>
      <c r="M468" s="332" t="n"/>
      <c r="N468" s="302">
        <f>IF(L468&gt;0,M468/L468,"")</f>
        <v/>
      </c>
      <c r="O468" s="317">
        <f>IF(E468&gt;0,F468/E468*100,"")</f>
        <v/>
      </c>
      <c r="P468" s="275">
        <f>IF(COUNTA(A468:C468)=0,"",IF(OR(A468="",B468="",C468="",D468&lt;0,E468&lt;0,F468&lt;0,H468&lt;0,I468&lt;0,J468&lt;0,K468&lt;0,L468&lt;0),"ERRO: valores inválidos",IF(D468&lt;&gt;E468+K468,"ERRO: total inconsistente",IF(E468&lt;&gt;F468+G468,"ERRO: finalizados inconsistentes",IF(G468&lt;&gt;SUM(H468:J468),"ERRO: reprovações inconsistentes","OK")))))</f>
        <v/>
      </c>
    </row>
    <row r="469" ht="15" customHeight="1" s="131">
      <c r="A469" s="320" t="n"/>
      <c r="B469" s="323" t="n"/>
      <c r="C469" s="323" t="n"/>
      <c r="D469" s="328" t="n"/>
      <c r="E469" s="328" t="n"/>
      <c r="F469" s="328" t="n"/>
      <c r="G469" s="329">
        <f>IF(COUNTA(A469:C469)=0,"",SUM(H469:J469))</f>
        <v/>
      </c>
      <c r="H469" s="328" t="n"/>
      <c r="I469" s="330" t="n"/>
      <c r="J469" s="331" t="n"/>
      <c r="K469" s="331" t="n"/>
      <c r="L469" s="331" t="n"/>
      <c r="M469" s="332" t="n"/>
      <c r="N469" s="302">
        <f>IF(L469&gt;0,M469/L469,"")</f>
        <v/>
      </c>
      <c r="O469" s="317">
        <f>IF(E469&gt;0,F469/E469*100,"")</f>
        <v/>
      </c>
      <c r="P469" s="275">
        <f>IF(COUNTA(A469:C469)=0,"",IF(OR(A469="",B469="",C469="",D469&lt;0,E469&lt;0,F469&lt;0,H469&lt;0,I469&lt;0,J469&lt;0,K469&lt;0,L469&lt;0),"ERRO: valores inválidos",IF(D469&lt;&gt;E469+K469,"ERRO: total inconsistente",IF(E469&lt;&gt;F469+G469,"ERRO: finalizados inconsistentes",IF(G469&lt;&gt;SUM(H469:J469),"ERRO: reprovações inconsistentes","OK")))))</f>
        <v/>
      </c>
    </row>
    <row r="470" ht="15" customHeight="1" s="131">
      <c r="A470" s="320" t="n"/>
      <c r="B470" s="323" t="n"/>
      <c r="C470" s="323" t="n"/>
      <c r="D470" s="328" t="n"/>
      <c r="E470" s="328" t="n"/>
      <c r="F470" s="328" t="n"/>
      <c r="G470" s="329">
        <f>IF(COUNTA(A470:C470)=0,"",SUM(H470:J470))</f>
        <v/>
      </c>
      <c r="H470" s="328" t="n"/>
      <c r="I470" s="330" t="n"/>
      <c r="J470" s="331" t="n"/>
      <c r="K470" s="331" t="n"/>
      <c r="L470" s="331" t="n"/>
      <c r="M470" s="332" t="n"/>
      <c r="N470" s="302">
        <f>IF(L470&gt;0,M470/L470,"")</f>
        <v/>
      </c>
      <c r="O470" s="317">
        <f>IF(E470&gt;0,F470/E470*100,"")</f>
        <v/>
      </c>
      <c r="P470" s="275">
        <f>IF(COUNTA(A470:C470)=0,"",IF(OR(A470="",B470="",C470="",D470&lt;0,E470&lt;0,F470&lt;0,H470&lt;0,I470&lt;0,J470&lt;0,K470&lt;0,L470&lt;0),"ERRO: valores inválidos",IF(D470&lt;&gt;E470+K470,"ERRO: total inconsistente",IF(E470&lt;&gt;F470+G470,"ERRO: finalizados inconsistentes",IF(G470&lt;&gt;SUM(H470:J470),"ERRO: reprovações inconsistentes","OK")))))</f>
        <v/>
      </c>
    </row>
    <row r="471" ht="15" customHeight="1" s="131">
      <c r="A471" s="320" t="n"/>
      <c r="B471" s="323" t="n"/>
      <c r="C471" s="323" t="n"/>
      <c r="D471" s="328" t="n"/>
      <c r="E471" s="328" t="n"/>
      <c r="F471" s="328" t="n"/>
      <c r="G471" s="329">
        <f>IF(COUNTA(A471:C471)=0,"",SUM(H471:J471))</f>
        <v/>
      </c>
      <c r="H471" s="328" t="n"/>
      <c r="I471" s="330" t="n"/>
      <c r="J471" s="331" t="n"/>
      <c r="K471" s="331" t="n"/>
      <c r="L471" s="331" t="n"/>
      <c r="M471" s="332" t="n"/>
      <c r="N471" s="302">
        <f>IF(L471&gt;0,M471/L471,"")</f>
        <v/>
      </c>
      <c r="O471" s="317">
        <f>IF(E471&gt;0,F471/E471*100,"")</f>
        <v/>
      </c>
      <c r="P471" s="275">
        <f>IF(COUNTA(A471:C471)=0,"",IF(OR(A471="",B471="",C471="",D471&lt;0,E471&lt;0,F471&lt;0,H471&lt;0,I471&lt;0,J471&lt;0,K471&lt;0,L471&lt;0),"ERRO: valores inválidos",IF(D471&lt;&gt;E471+K471,"ERRO: total inconsistente",IF(E471&lt;&gt;F471+G471,"ERRO: finalizados inconsistentes",IF(G471&lt;&gt;SUM(H471:J471),"ERRO: reprovações inconsistentes","OK")))))</f>
        <v/>
      </c>
    </row>
    <row r="472" ht="15" customHeight="1" s="131">
      <c r="A472" s="320" t="n"/>
      <c r="B472" s="323" t="n"/>
      <c r="C472" s="323" t="n"/>
      <c r="D472" s="328" t="n"/>
      <c r="E472" s="328" t="n"/>
      <c r="F472" s="328" t="n"/>
      <c r="G472" s="329">
        <f>IF(COUNTA(A472:C472)=0,"",SUM(H472:J472))</f>
        <v/>
      </c>
      <c r="H472" s="328" t="n"/>
      <c r="I472" s="330" t="n"/>
      <c r="J472" s="331" t="n"/>
      <c r="K472" s="331" t="n"/>
      <c r="L472" s="331" t="n"/>
      <c r="M472" s="332" t="n"/>
      <c r="N472" s="302">
        <f>IF(L472&gt;0,M472/L472,"")</f>
        <v/>
      </c>
      <c r="O472" s="317">
        <f>IF(E472&gt;0,F472/E472*100,"")</f>
        <v/>
      </c>
      <c r="P472" s="275">
        <f>IF(COUNTA(A472:C472)=0,"",IF(OR(A472="",B472="",C472="",D472&lt;0,E472&lt;0,F472&lt;0,H472&lt;0,I472&lt;0,J472&lt;0,K472&lt;0,L472&lt;0),"ERRO: valores inválidos",IF(D472&lt;&gt;E472+K472,"ERRO: total inconsistente",IF(E472&lt;&gt;F472+G472,"ERRO: finalizados inconsistentes",IF(G472&lt;&gt;SUM(H472:J472),"ERRO: reprovações inconsistentes","OK")))))</f>
        <v/>
      </c>
    </row>
    <row r="473" ht="15" customHeight="1" s="131">
      <c r="A473" s="320" t="n"/>
      <c r="B473" s="323" t="n"/>
      <c r="C473" s="323" t="n"/>
      <c r="D473" s="328" t="n"/>
      <c r="E473" s="328" t="n"/>
      <c r="F473" s="328" t="n"/>
      <c r="G473" s="329">
        <f>IF(COUNTA(A473:C473)=0,"",SUM(H473:J473))</f>
        <v/>
      </c>
      <c r="H473" s="328" t="n"/>
      <c r="I473" s="330" t="n"/>
      <c r="J473" s="331" t="n"/>
      <c r="K473" s="331" t="n"/>
      <c r="L473" s="331" t="n"/>
      <c r="M473" s="332" t="n"/>
      <c r="N473" s="302">
        <f>IF(L473&gt;0,M473/L473,"")</f>
        <v/>
      </c>
      <c r="O473" s="317">
        <f>IF(E473&gt;0,F473/E473*100,"")</f>
        <v/>
      </c>
      <c r="P473" s="275">
        <f>IF(COUNTA(A473:C473)=0,"",IF(OR(A473="",B473="",C473="",D473&lt;0,E473&lt;0,F473&lt;0,H473&lt;0,I473&lt;0,J473&lt;0,K473&lt;0,L473&lt;0),"ERRO: valores inválidos",IF(D473&lt;&gt;E473+K473,"ERRO: total inconsistente",IF(E473&lt;&gt;F473+G473,"ERRO: finalizados inconsistentes",IF(G473&lt;&gt;SUM(H473:J473),"ERRO: reprovações inconsistentes","OK")))))</f>
        <v/>
      </c>
    </row>
    <row r="474" ht="15" customHeight="1" s="131">
      <c r="A474" s="320" t="n"/>
      <c r="B474" s="323" t="n"/>
      <c r="C474" s="323" t="n"/>
      <c r="D474" s="328" t="n"/>
      <c r="E474" s="328" t="n"/>
      <c r="F474" s="328" t="n"/>
      <c r="G474" s="329">
        <f>IF(COUNTA(A474:C474)=0,"",SUM(H474:J474))</f>
        <v/>
      </c>
      <c r="H474" s="328" t="n"/>
      <c r="I474" s="330" t="n"/>
      <c r="J474" s="331" t="n"/>
      <c r="K474" s="331" t="n"/>
      <c r="L474" s="331" t="n"/>
      <c r="M474" s="332" t="n"/>
      <c r="N474" s="302">
        <f>IF(L474&gt;0,M474/L474,"")</f>
        <v/>
      </c>
      <c r="O474" s="317">
        <f>IF(E474&gt;0,F474/E474*100,"")</f>
        <v/>
      </c>
      <c r="P474" s="275">
        <f>IF(COUNTA(A474:C474)=0,"",IF(OR(A474="",B474="",C474="",D474&lt;0,E474&lt;0,F474&lt;0,H474&lt;0,I474&lt;0,J474&lt;0,K474&lt;0,L474&lt;0),"ERRO: valores inválidos",IF(D474&lt;&gt;E474+K474,"ERRO: total inconsistente",IF(E474&lt;&gt;F474+G474,"ERRO: finalizados inconsistentes",IF(G474&lt;&gt;SUM(H474:J474),"ERRO: reprovações inconsistentes","OK")))))</f>
        <v/>
      </c>
    </row>
    <row r="475" ht="15" customHeight="1" s="131">
      <c r="A475" s="320" t="n"/>
      <c r="B475" s="323" t="n"/>
      <c r="C475" s="323" t="n"/>
      <c r="D475" s="328" t="n"/>
      <c r="E475" s="328" t="n"/>
      <c r="F475" s="328" t="n"/>
      <c r="G475" s="329">
        <f>IF(COUNTA(A475:C475)=0,"",SUM(H475:J475))</f>
        <v/>
      </c>
      <c r="H475" s="328" t="n"/>
      <c r="I475" s="330" t="n"/>
      <c r="J475" s="331" t="n"/>
      <c r="K475" s="331" t="n"/>
      <c r="L475" s="331" t="n"/>
      <c r="M475" s="332" t="n"/>
      <c r="N475" s="302">
        <f>IF(L475&gt;0,M475/L475,"")</f>
        <v/>
      </c>
      <c r="O475" s="317">
        <f>IF(E475&gt;0,F475/E475*100,"")</f>
        <v/>
      </c>
      <c r="P475" s="275">
        <f>IF(COUNTA(A475:C475)=0,"",IF(OR(A475="",B475="",C475="",D475&lt;0,E475&lt;0,F475&lt;0,H475&lt;0,I475&lt;0,J475&lt;0,K475&lt;0,L475&lt;0),"ERRO: valores inválidos",IF(D475&lt;&gt;E475+K475,"ERRO: total inconsistente",IF(E475&lt;&gt;F475+G475,"ERRO: finalizados inconsistentes",IF(G475&lt;&gt;SUM(H475:J475),"ERRO: reprovações inconsistentes","OK")))))</f>
        <v/>
      </c>
    </row>
    <row r="476" ht="15" customHeight="1" s="131">
      <c r="A476" s="320" t="n"/>
      <c r="B476" s="323" t="n"/>
      <c r="C476" s="323" t="n"/>
      <c r="D476" s="328" t="n"/>
      <c r="E476" s="328" t="n"/>
      <c r="F476" s="328" t="n"/>
      <c r="G476" s="329">
        <f>IF(COUNTA(A476:C476)=0,"",SUM(H476:J476))</f>
        <v/>
      </c>
      <c r="H476" s="328" t="n"/>
      <c r="I476" s="330" t="n"/>
      <c r="J476" s="331" t="n"/>
      <c r="K476" s="331" t="n"/>
      <c r="L476" s="331" t="n"/>
      <c r="M476" s="332" t="n"/>
      <c r="N476" s="302">
        <f>IF(L476&gt;0,M476/L476,"")</f>
        <v/>
      </c>
      <c r="O476" s="317">
        <f>IF(E476&gt;0,F476/E476*100,"")</f>
        <v/>
      </c>
      <c r="P476" s="275">
        <f>IF(COUNTA(A476:C476)=0,"",IF(OR(A476="",B476="",C476="",D476&lt;0,E476&lt;0,F476&lt;0,H476&lt;0,I476&lt;0,J476&lt;0,K476&lt;0,L476&lt;0),"ERRO: valores inválidos",IF(D476&lt;&gt;E476+K476,"ERRO: total inconsistente",IF(E476&lt;&gt;F476+G476,"ERRO: finalizados inconsistentes",IF(G476&lt;&gt;SUM(H476:J476),"ERRO: reprovações inconsistentes","OK")))))</f>
        <v/>
      </c>
    </row>
    <row r="477" ht="15" customHeight="1" s="131">
      <c r="A477" s="320" t="n"/>
      <c r="B477" s="323" t="n"/>
      <c r="C477" s="323" t="n"/>
      <c r="D477" s="328" t="n"/>
      <c r="E477" s="328" t="n"/>
      <c r="F477" s="328" t="n"/>
      <c r="G477" s="329">
        <f>IF(COUNTA(A477:C477)=0,"",SUM(H477:J477))</f>
        <v/>
      </c>
      <c r="H477" s="328" t="n"/>
      <c r="I477" s="330" t="n"/>
      <c r="J477" s="331" t="n"/>
      <c r="K477" s="331" t="n"/>
      <c r="L477" s="331" t="n"/>
      <c r="M477" s="332" t="n"/>
      <c r="N477" s="302">
        <f>IF(L477&gt;0,M477/L477,"")</f>
        <v/>
      </c>
      <c r="O477" s="317">
        <f>IF(E477&gt;0,F477/E477*100,"")</f>
        <v/>
      </c>
      <c r="P477" s="275">
        <f>IF(COUNTA(A477:C477)=0,"",IF(OR(A477="",B477="",C477="",D477&lt;0,E477&lt;0,F477&lt;0,H477&lt;0,I477&lt;0,J477&lt;0,K477&lt;0,L477&lt;0),"ERRO: valores inválidos",IF(D477&lt;&gt;E477+K477,"ERRO: total inconsistente",IF(E477&lt;&gt;F477+G477,"ERRO: finalizados inconsistentes",IF(G477&lt;&gt;SUM(H477:J477),"ERRO: reprovações inconsistentes","OK")))))</f>
        <v/>
      </c>
    </row>
    <row r="478" ht="15" customHeight="1" s="131">
      <c r="A478" s="320" t="n"/>
      <c r="B478" s="323" t="n"/>
      <c r="C478" s="323" t="n"/>
      <c r="D478" s="328" t="n"/>
      <c r="E478" s="328" t="n"/>
      <c r="F478" s="328" t="n"/>
      <c r="G478" s="329">
        <f>IF(COUNTA(A478:C478)=0,"",SUM(H478:J478))</f>
        <v/>
      </c>
      <c r="H478" s="328" t="n"/>
      <c r="I478" s="330" t="n"/>
      <c r="J478" s="331" t="n"/>
      <c r="K478" s="331" t="n"/>
      <c r="L478" s="331" t="n"/>
      <c r="M478" s="332" t="n"/>
      <c r="N478" s="302">
        <f>IF(L478&gt;0,M478/L478,"")</f>
        <v/>
      </c>
      <c r="O478" s="317">
        <f>IF(E478&gt;0,F478/E478*100,"")</f>
        <v/>
      </c>
      <c r="P478" s="275">
        <f>IF(COUNTA(A478:C478)=0,"",IF(OR(A478="",B478="",C478="",D478&lt;0,E478&lt;0,F478&lt;0,H478&lt;0,I478&lt;0,J478&lt;0,K478&lt;0,L478&lt;0),"ERRO: valores inválidos",IF(D478&lt;&gt;E478+K478,"ERRO: total inconsistente",IF(E478&lt;&gt;F478+G478,"ERRO: finalizados inconsistentes",IF(G478&lt;&gt;SUM(H478:J478),"ERRO: reprovações inconsistentes","OK")))))</f>
        <v/>
      </c>
    </row>
    <row r="479" ht="15" customHeight="1" s="131">
      <c r="A479" s="320" t="n"/>
      <c r="B479" s="323" t="n"/>
      <c r="C479" s="323" t="n"/>
      <c r="D479" s="328" t="n"/>
      <c r="E479" s="328" t="n"/>
      <c r="F479" s="328" t="n"/>
      <c r="G479" s="329">
        <f>IF(COUNTA(A479:C479)=0,"",SUM(H479:J479))</f>
        <v/>
      </c>
      <c r="H479" s="328" t="n"/>
      <c r="I479" s="330" t="n"/>
      <c r="J479" s="331" t="n"/>
      <c r="K479" s="331" t="n"/>
      <c r="L479" s="331" t="n"/>
      <c r="M479" s="332" t="n"/>
      <c r="N479" s="302">
        <f>IF(L479&gt;0,M479/L479,"")</f>
        <v/>
      </c>
      <c r="O479" s="317">
        <f>IF(E479&gt;0,F479/E479*100,"")</f>
        <v/>
      </c>
      <c r="P479" s="275">
        <f>IF(COUNTA(A479:C479)=0,"",IF(OR(A479="",B479="",C479="",D479&lt;0,E479&lt;0,F479&lt;0,H479&lt;0,I479&lt;0,J479&lt;0,K479&lt;0,L479&lt;0),"ERRO: valores inválidos",IF(D479&lt;&gt;E479+K479,"ERRO: total inconsistente",IF(E479&lt;&gt;F479+G479,"ERRO: finalizados inconsistentes",IF(G479&lt;&gt;SUM(H479:J479),"ERRO: reprovações inconsistentes","OK")))))</f>
        <v/>
      </c>
    </row>
    <row r="480" ht="15" customHeight="1" s="131">
      <c r="A480" s="320" t="n"/>
      <c r="B480" s="323" t="n"/>
      <c r="C480" s="323" t="n"/>
      <c r="D480" s="328" t="n"/>
      <c r="E480" s="328" t="n"/>
      <c r="F480" s="328" t="n"/>
      <c r="G480" s="329">
        <f>IF(COUNTA(A480:C480)=0,"",SUM(H480:J480))</f>
        <v/>
      </c>
      <c r="H480" s="328" t="n"/>
      <c r="I480" s="330" t="n"/>
      <c r="J480" s="331" t="n"/>
      <c r="K480" s="331" t="n"/>
      <c r="L480" s="331" t="n"/>
      <c r="M480" s="332" t="n"/>
      <c r="N480" s="302">
        <f>IF(L480&gt;0,M480/L480,"")</f>
        <v/>
      </c>
      <c r="O480" s="317">
        <f>IF(E480&gt;0,F480/E480*100,"")</f>
        <v/>
      </c>
      <c r="P480" s="275">
        <f>IF(COUNTA(A480:C480)=0,"",IF(OR(A480="",B480="",C480="",D480&lt;0,E480&lt;0,F480&lt;0,H480&lt;0,I480&lt;0,J480&lt;0,K480&lt;0,L480&lt;0),"ERRO: valores inválidos",IF(D480&lt;&gt;E480+K480,"ERRO: total inconsistente",IF(E480&lt;&gt;F480+G480,"ERRO: finalizados inconsistentes",IF(G480&lt;&gt;SUM(H480:J480),"ERRO: reprovações inconsistentes","OK")))))</f>
        <v/>
      </c>
    </row>
    <row r="481" ht="15" customHeight="1" s="131">
      <c r="A481" s="320" t="n"/>
      <c r="B481" s="323" t="n"/>
      <c r="C481" s="323" t="n"/>
      <c r="D481" s="328" t="n"/>
      <c r="E481" s="328" t="n"/>
      <c r="F481" s="328" t="n"/>
      <c r="G481" s="329">
        <f>IF(COUNTA(A481:C481)=0,"",SUM(H481:J481))</f>
        <v/>
      </c>
      <c r="H481" s="328" t="n"/>
      <c r="I481" s="330" t="n"/>
      <c r="J481" s="331" t="n"/>
      <c r="K481" s="331" t="n"/>
      <c r="L481" s="331" t="n"/>
      <c r="M481" s="332" t="n"/>
      <c r="N481" s="302">
        <f>IF(L481&gt;0,M481/L481,"")</f>
        <v/>
      </c>
      <c r="O481" s="317">
        <f>IF(E481&gt;0,F481/E481*100,"")</f>
        <v/>
      </c>
      <c r="P481" s="275">
        <f>IF(COUNTA(A481:C481)=0,"",IF(OR(A481="",B481="",C481="",D481&lt;0,E481&lt;0,F481&lt;0,H481&lt;0,I481&lt;0,J481&lt;0,K481&lt;0,L481&lt;0),"ERRO: valores inválidos",IF(D481&lt;&gt;E481+K481,"ERRO: total inconsistente",IF(E481&lt;&gt;F481+G481,"ERRO: finalizados inconsistentes",IF(G481&lt;&gt;SUM(H481:J481),"ERRO: reprovações inconsistentes","OK")))))</f>
        <v/>
      </c>
    </row>
    <row r="482" ht="15" customHeight="1" s="131">
      <c r="A482" s="320" t="n"/>
      <c r="B482" s="323" t="n"/>
      <c r="C482" s="323" t="n"/>
      <c r="D482" s="328" t="n"/>
      <c r="E482" s="328" t="n"/>
      <c r="F482" s="328" t="n"/>
      <c r="G482" s="329">
        <f>IF(COUNTA(A482:C482)=0,"",SUM(H482:J482))</f>
        <v/>
      </c>
      <c r="H482" s="328" t="n"/>
      <c r="I482" s="330" t="n"/>
      <c r="J482" s="331" t="n"/>
      <c r="K482" s="331" t="n"/>
      <c r="L482" s="331" t="n"/>
      <c r="M482" s="332" t="n"/>
      <c r="N482" s="302">
        <f>IF(L482&gt;0,M482/L482,"")</f>
        <v/>
      </c>
      <c r="O482" s="317">
        <f>IF(E482&gt;0,F482/E482*100,"")</f>
        <v/>
      </c>
      <c r="P482" s="275">
        <f>IF(COUNTA(A482:C482)=0,"",IF(OR(A482="",B482="",C482="",D482&lt;0,E482&lt;0,F482&lt;0,H482&lt;0,I482&lt;0,J482&lt;0,K482&lt;0,L482&lt;0),"ERRO: valores inválidos",IF(D482&lt;&gt;E482+K482,"ERRO: total inconsistente",IF(E482&lt;&gt;F482+G482,"ERRO: finalizados inconsistentes",IF(G482&lt;&gt;SUM(H482:J482),"ERRO: reprovações inconsistentes","OK")))))</f>
        <v/>
      </c>
    </row>
    <row r="483" ht="15" customHeight="1" s="131">
      <c r="A483" s="320" t="n"/>
      <c r="B483" s="323" t="n"/>
      <c r="C483" s="323" t="n"/>
      <c r="D483" s="328" t="n"/>
      <c r="E483" s="328" t="n"/>
      <c r="F483" s="328" t="n"/>
      <c r="G483" s="329">
        <f>IF(COUNTA(A483:C483)=0,"",SUM(H483:J483))</f>
        <v/>
      </c>
      <c r="H483" s="328" t="n"/>
      <c r="I483" s="330" t="n"/>
      <c r="J483" s="331" t="n"/>
      <c r="K483" s="331" t="n"/>
      <c r="L483" s="331" t="n"/>
      <c r="M483" s="332" t="n"/>
      <c r="N483" s="302">
        <f>IF(L483&gt;0,M483/L483,"")</f>
        <v/>
      </c>
      <c r="O483" s="317">
        <f>IF(E483&gt;0,F483/E483*100,"")</f>
        <v/>
      </c>
      <c r="P483" s="275">
        <f>IF(COUNTA(A483:C483)=0,"",IF(OR(A483="",B483="",C483="",D483&lt;0,E483&lt;0,F483&lt;0,H483&lt;0,I483&lt;0,J483&lt;0,K483&lt;0,L483&lt;0),"ERRO: valores inválidos",IF(D483&lt;&gt;E483+K483,"ERRO: total inconsistente",IF(E483&lt;&gt;F483+G483,"ERRO: finalizados inconsistentes",IF(G483&lt;&gt;SUM(H483:J483),"ERRO: reprovações inconsistentes","OK")))))</f>
        <v/>
      </c>
    </row>
    <row r="484" ht="15" customHeight="1" s="131">
      <c r="A484" s="320" t="n"/>
      <c r="B484" s="323" t="n"/>
      <c r="C484" s="323" t="n"/>
      <c r="D484" s="328" t="n"/>
      <c r="E484" s="328" t="n"/>
      <c r="F484" s="328" t="n"/>
      <c r="G484" s="329">
        <f>IF(COUNTA(A484:C484)=0,"",SUM(H484:J484))</f>
        <v/>
      </c>
      <c r="H484" s="328" t="n"/>
      <c r="I484" s="330" t="n"/>
      <c r="J484" s="331" t="n"/>
      <c r="K484" s="331" t="n"/>
      <c r="L484" s="331" t="n"/>
      <c r="M484" s="332" t="n"/>
      <c r="N484" s="302">
        <f>IF(L484&gt;0,M484/L484,"")</f>
        <v/>
      </c>
      <c r="O484" s="317">
        <f>IF(E484&gt;0,F484/E484*100,"")</f>
        <v/>
      </c>
      <c r="P484" s="275">
        <f>IF(COUNTA(A484:C484)=0,"",IF(OR(A484="",B484="",C484="",D484&lt;0,E484&lt;0,F484&lt;0,H484&lt;0,I484&lt;0,J484&lt;0,K484&lt;0,L484&lt;0),"ERRO: valores inválidos",IF(D484&lt;&gt;E484+K484,"ERRO: total inconsistente",IF(E484&lt;&gt;F484+G484,"ERRO: finalizados inconsistentes",IF(G484&lt;&gt;SUM(H484:J484),"ERRO: reprovações inconsistentes","OK")))))</f>
        <v/>
      </c>
    </row>
    <row r="485" ht="15" customHeight="1" s="131">
      <c r="A485" s="320" t="n"/>
      <c r="B485" s="323" t="n"/>
      <c r="C485" s="323" t="n"/>
      <c r="D485" s="328" t="n"/>
      <c r="E485" s="328" t="n"/>
      <c r="F485" s="328" t="n"/>
      <c r="G485" s="329">
        <f>IF(COUNTA(A485:C485)=0,"",SUM(H485:J485))</f>
        <v/>
      </c>
      <c r="H485" s="328" t="n"/>
      <c r="I485" s="330" t="n"/>
      <c r="J485" s="331" t="n"/>
      <c r="K485" s="331" t="n"/>
      <c r="L485" s="331" t="n"/>
      <c r="M485" s="332" t="n"/>
      <c r="N485" s="302">
        <f>IF(L485&gt;0,M485/L485,"")</f>
        <v/>
      </c>
      <c r="O485" s="317">
        <f>IF(E485&gt;0,F485/E485*100,"")</f>
        <v/>
      </c>
      <c r="P485" s="275">
        <f>IF(COUNTA(A485:C485)=0,"",IF(OR(A485="",B485="",C485="",D485&lt;0,E485&lt;0,F485&lt;0,H485&lt;0,I485&lt;0,J485&lt;0,K485&lt;0,L485&lt;0),"ERRO: valores inválidos",IF(D485&lt;&gt;E485+K485,"ERRO: total inconsistente",IF(E485&lt;&gt;F485+G485,"ERRO: finalizados inconsistentes",IF(G485&lt;&gt;SUM(H485:J485),"ERRO: reprovações inconsistentes","OK")))))</f>
        <v/>
      </c>
    </row>
    <row r="486" ht="15" customHeight="1" s="131">
      <c r="A486" s="320" t="n"/>
      <c r="B486" s="323" t="n"/>
      <c r="C486" s="323" t="n"/>
      <c r="D486" s="328" t="n"/>
      <c r="E486" s="328" t="n"/>
      <c r="F486" s="328" t="n"/>
      <c r="G486" s="329">
        <f>IF(COUNTA(A486:C486)=0,"",SUM(H486:J486))</f>
        <v/>
      </c>
      <c r="H486" s="328" t="n"/>
      <c r="I486" s="330" t="n"/>
      <c r="J486" s="331" t="n"/>
      <c r="K486" s="331" t="n"/>
      <c r="L486" s="331" t="n"/>
      <c r="M486" s="332" t="n"/>
      <c r="N486" s="302">
        <f>IF(L486&gt;0,M486/L486,"")</f>
        <v/>
      </c>
      <c r="O486" s="317">
        <f>IF(E486&gt;0,F486/E486*100,"")</f>
        <v/>
      </c>
      <c r="P486" s="275">
        <f>IF(COUNTA(A486:C486)=0,"",IF(OR(A486="",B486="",C486="",D486&lt;0,E486&lt;0,F486&lt;0,H486&lt;0,I486&lt;0,J486&lt;0,K486&lt;0,L486&lt;0),"ERRO: valores inválidos",IF(D486&lt;&gt;E486+K486,"ERRO: total inconsistente",IF(E486&lt;&gt;F486+G486,"ERRO: finalizados inconsistentes",IF(G486&lt;&gt;SUM(H486:J486),"ERRO: reprovações inconsistentes","OK")))))</f>
        <v/>
      </c>
    </row>
    <row r="487" ht="15" customHeight="1" s="131">
      <c r="A487" s="320" t="n"/>
      <c r="B487" s="323" t="n"/>
      <c r="C487" s="323" t="n"/>
      <c r="D487" s="328" t="n"/>
      <c r="E487" s="328" t="n"/>
      <c r="F487" s="328" t="n"/>
      <c r="G487" s="329">
        <f>IF(COUNTA(A487:C487)=0,"",SUM(H487:J487))</f>
        <v/>
      </c>
      <c r="H487" s="328" t="n"/>
      <c r="I487" s="330" t="n"/>
      <c r="J487" s="331" t="n"/>
      <c r="K487" s="331" t="n"/>
      <c r="L487" s="331" t="n"/>
      <c r="M487" s="332" t="n"/>
      <c r="N487" s="302">
        <f>IF(L487&gt;0,M487/L487,"")</f>
        <v/>
      </c>
      <c r="O487" s="317">
        <f>IF(E487&gt;0,F487/E487*100,"")</f>
        <v/>
      </c>
      <c r="P487" s="275">
        <f>IF(COUNTA(A487:C487)=0,"",IF(OR(A487="",B487="",C487="",D487&lt;0,E487&lt;0,F487&lt;0,H487&lt;0,I487&lt;0,J487&lt;0,K487&lt;0,L487&lt;0),"ERRO: valores inválidos",IF(D487&lt;&gt;E487+K487,"ERRO: total inconsistente",IF(E487&lt;&gt;F487+G487,"ERRO: finalizados inconsistentes",IF(G487&lt;&gt;SUM(H487:J487),"ERRO: reprovações inconsistentes","OK")))))</f>
        <v/>
      </c>
    </row>
    <row r="488" ht="15" customHeight="1" s="131">
      <c r="A488" s="320" t="n"/>
      <c r="B488" s="323" t="n"/>
      <c r="C488" s="323" t="n"/>
      <c r="D488" s="328" t="n"/>
      <c r="E488" s="328" t="n"/>
      <c r="F488" s="328" t="n"/>
      <c r="G488" s="329">
        <f>IF(COUNTA(A488:C488)=0,"",SUM(H488:J488))</f>
        <v/>
      </c>
      <c r="H488" s="328" t="n"/>
      <c r="I488" s="330" t="n"/>
      <c r="J488" s="331" t="n"/>
      <c r="K488" s="331" t="n"/>
      <c r="L488" s="331" t="n"/>
      <c r="M488" s="332" t="n"/>
      <c r="N488" s="302">
        <f>IF(L488&gt;0,M488/L488,"")</f>
        <v/>
      </c>
      <c r="O488" s="317">
        <f>IF(E488&gt;0,F488/E488*100,"")</f>
        <v/>
      </c>
      <c r="P488" s="275">
        <f>IF(COUNTA(A488:C488)=0,"",IF(OR(A488="",B488="",C488="",D488&lt;0,E488&lt;0,F488&lt;0,H488&lt;0,I488&lt;0,J488&lt;0,K488&lt;0,L488&lt;0),"ERRO: valores inválidos",IF(D488&lt;&gt;E488+K488,"ERRO: total inconsistente",IF(E488&lt;&gt;F488+G488,"ERRO: finalizados inconsistentes",IF(G488&lt;&gt;SUM(H488:J488),"ERRO: reprovações inconsistentes","OK")))))</f>
        <v/>
      </c>
    </row>
    <row r="489" ht="15" customHeight="1" s="131">
      <c r="A489" s="320" t="n"/>
      <c r="B489" s="323" t="n"/>
      <c r="C489" s="323" t="n"/>
      <c r="D489" s="328" t="n"/>
      <c r="E489" s="328" t="n"/>
      <c r="F489" s="328" t="n"/>
      <c r="G489" s="329">
        <f>IF(COUNTA(A489:C489)=0,"",SUM(H489:J489))</f>
        <v/>
      </c>
      <c r="H489" s="328" t="n"/>
      <c r="I489" s="330" t="n"/>
      <c r="J489" s="331" t="n"/>
      <c r="K489" s="331" t="n"/>
      <c r="L489" s="331" t="n"/>
      <c r="M489" s="332" t="n"/>
      <c r="N489" s="302">
        <f>IF(L489&gt;0,M489/L489,"")</f>
        <v/>
      </c>
      <c r="O489" s="317">
        <f>IF(E489&gt;0,F489/E489*100,"")</f>
        <v/>
      </c>
      <c r="P489" s="275">
        <f>IF(COUNTA(A489:C489)=0,"",IF(OR(A489="",B489="",C489="",D489&lt;0,E489&lt;0,F489&lt;0,H489&lt;0,I489&lt;0,J489&lt;0,K489&lt;0,L489&lt;0),"ERRO: valores inválidos",IF(D489&lt;&gt;E489+K489,"ERRO: total inconsistente",IF(E489&lt;&gt;F489+G489,"ERRO: finalizados inconsistentes",IF(G489&lt;&gt;SUM(H489:J489),"ERRO: reprovações inconsistentes","OK")))))</f>
        <v/>
      </c>
    </row>
    <row r="490" ht="15" customHeight="1" s="131">
      <c r="A490" s="320" t="n"/>
      <c r="B490" s="323" t="n"/>
      <c r="C490" s="323" t="n"/>
      <c r="D490" s="328" t="n"/>
      <c r="E490" s="328" t="n"/>
      <c r="F490" s="328" t="n"/>
      <c r="G490" s="329">
        <f>IF(COUNTA(A490:C490)=0,"",SUM(H490:J490))</f>
        <v/>
      </c>
      <c r="H490" s="328" t="n"/>
      <c r="I490" s="330" t="n"/>
      <c r="J490" s="331" t="n"/>
      <c r="K490" s="331" t="n"/>
      <c r="L490" s="331" t="n"/>
      <c r="M490" s="332" t="n"/>
      <c r="N490" s="302">
        <f>IF(L490&gt;0,M490/L490,"")</f>
        <v/>
      </c>
      <c r="O490" s="317">
        <f>IF(E490&gt;0,F490/E490*100,"")</f>
        <v/>
      </c>
      <c r="P490" s="275">
        <f>IF(COUNTA(A490:C490)=0,"",IF(OR(A490="",B490="",C490="",D490&lt;0,E490&lt;0,F490&lt;0,H490&lt;0,I490&lt;0,J490&lt;0,K490&lt;0,L490&lt;0),"ERRO: valores inválidos",IF(D490&lt;&gt;E490+K490,"ERRO: total inconsistente",IF(E490&lt;&gt;F490+G490,"ERRO: finalizados inconsistentes",IF(G490&lt;&gt;SUM(H490:J490),"ERRO: reprovações inconsistentes","OK")))))</f>
        <v/>
      </c>
    </row>
    <row r="491" ht="15" customHeight="1" s="131">
      <c r="A491" s="320" t="n"/>
      <c r="B491" s="323" t="n"/>
      <c r="C491" s="323" t="n"/>
      <c r="D491" s="328" t="n"/>
      <c r="E491" s="328" t="n"/>
      <c r="F491" s="328" t="n"/>
      <c r="G491" s="329">
        <f>IF(COUNTA(A491:C491)=0,"",SUM(H491:J491))</f>
        <v/>
      </c>
      <c r="H491" s="328" t="n"/>
      <c r="I491" s="330" t="n"/>
      <c r="J491" s="331" t="n"/>
      <c r="K491" s="331" t="n"/>
      <c r="L491" s="331" t="n"/>
      <c r="M491" s="332" t="n"/>
      <c r="N491" s="302">
        <f>IF(L491&gt;0,M491/L491,"")</f>
        <v/>
      </c>
      <c r="O491" s="317">
        <f>IF(E491&gt;0,F491/E491*100,"")</f>
        <v/>
      </c>
      <c r="P491" s="275">
        <f>IF(COUNTA(A491:C491)=0,"",IF(OR(A491="",B491="",C491="",D491&lt;0,E491&lt;0,F491&lt;0,H491&lt;0,I491&lt;0,J491&lt;0,K491&lt;0,L491&lt;0),"ERRO: valores inválidos",IF(D491&lt;&gt;E491+K491,"ERRO: total inconsistente",IF(E491&lt;&gt;F491+G491,"ERRO: finalizados inconsistentes",IF(G491&lt;&gt;SUM(H491:J491),"ERRO: reprovações inconsistentes","OK")))))</f>
        <v/>
      </c>
    </row>
    <row r="492" ht="15" customHeight="1" s="131">
      <c r="A492" s="320" t="n"/>
      <c r="B492" s="323" t="n"/>
      <c r="C492" s="323" t="n"/>
      <c r="D492" s="328" t="n"/>
      <c r="E492" s="328" t="n"/>
      <c r="F492" s="328" t="n"/>
      <c r="G492" s="329">
        <f>IF(COUNTA(A492:C492)=0,"",SUM(H492:J492))</f>
        <v/>
      </c>
      <c r="H492" s="328" t="n"/>
      <c r="I492" s="330" t="n"/>
      <c r="J492" s="331" t="n"/>
      <c r="K492" s="331" t="n"/>
      <c r="L492" s="331" t="n"/>
      <c r="M492" s="332" t="n"/>
      <c r="N492" s="302">
        <f>IF(L492&gt;0,M492/L492,"")</f>
        <v/>
      </c>
      <c r="O492" s="317">
        <f>IF(E492&gt;0,F492/E492*100,"")</f>
        <v/>
      </c>
      <c r="P492" s="275">
        <f>IF(COUNTA(A492:C492)=0,"",IF(OR(A492="",B492="",C492="",D492&lt;0,E492&lt;0,F492&lt;0,H492&lt;0,I492&lt;0,J492&lt;0,K492&lt;0,L492&lt;0),"ERRO: valores inválidos",IF(D492&lt;&gt;E492+K492,"ERRO: total inconsistente",IF(E492&lt;&gt;F492+G492,"ERRO: finalizados inconsistentes",IF(G492&lt;&gt;SUM(H492:J492),"ERRO: reprovações inconsistentes","OK")))))</f>
        <v/>
      </c>
    </row>
    <row r="493" ht="15" customHeight="1" s="131">
      <c r="A493" s="320" t="n"/>
      <c r="B493" s="323" t="n"/>
      <c r="C493" s="323" t="n"/>
      <c r="D493" s="328" t="n"/>
      <c r="E493" s="328" t="n"/>
      <c r="F493" s="328" t="n"/>
      <c r="G493" s="329">
        <f>IF(COUNTA(A493:C493)=0,"",SUM(H493:J493))</f>
        <v/>
      </c>
      <c r="H493" s="328" t="n"/>
      <c r="I493" s="330" t="n"/>
      <c r="J493" s="331" t="n"/>
      <c r="K493" s="331" t="n"/>
      <c r="L493" s="331" t="n"/>
      <c r="M493" s="332" t="n"/>
      <c r="N493" s="302">
        <f>IF(L493&gt;0,M493/L493,"")</f>
        <v/>
      </c>
      <c r="O493" s="317">
        <f>IF(E493&gt;0,F493/E493*100,"")</f>
        <v/>
      </c>
      <c r="P493" s="275">
        <f>IF(COUNTA(A493:C493)=0,"",IF(OR(A493="",B493="",C493="",D493&lt;0,E493&lt;0,F493&lt;0,H493&lt;0,I493&lt;0,J493&lt;0,K493&lt;0,L493&lt;0),"ERRO: valores inválidos",IF(D493&lt;&gt;E493+K493,"ERRO: total inconsistente",IF(E493&lt;&gt;F493+G493,"ERRO: finalizados inconsistentes",IF(G493&lt;&gt;SUM(H493:J493),"ERRO: reprovações inconsistentes","OK")))))</f>
        <v/>
      </c>
    </row>
    <row r="494" ht="15" customHeight="1" s="131">
      <c r="A494" s="320" t="n"/>
      <c r="B494" s="323" t="n"/>
      <c r="C494" s="323" t="n"/>
      <c r="D494" s="328" t="n"/>
      <c r="E494" s="328" t="n"/>
      <c r="F494" s="328" t="n"/>
      <c r="G494" s="329">
        <f>IF(COUNTA(A494:C494)=0,"",SUM(H494:J494))</f>
        <v/>
      </c>
      <c r="H494" s="328" t="n"/>
      <c r="I494" s="330" t="n"/>
      <c r="J494" s="331" t="n"/>
      <c r="K494" s="331" t="n"/>
      <c r="L494" s="331" t="n"/>
      <c r="M494" s="332" t="n"/>
      <c r="N494" s="302">
        <f>IF(L494&gt;0,M494/L494,"")</f>
        <v/>
      </c>
      <c r="O494" s="317">
        <f>IF(E494&gt;0,F494/E494*100,"")</f>
        <v/>
      </c>
      <c r="P494" s="275">
        <f>IF(COUNTA(A494:C494)=0,"",IF(OR(A494="",B494="",C494="",D494&lt;0,E494&lt;0,F494&lt;0,H494&lt;0,I494&lt;0,J494&lt;0,K494&lt;0,L494&lt;0),"ERRO: valores inválidos",IF(D494&lt;&gt;E494+K494,"ERRO: total inconsistente",IF(E494&lt;&gt;F494+G494,"ERRO: finalizados inconsistentes",IF(G494&lt;&gt;SUM(H494:J494),"ERRO: reprovações inconsistentes","OK")))))</f>
        <v/>
      </c>
    </row>
    <row r="495" ht="15" customHeight="1" s="131">
      <c r="A495" s="320" t="n"/>
      <c r="B495" s="323" t="n"/>
      <c r="C495" s="323" t="n"/>
      <c r="D495" s="328" t="n"/>
      <c r="E495" s="328" t="n"/>
      <c r="F495" s="328" t="n"/>
      <c r="G495" s="329">
        <f>IF(COUNTA(A495:C495)=0,"",SUM(H495:J495))</f>
        <v/>
      </c>
      <c r="H495" s="328" t="n"/>
      <c r="I495" s="330" t="n"/>
      <c r="J495" s="331" t="n"/>
      <c r="K495" s="331" t="n"/>
      <c r="L495" s="331" t="n"/>
      <c r="M495" s="332" t="n"/>
      <c r="N495" s="302">
        <f>IF(L495&gt;0,M495/L495,"")</f>
        <v/>
      </c>
      <c r="O495" s="317">
        <f>IF(E495&gt;0,F495/E495*100,"")</f>
        <v/>
      </c>
      <c r="P495" s="275">
        <f>IF(COUNTA(A495:C495)=0,"",IF(OR(A495="",B495="",C495="",D495&lt;0,E495&lt;0,F495&lt;0,H495&lt;0,I495&lt;0,J495&lt;0,K495&lt;0,L495&lt;0),"ERRO: valores inválidos",IF(D495&lt;&gt;E495+K495,"ERRO: total inconsistente",IF(E495&lt;&gt;F495+G495,"ERRO: finalizados inconsistentes",IF(G495&lt;&gt;SUM(H495:J495),"ERRO: reprovações inconsistentes","OK")))))</f>
        <v/>
      </c>
    </row>
    <row r="496" ht="15" customHeight="1" s="131">
      <c r="A496" s="320" t="n"/>
      <c r="B496" s="323" t="n"/>
      <c r="C496" s="323" t="n"/>
      <c r="D496" s="328" t="n"/>
      <c r="E496" s="328" t="n"/>
      <c r="F496" s="328" t="n"/>
      <c r="G496" s="329">
        <f>IF(COUNTA(A496:C496)=0,"",SUM(H496:J496))</f>
        <v/>
      </c>
      <c r="H496" s="328" t="n"/>
      <c r="I496" s="330" t="n"/>
      <c r="J496" s="331" t="n"/>
      <c r="K496" s="331" t="n"/>
      <c r="L496" s="331" t="n"/>
      <c r="M496" s="332" t="n"/>
      <c r="N496" s="302">
        <f>IF(L496&gt;0,M496/L496,"")</f>
        <v/>
      </c>
      <c r="O496" s="317">
        <f>IF(E496&gt;0,F496/E496*100,"")</f>
        <v/>
      </c>
      <c r="P496" s="275">
        <f>IF(COUNTA(A496:C496)=0,"",IF(OR(A496="",B496="",C496="",D496&lt;0,E496&lt;0,F496&lt;0,H496&lt;0,I496&lt;0,J496&lt;0,K496&lt;0,L496&lt;0),"ERRO: valores inválidos",IF(D496&lt;&gt;E496+K496,"ERRO: total inconsistente",IF(E496&lt;&gt;F496+G496,"ERRO: finalizados inconsistentes",IF(G496&lt;&gt;SUM(H496:J496),"ERRO: reprovações inconsistentes","OK")))))</f>
        <v/>
      </c>
    </row>
    <row r="497" ht="15" customHeight="1" s="131">
      <c r="A497" s="320" t="n"/>
      <c r="B497" s="323" t="n"/>
      <c r="C497" s="323" t="n"/>
      <c r="D497" s="328" t="n"/>
      <c r="E497" s="328" t="n"/>
      <c r="F497" s="328" t="n"/>
      <c r="G497" s="329">
        <f>IF(COUNTA(A497:C497)=0,"",SUM(H497:J497))</f>
        <v/>
      </c>
      <c r="H497" s="328" t="n"/>
      <c r="I497" s="330" t="n"/>
      <c r="J497" s="331" t="n"/>
      <c r="K497" s="331" t="n"/>
      <c r="L497" s="331" t="n"/>
      <c r="M497" s="332" t="n"/>
      <c r="N497" s="302">
        <f>IF(L497&gt;0,M497/L497,"")</f>
        <v/>
      </c>
      <c r="O497" s="317">
        <f>IF(E497&gt;0,F497/E497*100,"")</f>
        <v/>
      </c>
      <c r="P497" s="275">
        <f>IF(COUNTA(A497:C497)=0,"",IF(OR(A497="",B497="",C497="",D497&lt;0,E497&lt;0,F497&lt;0,H497&lt;0,I497&lt;0,J497&lt;0,K497&lt;0,L497&lt;0),"ERRO: valores inválidos",IF(D497&lt;&gt;E497+K497,"ERRO: total inconsistente",IF(E497&lt;&gt;F497+G497,"ERRO: finalizados inconsistentes",IF(G497&lt;&gt;SUM(H497:J497),"ERRO: reprovações inconsistentes","OK")))))</f>
        <v/>
      </c>
    </row>
    <row r="498" ht="15" customHeight="1" s="131">
      <c r="A498" s="320" t="n"/>
      <c r="B498" s="323" t="n"/>
      <c r="C498" s="323" t="n"/>
      <c r="D498" s="328" t="n"/>
      <c r="E498" s="328" t="n"/>
      <c r="F498" s="328" t="n"/>
      <c r="G498" s="329">
        <f>IF(COUNTA(A498:C498)=0,"",SUM(H498:J498))</f>
        <v/>
      </c>
      <c r="H498" s="328" t="n"/>
      <c r="I498" s="330" t="n"/>
      <c r="J498" s="331" t="n"/>
      <c r="K498" s="331" t="n"/>
      <c r="L498" s="331" t="n"/>
      <c r="M498" s="332" t="n"/>
      <c r="N498" s="302">
        <f>IF(L498&gt;0,M498/L498,"")</f>
        <v/>
      </c>
      <c r="O498" s="317">
        <f>IF(E498&gt;0,F498/E498*100,"")</f>
        <v/>
      </c>
      <c r="P498" s="275">
        <f>IF(COUNTA(A498:C498)=0,"",IF(OR(A498="",B498="",C498="",D498&lt;0,E498&lt;0,F498&lt;0,H498&lt;0,I498&lt;0,J498&lt;0,K498&lt;0,L498&lt;0),"ERRO: valores inválidos",IF(D498&lt;&gt;E498+K498,"ERRO: total inconsistente",IF(E498&lt;&gt;F498+G498,"ERRO: finalizados inconsistentes",IF(G498&lt;&gt;SUM(H498:J498),"ERRO: reprovações inconsistentes","OK")))))</f>
        <v/>
      </c>
    </row>
    <row r="499" ht="15" customHeight="1" s="131">
      <c r="A499" s="320" t="n"/>
      <c r="B499" s="323" t="n"/>
      <c r="C499" s="323" t="n"/>
      <c r="D499" s="328" t="n"/>
      <c r="E499" s="328" t="n"/>
      <c r="F499" s="328" t="n"/>
      <c r="G499" s="329">
        <f>IF(COUNTA(A499:C499)=0,"",SUM(H499:J499))</f>
        <v/>
      </c>
      <c r="H499" s="328" t="n"/>
      <c r="I499" s="330" t="n"/>
      <c r="J499" s="331" t="n"/>
      <c r="K499" s="331" t="n"/>
      <c r="L499" s="331" t="n"/>
      <c r="M499" s="332" t="n"/>
      <c r="N499" s="302">
        <f>IF(L499&gt;0,M499/L499,"")</f>
        <v/>
      </c>
      <c r="O499" s="317">
        <f>IF(E499&gt;0,F499/E499*100,"")</f>
        <v/>
      </c>
      <c r="P499" s="275">
        <f>IF(COUNTA(A499:C499)=0,"",IF(OR(A499="",B499="",C499="",D499&lt;0,E499&lt;0,F499&lt;0,H499&lt;0,I499&lt;0,J499&lt;0,K499&lt;0,L499&lt;0),"ERRO: valores inválidos",IF(D499&lt;&gt;E499+K499,"ERRO: total inconsistente",IF(E499&lt;&gt;F499+G499,"ERRO: finalizados inconsistentes",IF(G499&lt;&gt;SUM(H499:J499),"ERRO: reprovações inconsistentes","OK")))))</f>
        <v/>
      </c>
    </row>
    <row r="500" ht="15" customHeight="1" s="131">
      <c r="A500" s="320" t="n"/>
      <c r="B500" s="323" t="n"/>
      <c r="C500" s="323" t="n"/>
      <c r="D500" s="328" t="n"/>
      <c r="E500" s="328" t="n"/>
      <c r="F500" s="328" t="n"/>
      <c r="G500" s="329">
        <f>IF(COUNTA(A500:C500)=0,"",SUM(H500:J500))</f>
        <v/>
      </c>
      <c r="H500" s="328" t="n"/>
      <c r="I500" s="330" t="n"/>
      <c r="J500" s="331" t="n"/>
      <c r="K500" s="331" t="n"/>
      <c r="L500" s="331" t="n"/>
      <c r="M500" s="332" t="n"/>
      <c r="N500" s="302">
        <f>IF(L500&gt;0,M500/L500,"")</f>
        <v/>
      </c>
      <c r="O500" s="317">
        <f>IF(E500&gt;0,F500/E500*100,"")</f>
        <v/>
      </c>
      <c r="P500" s="275">
        <f>IF(COUNTA(A500:C500)=0,"",IF(OR(A500="",B500="",C500="",D500&lt;0,E500&lt;0,F500&lt;0,H500&lt;0,I500&lt;0,J500&lt;0,K500&lt;0,L500&lt;0),"ERRO: valores inválidos",IF(D500&lt;&gt;E500+K500,"ERRO: total inconsistente",IF(E500&lt;&gt;F500+G500,"ERRO: finalizados inconsistentes",IF(G500&lt;&gt;SUM(H500:J500),"ERRO: reprovações inconsistentes","OK")))))</f>
        <v/>
      </c>
    </row>
    <row r="501" ht="15" customHeight="1" s="131">
      <c r="A501" s="320" t="n"/>
      <c r="B501" s="323" t="n"/>
      <c r="C501" s="323" t="n"/>
      <c r="D501" s="328" t="n"/>
      <c r="E501" s="328" t="n"/>
      <c r="F501" s="328" t="n"/>
      <c r="G501" s="329">
        <f>IF(COUNTA(A501:C501)=0,"",SUM(H501:J501))</f>
        <v/>
      </c>
      <c r="H501" s="328" t="n"/>
      <c r="I501" s="330" t="n"/>
      <c r="J501" s="331" t="n"/>
      <c r="K501" s="331" t="n"/>
      <c r="L501" s="331" t="n"/>
      <c r="M501" s="332" t="n"/>
      <c r="N501" s="302">
        <f>IF(L501&gt;0,M501/L501,"")</f>
        <v/>
      </c>
      <c r="O501" s="317">
        <f>IF(E501&gt;0,F501/E501*100,"")</f>
        <v/>
      </c>
      <c r="P501" s="275">
        <f>IF(COUNTA(A501:C501)=0,"",IF(OR(A501="",B501="",C501="",D501&lt;0,E501&lt;0,F501&lt;0,H501&lt;0,I501&lt;0,J501&lt;0,K501&lt;0,L501&lt;0),"ERRO: valores inválidos",IF(D501&lt;&gt;E501+K501,"ERRO: total inconsistente",IF(E501&lt;&gt;F501+G501,"ERRO: finalizados inconsistentes",IF(G501&lt;&gt;SUM(H501:J501),"ERRO: reprovações inconsistentes","OK")))))</f>
        <v/>
      </c>
    </row>
    <row r="502" ht="15" customHeight="1" s="131">
      <c r="A502" s="320" t="n"/>
      <c r="B502" s="323" t="n"/>
      <c r="C502" s="323" t="n"/>
      <c r="D502" s="328" t="n"/>
      <c r="E502" s="328" t="n"/>
      <c r="F502" s="328" t="n"/>
      <c r="G502" s="329">
        <f>IF(COUNTA(A502:C502)=0,"",SUM(H502:J502))</f>
        <v/>
      </c>
      <c r="H502" s="328" t="n"/>
      <c r="I502" s="330" t="n"/>
      <c r="J502" s="331" t="n"/>
      <c r="K502" s="331" t="n"/>
      <c r="L502" s="331" t="n"/>
      <c r="M502" s="332" t="n"/>
      <c r="N502" s="302">
        <f>IF(L502&gt;0,M502/L502,"")</f>
        <v/>
      </c>
      <c r="O502" s="317">
        <f>IF(E502&gt;0,F502/E502*100,"")</f>
        <v/>
      </c>
      <c r="P502" s="275">
        <f>IF(COUNTA(A502:C502)=0,"",IF(OR(A502="",B502="",C502="",D502&lt;0,E502&lt;0,F502&lt;0,H502&lt;0,I502&lt;0,J502&lt;0,K502&lt;0,L502&lt;0),"ERRO: valores inválidos",IF(D502&lt;&gt;E502+K502,"ERRO: total inconsistente",IF(E502&lt;&gt;F502+G502,"ERRO: finalizados inconsistentes",IF(G502&lt;&gt;SUM(H502:J502),"ERRO: reprovações inconsistentes","OK")))))</f>
        <v/>
      </c>
    </row>
    <row r="503" ht="15" customHeight="1" s="131">
      <c r="A503" s="320" t="n"/>
      <c r="B503" s="323" t="n"/>
      <c r="C503" s="323" t="n"/>
      <c r="D503" s="328" t="n"/>
      <c r="E503" s="328" t="n"/>
      <c r="F503" s="328" t="n"/>
      <c r="G503" s="329">
        <f>IF(COUNTA(A503:C503)=0,"",SUM(H503:J503))</f>
        <v/>
      </c>
      <c r="H503" s="328" t="n"/>
      <c r="I503" s="330" t="n"/>
      <c r="J503" s="331" t="n"/>
      <c r="K503" s="331" t="n"/>
      <c r="L503" s="331" t="n"/>
      <c r="M503" s="332" t="n"/>
      <c r="N503" s="302">
        <f>IF(L503&gt;0,M503/L503,"")</f>
        <v/>
      </c>
      <c r="O503" s="317">
        <f>IF(E503&gt;0,F503/E503*100,"")</f>
        <v/>
      </c>
      <c r="P503" s="275">
        <f>IF(COUNTA(A503:C503)=0,"",IF(OR(A503="",B503="",C503="",D503&lt;0,E503&lt;0,F503&lt;0,H503&lt;0,I503&lt;0,J503&lt;0,K503&lt;0,L503&lt;0),"ERRO: valores inválidos",IF(D503&lt;&gt;E503+K503,"ERRO: total inconsistente",IF(E503&lt;&gt;F503+G503,"ERRO: finalizados inconsistentes",IF(G503&lt;&gt;SUM(H503:J503),"ERRO: reprovações inconsistentes","OK")))))</f>
        <v/>
      </c>
    </row>
    <row r="504" ht="15" customHeight="1" s="131">
      <c r="A504" s="320" t="n"/>
      <c r="B504" s="323" t="n"/>
      <c r="C504" s="323" t="n"/>
      <c r="D504" s="328" t="n"/>
      <c r="E504" s="328" t="n"/>
      <c r="F504" s="328" t="n"/>
      <c r="G504" s="329">
        <f>IF(COUNTA(A504:C504)=0,"",SUM(H504:J504))</f>
        <v/>
      </c>
      <c r="H504" s="328" t="n"/>
      <c r="I504" s="330" t="n"/>
      <c r="J504" s="331" t="n"/>
      <c r="K504" s="331" t="n"/>
      <c r="L504" s="331" t="n"/>
      <c r="M504" s="332" t="n"/>
      <c r="N504" s="302">
        <f>IF(L504&gt;0,M504/L504,"")</f>
        <v/>
      </c>
      <c r="O504" s="317">
        <f>IF(E504&gt;0,F504/E504*100,"")</f>
        <v/>
      </c>
      <c r="P504" s="275">
        <f>IF(COUNTA(A504:C504)=0,"",IF(OR(A504="",B504="",C504="",D504&lt;0,E504&lt;0,F504&lt;0,H504&lt;0,I504&lt;0,J504&lt;0,K504&lt;0,L504&lt;0),"ERRO: valores inválidos",IF(D504&lt;&gt;E504+K504,"ERRO: total inconsistente",IF(E504&lt;&gt;F504+G504,"ERRO: finalizados inconsistentes",IF(G504&lt;&gt;SUM(H504:J504),"ERRO: reprovações inconsistentes","OK")))))</f>
        <v/>
      </c>
    </row>
    <row r="505" ht="15" customHeight="1" s="131">
      <c r="A505" s="320" t="n"/>
      <c r="B505" s="323" t="n"/>
      <c r="C505" s="323" t="n"/>
      <c r="D505" s="328" t="n"/>
      <c r="E505" s="328" t="n"/>
      <c r="F505" s="328" t="n"/>
      <c r="G505" s="329">
        <f>IF(COUNTA(A505:C505)=0,"",SUM(H505:J505))</f>
        <v/>
      </c>
      <c r="H505" s="328" t="n"/>
      <c r="I505" s="330" t="n"/>
      <c r="J505" s="331" t="n"/>
      <c r="K505" s="331" t="n"/>
      <c r="L505" s="331" t="n"/>
      <c r="M505" s="332" t="n"/>
      <c r="N505" s="302">
        <f>IF(L505&gt;0,M505/L505,"")</f>
        <v/>
      </c>
      <c r="O505" s="317">
        <f>IF(E505&gt;0,F505/E505*100,"")</f>
        <v/>
      </c>
      <c r="P505" s="275">
        <f>IF(COUNTA(A505:C505)=0,"",IF(OR(A505="",B505="",C505="",D505&lt;0,E505&lt;0,F505&lt;0,H505&lt;0,I505&lt;0,J505&lt;0,K505&lt;0,L505&lt;0),"ERRO: valores inválidos",IF(D505&lt;&gt;E505+K505,"ERRO: total inconsistente",IF(E505&lt;&gt;F505+G505,"ERRO: finalizados inconsistentes",IF(G505&lt;&gt;SUM(H505:J505),"ERRO: reprovações inconsistentes","OK")))))</f>
        <v/>
      </c>
    </row>
    <row r="506" ht="15" customHeight="1" s="131">
      <c r="A506" s="320" t="n"/>
      <c r="B506" s="323" t="n"/>
      <c r="C506" s="323" t="n"/>
      <c r="D506" s="328" t="n"/>
      <c r="E506" s="328" t="n"/>
      <c r="F506" s="328" t="n"/>
      <c r="G506" s="329">
        <f>IF(COUNTA(A506:C506)=0,"",SUM(H506:J506))</f>
        <v/>
      </c>
      <c r="H506" s="328" t="n"/>
      <c r="I506" s="330" t="n"/>
      <c r="J506" s="331" t="n"/>
      <c r="K506" s="331" t="n"/>
      <c r="L506" s="331" t="n"/>
      <c r="M506" s="332" t="n"/>
      <c r="N506" s="302">
        <f>IF(L506&gt;0,M506/L506,"")</f>
        <v/>
      </c>
      <c r="O506" s="317">
        <f>IF(E506&gt;0,F506/E506*100,"")</f>
        <v/>
      </c>
      <c r="P506" s="275">
        <f>IF(COUNTA(A506:C506)=0,"",IF(OR(A506="",B506="",C506="",D506&lt;0,E506&lt;0,F506&lt;0,H506&lt;0,I506&lt;0,J506&lt;0,K506&lt;0,L506&lt;0),"ERRO: valores inválidos",IF(D506&lt;&gt;E506+K506,"ERRO: total inconsistente",IF(E506&lt;&gt;F506+G506,"ERRO: finalizados inconsistentes",IF(G506&lt;&gt;SUM(H506:J506),"ERRO: reprovações inconsistentes","OK")))))</f>
        <v/>
      </c>
    </row>
    <row r="507" ht="15" customHeight="1" s="131">
      <c r="A507" s="320" t="n"/>
      <c r="B507" s="323" t="n"/>
      <c r="C507" s="323" t="n"/>
      <c r="D507" s="328" t="n"/>
      <c r="E507" s="328" t="n"/>
      <c r="F507" s="328" t="n"/>
      <c r="G507" s="329">
        <f>IF(COUNTA(A507:C507)=0,"",SUM(H507:J507))</f>
        <v/>
      </c>
      <c r="H507" s="328" t="n"/>
      <c r="I507" s="330" t="n"/>
      <c r="J507" s="331" t="n"/>
      <c r="K507" s="331" t="n"/>
      <c r="L507" s="331" t="n"/>
      <c r="M507" s="332" t="n"/>
      <c r="N507" s="302">
        <f>IF(L507&gt;0,M507/L507,"")</f>
        <v/>
      </c>
      <c r="O507" s="317">
        <f>IF(E507&gt;0,F507/E507*100,"")</f>
        <v/>
      </c>
      <c r="P507" s="275">
        <f>IF(COUNTA(A507:C507)=0,"",IF(OR(A507="",B507="",C507="",D507&lt;0,E507&lt;0,F507&lt;0,H507&lt;0,I507&lt;0,J507&lt;0,K507&lt;0,L507&lt;0),"ERRO: valores inválidos",IF(D507&lt;&gt;E507+K507,"ERRO: total inconsistente",IF(E507&lt;&gt;F507+G507,"ERRO: finalizados inconsistentes",IF(G507&lt;&gt;SUM(H507:J507),"ERRO: reprovações inconsistentes","OK")))))</f>
        <v/>
      </c>
    </row>
    <row r="508" ht="15" customHeight="1" s="131">
      <c r="A508" s="320" t="n"/>
      <c r="B508" s="323" t="n"/>
      <c r="C508" s="323" t="n"/>
      <c r="D508" s="328" t="n"/>
      <c r="E508" s="328" t="n"/>
      <c r="F508" s="328" t="n"/>
      <c r="G508" s="329">
        <f>IF(COUNTA(A508:C508)=0,"",SUM(H508:J508))</f>
        <v/>
      </c>
      <c r="H508" s="328" t="n"/>
      <c r="I508" s="330" t="n"/>
      <c r="J508" s="331" t="n"/>
      <c r="K508" s="331" t="n"/>
      <c r="L508" s="331" t="n"/>
      <c r="M508" s="332" t="n"/>
      <c r="N508" s="302">
        <f>IF(L508&gt;0,M508/L508,"")</f>
        <v/>
      </c>
      <c r="O508" s="317">
        <f>IF(E508&gt;0,F508/E508*100,"")</f>
        <v/>
      </c>
      <c r="P508" s="275">
        <f>IF(COUNTA(A508:C508)=0,"",IF(OR(A508="",B508="",C508="",D508&lt;0,E508&lt;0,F508&lt;0,H508&lt;0,I508&lt;0,J508&lt;0,K508&lt;0,L508&lt;0),"ERRO: valores inválidos",IF(D508&lt;&gt;E508+K508,"ERRO: total inconsistente",IF(E508&lt;&gt;F508+G508,"ERRO: finalizados inconsistentes",IF(G508&lt;&gt;SUM(H508:J508),"ERRO: reprovações inconsistentes","OK")))))</f>
        <v/>
      </c>
    </row>
    <row r="509" ht="15" customHeight="1" s="131">
      <c r="A509" s="320" t="n"/>
      <c r="B509" s="323" t="n"/>
      <c r="C509" s="323" t="n"/>
      <c r="D509" s="328" t="n"/>
      <c r="E509" s="328" t="n"/>
      <c r="F509" s="328" t="n"/>
      <c r="G509" s="329">
        <f>IF(COUNTA(A509:C509)=0,"",SUM(H509:J509))</f>
        <v/>
      </c>
      <c r="H509" s="328" t="n"/>
      <c r="I509" s="330" t="n"/>
      <c r="J509" s="331" t="n"/>
      <c r="K509" s="331" t="n"/>
      <c r="L509" s="331" t="n"/>
      <c r="M509" s="332" t="n"/>
      <c r="N509" s="302">
        <f>IF(L509&gt;0,M509/L509,"")</f>
        <v/>
      </c>
      <c r="O509" s="317">
        <f>IF(E509&gt;0,F509/E509*100,"")</f>
        <v/>
      </c>
      <c r="P509" s="275">
        <f>IF(COUNTA(A509:C509)=0,"",IF(OR(A509="",B509="",C509="",D509&lt;0,E509&lt;0,F509&lt;0,H509&lt;0,I509&lt;0,J509&lt;0,K509&lt;0,L509&lt;0),"ERRO: valores inválidos",IF(D509&lt;&gt;E509+K509,"ERRO: total inconsistente",IF(E509&lt;&gt;F509+G509,"ERRO: finalizados inconsistentes",IF(G509&lt;&gt;SUM(H509:J509),"ERRO: reprovações inconsistentes","OK")))))</f>
        <v/>
      </c>
    </row>
    <row r="510" ht="15" customHeight="1" s="131">
      <c r="A510" s="320" t="n"/>
      <c r="B510" s="323" t="n"/>
      <c r="C510" s="323" t="n"/>
      <c r="D510" s="328" t="n"/>
      <c r="E510" s="328" t="n"/>
      <c r="F510" s="328" t="n"/>
      <c r="G510" s="329">
        <f>IF(COUNTA(A510:C510)=0,"",SUM(H510:J510))</f>
        <v/>
      </c>
      <c r="H510" s="328" t="n"/>
      <c r="I510" s="330" t="n"/>
      <c r="J510" s="331" t="n"/>
      <c r="K510" s="331" t="n"/>
      <c r="L510" s="331" t="n"/>
      <c r="M510" s="332" t="n"/>
      <c r="N510" s="302">
        <f>IF(L510&gt;0,M510/L510,"")</f>
        <v/>
      </c>
      <c r="O510" s="317">
        <f>IF(E510&gt;0,F510/E510*100,"")</f>
        <v/>
      </c>
      <c r="P510" s="275">
        <f>IF(COUNTA(A510:C510)=0,"",IF(OR(A510="",B510="",C510="",D510&lt;0,E510&lt;0,F510&lt;0,H510&lt;0,I510&lt;0,J510&lt;0,K510&lt;0,L510&lt;0),"ERRO: valores inválidos",IF(D510&lt;&gt;E510+K510,"ERRO: total inconsistente",IF(E510&lt;&gt;F510+G510,"ERRO: finalizados inconsistentes",IF(G510&lt;&gt;SUM(H510:J510),"ERRO: reprovações inconsistentes","OK")))))</f>
        <v/>
      </c>
    </row>
    <row r="511" ht="15" customHeight="1" s="131">
      <c r="A511" s="320" t="n"/>
      <c r="B511" s="323" t="n"/>
      <c r="C511" s="323" t="n"/>
      <c r="D511" s="328" t="n"/>
      <c r="E511" s="328" t="n"/>
      <c r="F511" s="328" t="n"/>
      <c r="G511" s="329">
        <f>IF(COUNTA(A511:C511)=0,"",SUM(H511:J511))</f>
        <v/>
      </c>
      <c r="H511" s="328" t="n"/>
      <c r="I511" s="330" t="n"/>
      <c r="J511" s="331" t="n"/>
      <c r="K511" s="331" t="n"/>
      <c r="L511" s="331" t="n"/>
      <c r="M511" s="332" t="n"/>
      <c r="N511" s="302">
        <f>IF(L511&gt;0,M511/L511,"")</f>
        <v/>
      </c>
      <c r="O511" s="317">
        <f>IF(E511&gt;0,F511/E511*100,"")</f>
        <v/>
      </c>
      <c r="P511" s="275">
        <f>IF(COUNTA(A511:C511)=0,"",IF(OR(A511="",B511="",C511="",D511&lt;0,E511&lt;0,F511&lt;0,H511&lt;0,I511&lt;0,J511&lt;0,K511&lt;0,L511&lt;0),"ERRO: valores inválidos",IF(D511&lt;&gt;E511+K511,"ERRO: total inconsistente",IF(E511&lt;&gt;F511+G511,"ERRO: finalizados inconsistentes",IF(G511&lt;&gt;SUM(H511:J511),"ERRO: reprovações inconsistentes","OK")))))</f>
        <v/>
      </c>
    </row>
    <row r="512" ht="15" customHeight="1" s="131">
      <c r="A512" s="320" t="n"/>
      <c r="B512" s="323" t="n"/>
      <c r="C512" s="323" t="n"/>
      <c r="D512" s="328" t="n"/>
      <c r="E512" s="328" t="n"/>
      <c r="F512" s="328" t="n"/>
      <c r="G512" s="329">
        <f>IF(COUNTA(A512:C512)=0,"",SUM(H512:J512))</f>
        <v/>
      </c>
      <c r="H512" s="328" t="n"/>
      <c r="I512" s="330" t="n"/>
      <c r="J512" s="331" t="n"/>
      <c r="K512" s="331" t="n"/>
      <c r="L512" s="331" t="n"/>
      <c r="M512" s="332" t="n"/>
      <c r="N512" s="302">
        <f>IF(L512&gt;0,M512/L512,"")</f>
        <v/>
      </c>
      <c r="O512" s="317">
        <f>IF(E512&gt;0,F512/E512*100,"")</f>
        <v/>
      </c>
      <c r="P512" s="275">
        <f>IF(COUNTA(A512:C512)=0,"",IF(OR(A512="",B512="",C512="",D512&lt;0,E512&lt;0,F512&lt;0,H512&lt;0,I512&lt;0,J512&lt;0,K512&lt;0,L512&lt;0),"ERRO: valores inválidos",IF(D512&lt;&gt;E512+K512,"ERRO: total inconsistente",IF(E512&lt;&gt;F512+G512,"ERRO: finalizados inconsistentes",IF(G512&lt;&gt;SUM(H512:J512),"ERRO: reprovações inconsistentes","OK")))))</f>
        <v/>
      </c>
    </row>
    <row r="513" ht="15" customHeight="1" s="131">
      <c r="A513" s="320" t="n"/>
      <c r="B513" s="323" t="n"/>
      <c r="C513" s="323" t="n"/>
      <c r="D513" s="328" t="n"/>
      <c r="E513" s="328" t="n"/>
      <c r="F513" s="328" t="n"/>
      <c r="G513" s="329">
        <f>IF(COUNTA(A513:C513)=0,"",SUM(H513:J513))</f>
        <v/>
      </c>
      <c r="H513" s="328" t="n"/>
      <c r="I513" s="330" t="n"/>
      <c r="J513" s="331" t="n"/>
      <c r="K513" s="331" t="n"/>
      <c r="L513" s="331" t="n"/>
      <c r="M513" s="332" t="n"/>
      <c r="N513" s="302">
        <f>IF(L513&gt;0,M513/L513,"")</f>
        <v/>
      </c>
      <c r="O513" s="317">
        <f>IF(E513&gt;0,F513/E513*100,"")</f>
        <v/>
      </c>
      <c r="P513" s="275">
        <f>IF(COUNTA(A513:C513)=0,"",IF(OR(A513="",B513="",C513="",D513&lt;0,E513&lt;0,F513&lt;0,H513&lt;0,I513&lt;0,J513&lt;0,K513&lt;0,L513&lt;0),"ERRO: valores inválidos",IF(D513&lt;&gt;E513+K513,"ERRO: total inconsistente",IF(E513&lt;&gt;F513+G513,"ERRO: finalizados inconsistentes",IF(G513&lt;&gt;SUM(H513:J513),"ERRO: reprovações inconsistentes","OK")))))</f>
        <v/>
      </c>
    </row>
    <row r="514" ht="15" customHeight="1" s="131">
      <c r="A514" s="320" t="n"/>
      <c r="B514" s="323" t="n"/>
      <c r="C514" s="323" t="n"/>
      <c r="D514" s="328" t="n"/>
      <c r="E514" s="328" t="n"/>
      <c r="F514" s="328" t="n"/>
      <c r="G514" s="329">
        <f>IF(COUNTA(A514:C514)=0,"",SUM(H514:J514))</f>
        <v/>
      </c>
      <c r="H514" s="328" t="n"/>
      <c r="I514" s="330" t="n"/>
      <c r="J514" s="331" t="n"/>
      <c r="K514" s="331" t="n"/>
      <c r="L514" s="331" t="n"/>
      <c r="M514" s="332" t="n"/>
      <c r="N514" s="302">
        <f>IF(L514&gt;0,M514/L514,"")</f>
        <v/>
      </c>
      <c r="O514" s="317">
        <f>IF(E514&gt;0,F514/E514*100,"")</f>
        <v/>
      </c>
      <c r="P514" s="275">
        <f>IF(COUNTA(A514:C514)=0,"",IF(OR(A514="",B514="",C514="",D514&lt;0,E514&lt;0,F514&lt;0,H514&lt;0,I514&lt;0,J514&lt;0,K514&lt;0,L514&lt;0),"ERRO: valores inválidos",IF(D514&lt;&gt;E514+K514,"ERRO: total inconsistente",IF(E514&lt;&gt;F514+G514,"ERRO: finalizados inconsistentes",IF(G514&lt;&gt;SUM(H514:J514),"ERRO: reprovações inconsistentes","OK")))))</f>
        <v/>
      </c>
    </row>
    <row r="515" ht="15" customHeight="1" s="131">
      <c r="A515" s="320" t="n"/>
      <c r="B515" s="323" t="n"/>
      <c r="C515" s="323" t="n"/>
      <c r="D515" s="328" t="n"/>
      <c r="E515" s="328" t="n"/>
      <c r="F515" s="328" t="n"/>
      <c r="G515" s="329">
        <f>IF(COUNTA(A515:C515)=0,"",SUM(H515:J515))</f>
        <v/>
      </c>
      <c r="H515" s="328" t="n"/>
      <c r="I515" s="330" t="n"/>
      <c r="J515" s="331" t="n"/>
      <c r="K515" s="331" t="n"/>
      <c r="L515" s="331" t="n"/>
      <c r="M515" s="332" t="n"/>
      <c r="N515" s="302">
        <f>IF(L515&gt;0,M515/L515,"")</f>
        <v/>
      </c>
      <c r="O515" s="317">
        <f>IF(E515&gt;0,F515/E515*100,"")</f>
        <v/>
      </c>
      <c r="P515" s="275">
        <f>IF(COUNTA(A515:C515)=0,"",IF(OR(A515="",B515="",C515="",D515&lt;0,E515&lt;0,F515&lt;0,H515&lt;0,I515&lt;0,J515&lt;0,K515&lt;0,L515&lt;0),"ERRO: valores inválidos",IF(D515&lt;&gt;E515+K515,"ERRO: total inconsistente",IF(E515&lt;&gt;F515+G515,"ERRO: finalizados inconsistentes",IF(G515&lt;&gt;SUM(H515:J515),"ERRO: reprovações inconsistentes","OK")))))</f>
        <v/>
      </c>
    </row>
    <row r="516" ht="15" customHeight="1" s="131">
      <c r="A516" s="320" t="n"/>
      <c r="B516" s="323" t="n"/>
      <c r="C516" s="323" t="n"/>
      <c r="D516" s="328" t="n"/>
      <c r="E516" s="328" t="n"/>
      <c r="F516" s="328" t="n"/>
      <c r="G516" s="329">
        <f>IF(COUNTA(A516:C516)=0,"",SUM(H516:J516))</f>
        <v/>
      </c>
      <c r="H516" s="328" t="n"/>
      <c r="I516" s="330" t="n"/>
      <c r="J516" s="331" t="n"/>
      <c r="K516" s="331" t="n"/>
      <c r="L516" s="331" t="n"/>
      <c r="M516" s="332" t="n"/>
      <c r="N516" s="302">
        <f>IF(L516&gt;0,M516/L516,"")</f>
        <v/>
      </c>
      <c r="O516" s="317">
        <f>IF(E516&gt;0,F516/E516*100,"")</f>
        <v/>
      </c>
      <c r="P516" s="275">
        <f>IF(COUNTA(A516:C516)=0,"",IF(OR(A516="",B516="",C516="",D516&lt;0,E516&lt;0,F516&lt;0,H516&lt;0,I516&lt;0,J516&lt;0,K516&lt;0,L516&lt;0),"ERRO: valores inválidos",IF(D516&lt;&gt;E516+K516,"ERRO: total inconsistente",IF(E516&lt;&gt;F516+G516,"ERRO: finalizados inconsistentes",IF(G516&lt;&gt;SUM(H516:J516),"ERRO: reprovações inconsistentes","OK")))))</f>
        <v/>
      </c>
    </row>
    <row r="517" ht="15" customHeight="1" s="131">
      <c r="A517" s="320" t="n"/>
      <c r="B517" s="323" t="n"/>
      <c r="C517" s="323" t="n"/>
      <c r="D517" s="328" t="n"/>
      <c r="E517" s="328" t="n"/>
      <c r="F517" s="328" t="n"/>
      <c r="G517" s="329">
        <f>IF(COUNTA(A517:C517)=0,"",SUM(H517:J517))</f>
        <v/>
      </c>
      <c r="H517" s="328" t="n"/>
      <c r="I517" s="330" t="n"/>
      <c r="J517" s="331" t="n"/>
      <c r="K517" s="331" t="n"/>
      <c r="L517" s="331" t="n"/>
      <c r="M517" s="332" t="n"/>
      <c r="N517" s="302">
        <f>IF(L517&gt;0,M517/L517,"")</f>
        <v/>
      </c>
      <c r="O517" s="317">
        <f>IF(E517&gt;0,F517/E517*100,"")</f>
        <v/>
      </c>
      <c r="P517" s="275">
        <f>IF(COUNTA(A517:C517)=0,"",IF(OR(A517="",B517="",C517="",D517&lt;0,E517&lt;0,F517&lt;0,H517&lt;0,I517&lt;0,J517&lt;0,K517&lt;0,L517&lt;0),"ERRO: valores inválidos",IF(D517&lt;&gt;E517+K517,"ERRO: total inconsistente",IF(E517&lt;&gt;F517+G517,"ERRO: finalizados inconsistentes",IF(G517&lt;&gt;SUM(H517:J517),"ERRO: reprovações inconsistentes","OK")))))</f>
        <v/>
      </c>
    </row>
    <row r="518" ht="15" customHeight="1" s="131">
      <c r="A518" s="320" t="n"/>
      <c r="B518" s="323" t="n"/>
      <c r="C518" s="323" t="n"/>
      <c r="D518" s="328" t="n"/>
      <c r="E518" s="328" t="n"/>
      <c r="F518" s="328" t="n"/>
      <c r="G518" s="329">
        <f>IF(COUNTA(A518:C518)=0,"",SUM(H518:J518))</f>
        <v/>
      </c>
      <c r="H518" s="328" t="n"/>
      <c r="I518" s="330" t="n"/>
      <c r="J518" s="331" t="n"/>
      <c r="K518" s="331" t="n"/>
      <c r="L518" s="331" t="n"/>
      <c r="M518" s="332" t="n"/>
      <c r="N518" s="302">
        <f>IF(L518&gt;0,M518/L518,"")</f>
        <v/>
      </c>
      <c r="O518" s="317">
        <f>IF(E518&gt;0,F518/E518*100,"")</f>
        <v/>
      </c>
      <c r="P518" s="275">
        <f>IF(COUNTA(A518:C518)=0,"",IF(OR(A518="",B518="",C518="",D518&lt;0,E518&lt;0,F518&lt;0,H518&lt;0,I518&lt;0,J518&lt;0,K518&lt;0,L518&lt;0),"ERRO: valores inválidos",IF(D518&lt;&gt;E518+K518,"ERRO: total inconsistente",IF(E518&lt;&gt;F518+G518,"ERRO: finalizados inconsistentes",IF(G518&lt;&gt;SUM(H518:J518),"ERRO: reprovações inconsistentes","OK")))))</f>
        <v/>
      </c>
    </row>
    <row r="519" ht="15" customHeight="1" s="131">
      <c r="A519" s="320" t="n"/>
      <c r="B519" s="323" t="n"/>
      <c r="C519" s="323" t="n"/>
      <c r="D519" s="328" t="n"/>
      <c r="E519" s="328" t="n"/>
      <c r="F519" s="328" t="n"/>
      <c r="G519" s="329">
        <f>IF(COUNTA(A519:C519)=0,"",SUM(H519:J519))</f>
        <v/>
      </c>
      <c r="H519" s="328" t="n"/>
      <c r="I519" s="330" t="n"/>
      <c r="J519" s="331" t="n"/>
      <c r="K519" s="331" t="n"/>
      <c r="L519" s="331" t="n"/>
      <c r="M519" s="332" t="n"/>
      <c r="N519" s="302">
        <f>IF(L519&gt;0,M519/L519,"")</f>
        <v/>
      </c>
      <c r="O519" s="317">
        <f>IF(E519&gt;0,F519/E519*100,"")</f>
        <v/>
      </c>
      <c r="P519" s="275">
        <f>IF(COUNTA(A519:C519)=0,"",IF(OR(A519="",B519="",C519="",D519&lt;0,E519&lt;0,F519&lt;0,H519&lt;0,I519&lt;0,J519&lt;0,K519&lt;0,L519&lt;0),"ERRO: valores inválidos",IF(D519&lt;&gt;E519+K519,"ERRO: total inconsistente",IF(E519&lt;&gt;F519+G519,"ERRO: finalizados inconsistentes",IF(G519&lt;&gt;SUM(H519:J519),"ERRO: reprovações inconsistentes","OK")))))</f>
        <v/>
      </c>
    </row>
    <row r="520" ht="15" customHeight="1" s="131">
      <c r="A520" s="320" t="n"/>
      <c r="B520" s="323" t="n"/>
      <c r="C520" s="323" t="n"/>
      <c r="D520" s="328" t="n"/>
      <c r="E520" s="328" t="n"/>
      <c r="F520" s="328" t="n"/>
      <c r="G520" s="329">
        <f>IF(COUNTA(A520:C520)=0,"",SUM(H520:J520))</f>
        <v/>
      </c>
      <c r="H520" s="328" t="n"/>
      <c r="I520" s="330" t="n"/>
      <c r="J520" s="331" t="n"/>
      <c r="K520" s="331" t="n"/>
      <c r="L520" s="331" t="n"/>
      <c r="M520" s="332" t="n"/>
      <c r="N520" s="302">
        <f>IF(L520&gt;0,M520/L520,"")</f>
        <v/>
      </c>
      <c r="O520" s="317">
        <f>IF(E520&gt;0,F520/E520*100,"")</f>
        <v/>
      </c>
      <c r="P520" s="275">
        <f>IF(COUNTA(A520:C520)=0,"",IF(OR(A520="",B520="",C520="",D520&lt;0,E520&lt;0,F520&lt;0,H520&lt;0,I520&lt;0,J520&lt;0,K520&lt;0,L520&lt;0),"ERRO: valores inválidos",IF(D520&lt;&gt;E520+K520,"ERRO: total inconsistente",IF(E520&lt;&gt;F520+G520,"ERRO: finalizados inconsistentes",IF(G520&lt;&gt;SUM(H520:J520),"ERRO: reprovações inconsistentes","OK")))))</f>
        <v/>
      </c>
    </row>
    <row r="521" ht="15" customHeight="1" s="131">
      <c r="A521" s="320" t="n"/>
      <c r="B521" s="323" t="n"/>
      <c r="C521" s="323" t="n"/>
      <c r="D521" s="328" t="n"/>
      <c r="E521" s="328" t="n"/>
      <c r="F521" s="328" t="n"/>
      <c r="G521" s="329">
        <f>IF(COUNTA(A521:C521)=0,"",SUM(H521:J521))</f>
        <v/>
      </c>
      <c r="H521" s="328" t="n"/>
      <c r="I521" s="330" t="n"/>
      <c r="J521" s="331" t="n"/>
      <c r="K521" s="331" t="n"/>
      <c r="L521" s="331" t="n"/>
      <c r="M521" s="332" t="n"/>
      <c r="N521" s="302">
        <f>IF(L521&gt;0,M521/L521,"")</f>
        <v/>
      </c>
      <c r="O521" s="317">
        <f>IF(E521&gt;0,F521/E521*100,"")</f>
        <v/>
      </c>
      <c r="P521" s="275">
        <f>IF(COUNTA(A521:C521)=0,"",IF(OR(A521="",B521="",C521="",D521&lt;0,E521&lt;0,F521&lt;0,H521&lt;0,I521&lt;0,J521&lt;0,K521&lt;0,L521&lt;0),"ERRO: valores inválidos",IF(D521&lt;&gt;E521+K521,"ERRO: total inconsistente",IF(E521&lt;&gt;F521+G521,"ERRO: finalizados inconsistentes",IF(G521&lt;&gt;SUM(H521:J521),"ERRO: reprovações inconsistentes","OK")))))</f>
        <v/>
      </c>
    </row>
    <row r="522" ht="15" customHeight="1" s="131">
      <c r="A522" s="320" t="n"/>
      <c r="B522" s="323" t="n"/>
      <c r="C522" s="323" t="n"/>
      <c r="D522" s="328" t="n"/>
      <c r="E522" s="328" t="n"/>
      <c r="F522" s="328" t="n"/>
      <c r="G522" s="329">
        <f>IF(COUNTA(A522:C522)=0,"",SUM(H522:J522))</f>
        <v/>
      </c>
      <c r="H522" s="328" t="n"/>
      <c r="I522" s="330" t="n"/>
      <c r="J522" s="331" t="n"/>
      <c r="K522" s="331" t="n"/>
      <c r="L522" s="331" t="n"/>
      <c r="M522" s="332" t="n"/>
      <c r="N522" s="302">
        <f>IF(L522&gt;0,M522/L522,"")</f>
        <v/>
      </c>
      <c r="O522" s="317">
        <f>IF(E522&gt;0,F522/E522*100,"")</f>
        <v/>
      </c>
      <c r="P522" s="275">
        <f>IF(COUNTA(A522:C522)=0,"",IF(OR(A522="",B522="",C522="",D522&lt;0,E522&lt;0,F522&lt;0,H522&lt;0,I522&lt;0,J522&lt;0,K522&lt;0,L522&lt;0),"ERRO: valores inválidos",IF(D522&lt;&gt;E522+K522,"ERRO: total inconsistente",IF(E522&lt;&gt;F522+G522,"ERRO: finalizados inconsistentes",IF(G522&lt;&gt;SUM(H522:J522),"ERRO: reprovações inconsistentes","OK")))))</f>
        <v/>
      </c>
    </row>
    <row r="523" ht="15" customHeight="1" s="131">
      <c r="A523" s="320" t="n"/>
      <c r="B523" s="323" t="n"/>
      <c r="C523" s="323" t="n"/>
      <c r="D523" s="328" t="n"/>
      <c r="E523" s="328" t="n"/>
      <c r="F523" s="328" t="n"/>
      <c r="G523" s="329">
        <f>IF(COUNTA(A523:C523)=0,"",SUM(H523:J523))</f>
        <v/>
      </c>
      <c r="H523" s="328" t="n"/>
      <c r="I523" s="330" t="n"/>
      <c r="J523" s="331" t="n"/>
      <c r="K523" s="331" t="n"/>
      <c r="L523" s="331" t="n"/>
      <c r="M523" s="332" t="n"/>
      <c r="N523" s="302">
        <f>IF(L523&gt;0,M523/L523,"")</f>
        <v/>
      </c>
      <c r="O523" s="317">
        <f>IF(E523&gt;0,F523/E523*100,"")</f>
        <v/>
      </c>
      <c r="P523" s="275">
        <f>IF(COUNTA(A523:C523)=0,"",IF(OR(A523="",B523="",C523="",D523&lt;0,E523&lt;0,F523&lt;0,H523&lt;0,I523&lt;0,J523&lt;0,K523&lt;0,L523&lt;0),"ERRO: valores inválidos",IF(D523&lt;&gt;E523+K523,"ERRO: total inconsistente",IF(E523&lt;&gt;F523+G523,"ERRO: finalizados inconsistentes",IF(G523&lt;&gt;SUM(H523:J523),"ERRO: reprovações inconsistentes","OK")))))</f>
        <v/>
      </c>
    </row>
    <row r="524" ht="15" customHeight="1" s="131">
      <c r="A524" s="320" t="n"/>
      <c r="B524" s="323" t="n"/>
      <c r="C524" s="323" t="n"/>
      <c r="D524" s="328" t="n"/>
      <c r="E524" s="328" t="n"/>
      <c r="F524" s="328" t="n"/>
      <c r="G524" s="329">
        <f>IF(COUNTA(A524:C524)=0,"",SUM(H524:J524))</f>
        <v/>
      </c>
      <c r="H524" s="328" t="n"/>
      <c r="I524" s="330" t="n"/>
      <c r="J524" s="331" t="n"/>
      <c r="K524" s="331" t="n"/>
      <c r="L524" s="331" t="n"/>
      <c r="M524" s="332" t="n"/>
      <c r="N524" s="302">
        <f>IF(L524&gt;0,M524/L524,"")</f>
        <v/>
      </c>
      <c r="O524" s="317">
        <f>IF(E524&gt;0,F524/E524*100,"")</f>
        <v/>
      </c>
      <c r="P524" s="275">
        <f>IF(COUNTA(A524:C524)=0,"",IF(OR(A524="",B524="",C524="",D524&lt;0,E524&lt;0,F524&lt;0,H524&lt;0,I524&lt;0,J524&lt;0,K524&lt;0,L524&lt;0),"ERRO: valores inválidos",IF(D524&lt;&gt;E524+K524,"ERRO: total inconsistente",IF(E524&lt;&gt;F524+G524,"ERRO: finalizados inconsistentes",IF(G524&lt;&gt;SUM(H524:J524),"ERRO: reprovações inconsistentes","OK")))))</f>
        <v/>
      </c>
    </row>
    <row r="525" ht="15" customHeight="1" s="131">
      <c r="A525" s="320" t="n"/>
      <c r="B525" s="323" t="n"/>
      <c r="C525" s="323" t="n"/>
      <c r="D525" s="328" t="n"/>
      <c r="E525" s="328" t="n"/>
      <c r="F525" s="328" t="n"/>
      <c r="G525" s="329">
        <f>IF(COUNTA(A525:C525)=0,"",SUM(H525:J525))</f>
        <v/>
      </c>
      <c r="H525" s="328" t="n"/>
      <c r="I525" s="330" t="n"/>
      <c r="J525" s="331" t="n"/>
      <c r="K525" s="331" t="n"/>
      <c r="L525" s="331" t="n"/>
      <c r="M525" s="332" t="n"/>
      <c r="N525" s="302">
        <f>IF(L525&gt;0,M525/L525,"")</f>
        <v/>
      </c>
      <c r="O525" s="317">
        <f>IF(E525&gt;0,F525/E525*100,"")</f>
        <v/>
      </c>
      <c r="P525" s="275">
        <f>IF(COUNTA(A525:C525)=0,"",IF(OR(A525="",B525="",C525="",D525&lt;0,E525&lt;0,F525&lt;0,H525&lt;0,I525&lt;0,J525&lt;0,K525&lt;0,L525&lt;0),"ERRO: valores inválidos",IF(D525&lt;&gt;E525+K525,"ERRO: total inconsistente",IF(E525&lt;&gt;F525+G525,"ERRO: finalizados inconsistentes",IF(G525&lt;&gt;SUM(H525:J525),"ERRO: reprovações inconsistentes","OK")))))</f>
        <v/>
      </c>
    </row>
    <row r="526" ht="15" customHeight="1" s="131">
      <c r="A526" s="320" t="n"/>
      <c r="B526" s="323" t="n"/>
      <c r="C526" s="323" t="n"/>
      <c r="D526" s="328" t="n"/>
      <c r="E526" s="328" t="n"/>
      <c r="F526" s="328" t="n"/>
      <c r="G526" s="329">
        <f>IF(COUNTA(A526:C526)=0,"",SUM(H526:J526))</f>
        <v/>
      </c>
      <c r="H526" s="328" t="n"/>
      <c r="I526" s="330" t="n"/>
      <c r="J526" s="331" t="n"/>
      <c r="K526" s="331" t="n"/>
      <c r="L526" s="331" t="n"/>
      <c r="M526" s="332" t="n"/>
      <c r="N526" s="302">
        <f>IF(L526&gt;0,M526/L526,"")</f>
        <v/>
      </c>
      <c r="O526" s="317">
        <f>IF(E526&gt;0,F526/E526*100,"")</f>
        <v/>
      </c>
      <c r="P526" s="275">
        <f>IF(COUNTA(A526:C526)=0,"",IF(OR(A526="",B526="",C526="",D526&lt;0,E526&lt;0,F526&lt;0,H526&lt;0,I526&lt;0,J526&lt;0,K526&lt;0,L526&lt;0),"ERRO: valores inválidos",IF(D526&lt;&gt;E526+K526,"ERRO: total inconsistente",IF(E526&lt;&gt;F526+G526,"ERRO: finalizados inconsistentes",IF(G526&lt;&gt;SUM(H526:J526),"ERRO: reprovações inconsistentes","OK")))))</f>
        <v/>
      </c>
    </row>
    <row r="527" ht="15" customHeight="1" s="131">
      <c r="A527" s="320" t="n"/>
      <c r="B527" s="323" t="n"/>
      <c r="C527" s="323" t="n"/>
      <c r="D527" s="328" t="n"/>
      <c r="E527" s="328" t="n"/>
      <c r="F527" s="328" t="n"/>
      <c r="G527" s="329">
        <f>IF(COUNTA(A527:C527)=0,"",SUM(H527:J527))</f>
        <v/>
      </c>
      <c r="H527" s="328" t="n"/>
      <c r="I527" s="330" t="n"/>
      <c r="J527" s="331" t="n"/>
      <c r="K527" s="331" t="n"/>
      <c r="L527" s="331" t="n"/>
      <c r="M527" s="332" t="n"/>
      <c r="N527" s="302">
        <f>IF(L527&gt;0,M527/L527,"")</f>
        <v/>
      </c>
      <c r="O527" s="317">
        <f>IF(E527&gt;0,F527/E527*100,"")</f>
        <v/>
      </c>
      <c r="P527" s="275">
        <f>IF(COUNTA(A527:C527)=0,"",IF(OR(A527="",B527="",C527="",D527&lt;0,E527&lt;0,F527&lt;0,H527&lt;0,I527&lt;0,J527&lt;0,K527&lt;0,L527&lt;0),"ERRO: valores inválidos",IF(D527&lt;&gt;E527+K527,"ERRO: total inconsistente",IF(E527&lt;&gt;F527+G527,"ERRO: finalizados inconsistentes",IF(G527&lt;&gt;SUM(H527:J527),"ERRO: reprovações inconsistentes","OK")))))</f>
        <v/>
      </c>
    </row>
    <row r="528" ht="15" customHeight="1" s="131">
      <c r="A528" s="320" t="n"/>
      <c r="B528" s="323" t="n"/>
      <c r="C528" s="323" t="n"/>
      <c r="D528" s="328" t="n"/>
      <c r="E528" s="328" t="n"/>
      <c r="F528" s="328" t="n"/>
      <c r="G528" s="329">
        <f>IF(COUNTA(A528:C528)=0,"",SUM(H528:J528))</f>
        <v/>
      </c>
      <c r="H528" s="328" t="n"/>
      <c r="I528" s="330" t="n"/>
      <c r="J528" s="331" t="n"/>
      <c r="K528" s="331" t="n"/>
      <c r="L528" s="331" t="n"/>
      <c r="M528" s="332" t="n"/>
      <c r="N528" s="302">
        <f>IF(L528&gt;0,M528/L528,"")</f>
        <v/>
      </c>
      <c r="O528" s="317">
        <f>IF(E528&gt;0,F528/E528*100,"")</f>
        <v/>
      </c>
      <c r="P528" s="275">
        <f>IF(COUNTA(A528:C528)=0,"",IF(OR(A528="",B528="",C528="",D528&lt;0,E528&lt;0,F528&lt;0,H528&lt;0,I528&lt;0,J528&lt;0,K528&lt;0,L528&lt;0),"ERRO: valores inválidos",IF(D528&lt;&gt;E528+K528,"ERRO: total inconsistente",IF(E528&lt;&gt;F528+G528,"ERRO: finalizados inconsistentes",IF(G528&lt;&gt;SUM(H528:J528),"ERRO: reprovações inconsistentes","OK")))))</f>
        <v/>
      </c>
    </row>
    <row r="529" ht="15" customHeight="1" s="131">
      <c r="A529" s="320" t="n"/>
      <c r="B529" s="323" t="n"/>
      <c r="C529" s="323" t="n"/>
      <c r="D529" s="328" t="n"/>
      <c r="E529" s="328" t="n"/>
      <c r="F529" s="328" t="n"/>
      <c r="G529" s="329">
        <f>IF(COUNTA(A529:C529)=0,"",SUM(H529:J529))</f>
        <v/>
      </c>
      <c r="H529" s="328" t="n"/>
      <c r="I529" s="330" t="n"/>
      <c r="J529" s="331" t="n"/>
      <c r="K529" s="331" t="n"/>
      <c r="L529" s="331" t="n"/>
      <c r="M529" s="332" t="n"/>
      <c r="N529" s="302">
        <f>IF(L529&gt;0,M529/L529,"")</f>
        <v/>
      </c>
      <c r="O529" s="317">
        <f>IF(E529&gt;0,F529/E529*100,"")</f>
        <v/>
      </c>
      <c r="P529" s="275">
        <f>IF(COUNTA(A529:C529)=0,"",IF(OR(A529="",B529="",C529="",D529&lt;0,E529&lt;0,F529&lt;0,H529&lt;0,I529&lt;0,J529&lt;0,K529&lt;0,L529&lt;0),"ERRO: valores inválidos",IF(D529&lt;&gt;E529+K529,"ERRO: total inconsistente",IF(E529&lt;&gt;F529+G529,"ERRO: finalizados inconsistentes",IF(G529&lt;&gt;SUM(H529:J529),"ERRO: reprovações inconsistentes","OK")))))</f>
        <v/>
      </c>
    </row>
    <row r="530" ht="15" customHeight="1" s="131">
      <c r="A530" s="320" t="n"/>
      <c r="B530" s="323" t="n"/>
      <c r="C530" s="323" t="n"/>
      <c r="D530" s="328" t="n"/>
      <c r="E530" s="328" t="n"/>
      <c r="F530" s="328" t="n"/>
      <c r="G530" s="329">
        <f>IF(COUNTA(A530:C530)=0,"",SUM(H530:J530))</f>
        <v/>
      </c>
      <c r="H530" s="328" t="n"/>
      <c r="I530" s="330" t="n"/>
      <c r="J530" s="331" t="n"/>
      <c r="K530" s="331" t="n"/>
      <c r="L530" s="331" t="n"/>
      <c r="M530" s="332" t="n"/>
      <c r="N530" s="302">
        <f>IF(L530&gt;0,M530/L530,"")</f>
        <v/>
      </c>
      <c r="O530" s="317">
        <f>IF(E530&gt;0,F530/E530*100,"")</f>
        <v/>
      </c>
      <c r="P530" s="275">
        <f>IF(COUNTA(A530:C530)=0,"",IF(OR(A530="",B530="",C530="",D530&lt;0,E530&lt;0,F530&lt;0,H530&lt;0,I530&lt;0,J530&lt;0,K530&lt;0,L530&lt;0),"ERRO: valores inválidos",IF(D530&lt;&gt;E530+K530,"ERRO: total inconsistente",IF(E530&lt;&gt;F530+G530,"ERRO: finalizados inconsistentes",IF(G530&lt;&gt;SUM(H530:J530),"ERRO: reprovações inconsistentes","OK")))))</f>
        <v/>
      </c>
    </row>
    <row r="531" ht="15" customHeight="1" s="131">
      <c r="A531" s="320" t="n"/>
      <c r="B531" s="323" t="n"/>
      <c r="C531" s="323" t="n"/>
      <c r="D531" s="328" t="n"/>
      <c r="E531" s="328" t="n"/>
      <c r="F531" s="328" t="n"/>
      <c r="G531" s="329">
        <f>IF(COUNTA(A531:C531)=0,"",SUM(H531:J531))</f>
        <v/>
      </c>
      <c r="H531" s="328" t="n"/>
      <c r="I531" s="330" t="n"/>
      <c r="J531" s="331" t="n"/>
      <c r="K531" s="331" t="n"/>
      <c r="L531" s="331" t="n"/>
      <c r="M531" s="332" t="n"/>
      <c r="N531" s="302">
        <f>IF(L531&gt;0,M531/L531,"")</f>
        <v/>
      </c>
      <c r="O531" s="317">
        <f>IF(E531&gt;0,F531/E531*100,"")</f>
        <v/>
      </c>
      <c r="P531" s="275">
        <f>IF(COUNTA(A531:C531)=0,"",IF(OR(A531="",B531="",C531="",D531&lt;0,E531&lt;0,F531&lt;0,H531&lt;0,I531&lt;0,J531&lt;0,K531&lt;0,L531&lt;0),"ERRO: valores inválidos",IF(D531&lt;&gt;E531+K531,"ERRO: total inconsistente",IF(E531&lt;&gt;F531+G531,"ERRO: finalizados inconsistentes",IF(G531&lt;&gt;SUM(H531:J531),"ERRO: reprovações inconsistentes","OK")))))</f>
        <v/>
      </c>
    </row>
    <row r="532" ht="15" customHeight="1" s="131">
      <c r="A532" s="320" t="n"/>
      <c r="B532" s="323" t="n"/>
      <c r="C532" s="323" t="n"/>
      <c r="D532" s="328" t="n"/>
      <c r="E532" s="328" t="n"/>
      <c r="F532" s="328" t="n"/>
      <c r="G532" s="329">
        <f>IF(COUNTA(A532:C532)=0,"",SUM(H532:J532))</f>
        <v/>
      </c>
      <c r="H532" s="328" t="n"/>
      <c r="I532" s="330" t="n"/>
      <c r="J532" s="331" t="n"/>
      <c r="K532" s="331" t="n"/>
      <c r="L532" s="331" t="n"/>
      <c r="M532" s="332" t="n"/>
      <c r="N532" s="302">
        <f>IF(L532&gt;0,M532/L532,"")</f>
        <v/>
      </c>
      <c r="O532" s="317">
        <f>IF(E532&gt;0,F532/E532*100,"")</f>
        <v/>
      </c>
      <c r="P532" s="275">
        <f>IF(COUNTA(A532:C532)=0,"",IF(OR(A532="",B532="",C532="",D532&lt;0,E532&lt;0,F532&lt;0,H532&lt;0,I532&lt;0,J532&lt;0,K532&lt;0,L532&lt;0),"ERRO: valores inválidos",IF(D532&lt;&gt;E532+K532,"ERRO: total inconsistente",IF(E532&lt;&gt;F532+G532,"ERRO: finalizados inconsistentes",IF(G532&lt;&gt;SUM(H532:J532),"ERRO: reprovações inconsistentes","OK")))))</f>
        <v/>
      </c>
    </row>
    <row r="533" ht="15" customHeight="1" s="131">
      <c r="A533" s="320" t="n"/>
      <c r="B533" s="323" t="n"/>
      <c r="C533" s="323" t="n"/>
      <c r="D533" s="328" t="n"/>
      <c r="E533" s="328" t="n"/>
      <c r="F533" s="328" t="n"/>
      <c r="G533" s="329">
        <f>IF(COUNTA(A533:C533)=0,"",SUM(H533:J533))</f>
        <v/>
      </c>
      <c r="H533" s="328" t="n"/>
      <c r="I533" s="330" t="n"/>
      <c r="J533" s="331" t="n"/>
      <c r="K533" s="331" t="n"/>
      <c r="L533" s="331" t="n"/>
      <c r="M533" s="332" t="n"/>
      <c r="N533" s="302">
        <f>IF(L533&gt;0,M533/L533,"")</f>
        <v/>
      </c>
      <c r="O533" s="317">
        <f>IF(E533&gt;0,F533/E533*100,"")</f>
        <v/>
      </c>
      <c r="P533" s="275">
        <f>IF(COUNTA(A533:C533)=0,"",IF(OR(A533="",B533="",C533="",D533&lt;0,E533&lt;0,F533&lt;0,H533&lt;0,I533&lt;0,J533&lt;0,K533&lt;0,L533&lt;0),"ERRO: valores inválidos",IF(D533&lt;&gt;E533+K533,"ERRO: total inconsistente",IF(E533&lt;&gt;F533+G533,"ERRO: finalizados inconsistentes",IF(G533&lt;&gt;SUM(H533:J533),"ERRO: reprovações inconsistentes","OK")))))</f>
        <v/>
      </c>
    </row>
    <row r="534" ht="15" customHeight="1" s="131">
      <c r="A534" s="320" t="n"/>
      <c r="B534" s="323" t="n"/>
      <c r="C534" s="323" t="n"/>
      <c r="D534" s="328" t="n"/>
      <c r="E534" s="328" t="n"/>
      <c r="F534" s="328" t="n"/>
      <c r="G534" s="329">
        <f>IF(COUNTA(A534:C534)=0,"",SUM(H534:J534))</f>
        <v/>
      </c>
      <c r="H534" s="328" t="n"/>
      <c r="I534" s="330" t="n"/>
      <c r="J534" s="331" t="n"/>
      <c r="K534" s="331" t="n"/>
      <c r="L534" s="331" t="n"/>
      <c r="M534" s="332" t="n"/>
      <c r="N534" s="302">
        <f>IF(L534&gt;0,M534/L534,"")</f>
        <v/>
      </c>
      <c r="O534" s="317">
        <f>IF(E534&gt;0,F534/E534*100,"")</f>
        <v/>
      </c>
      <c r="P534" s="275">
        <f>IF(COUNTA(A534:C534)=0,"",IF(OR(A534="",B534="",C534="",D534&lt;0,E534&lt;0,F534&lt;0,H534&lt;0,I534&lt;0,J534&lt;0,K534&lt;0,L534&lt;0),"ERRO: valores inválidos",IF(D534&lt;&gt;E534+K534,"ERRO: total inconsistente",IF(E534&lt;&gt;F534+G534,"ERRO: finalizados inconsistentes",IF(G534&lt;&gt;SUM(H534:J534),"ERRO: reprovações inconsistentes","OK")))))</f>
        <v/>
      </c>
    </row>
    <row r="535" ht="15" customHeight="1" s="131">
      <c r="A535" s="320" t="n"/>
      <c r="B535" s="323" t="n"/>
      <c r="C535" s="323" t="n"/>
      <c r="D535" s="328" t="n"/>
      <c r="E535" s="328" t="n"/>
      <c r="F535" s="328" t="n"/>
      <c r="G535" s="329">
        <f>IF(COUNTA(A535:C535)=0,"",SUM(H535:J535))</f>
        <v/>
      </c>
      <c r="H535" s="328" t="n"/>
      <c r="I535" s="330" t="n"/>
      <c r="J535" s="331" t="n"/>
      <c r="K535" s="331" t="n"/>
      <c r="L535" s="331" t="n"/>
      <c r="M535" s="332" t="n"/>
      <c r="N535" s="302">
        <f>IF(L535&gt;0,M535/L535,"")</f>
        <v/>
      </c>
      <c r="O535" s="317">
        <f>IF(E535&gt;0,F535/E535*100,"")</f>
        <v/>
      </c>
      <c r="P535" s="275">
        <f>IF(COUNTA(A535:C535)=0,"",IF(OR(A535="",B535="",C535="",D535&lt;0,E535&lt;0,F535&lt;0,H535&lt;0,I535&lt;0,J535&lt;0,K535&lt;0,L535&lt;0),"ERRO: valores inválidos",IF(D535&lt;&gt;E535+K535,"ERRO: total inconsistente",IF(E535&lt;&gt;F535+G535,"ERRO: finalizados inconsistentes",IF(G535&lt;&gt;SUM(H535:J535),"ERRO: reprovações inconsistentes","OK")))))</f>
        <v/>
      </c>
    </row>
    <row r="536" ht="15" customHeight="1" s="131">
      <c r="A536" s="320" t="n"/>
      <c r="B536" s="323" t="n"/>
      <c r="C536" s="323" t="n"/>
      <c r="D536" s="328" t="n"/>
      <c r="E536" s="328" t="n"/>
      <c r="F536" s="328" t="n"/>
      <c r="G536" s="329">
        <f>IF(COUNTA(A536:C536)=0,"",SUM(H536:J536))</f>
        <v/>
      </c>
      <c r="H536" s="328" t="n"/>
      <c r="I536" s="330" t="n"/>
      <c r="J536" s="331" t="n"/>
      <c r="K536" s="331" t="n"/>
      <c r="L536" s="331" t="n"/>
      <c r="M536" s="332" t="n"/>
      <c r="N536" s="302">
        <f>IF(L536&gt;0,M536/L536,"")</f>
        <v/>
      </c>
      <c r="O536" s="317">
        <f>IF(E536&gt;0,F536/E536*100,"")</f>
        <v/>
      </c>
      <c r="P536" s="275">
        <f>IF(COUNTA(A536:C536)=0,"",IF(OR(A536="",B536="",C536="",D536&lt;0,E536&lt;0,F536&lt;0,H536&lt;0,I536&lt;0,J536&lt;0,K536&lt;0,L536&lt;0),"ERRO: valores inválidos",IF(D536&lt;&gt;E536+K536,"ERRO: total inconsistente",IF(E536&lt;&gt;F536+G536,"ERRO: finalizados inconsistentes",IF(G536&lt;&gt;SUM(H536:J536),"ERRO: reprovações inconsistentes","OK")))))</f>
        <v/>
      </c>
    </row>
    <row r="537" ht="15" customHeight="1" s="131">
      <c r="A537" s="320" t="n"/>
      <c r="B537" s="323" t="n"/>
      <c r="C537" s="323" t="n"/>
      <c r="D537" s="328" t="n"/>
      <c r="E537" s="328" t="n"/>
      <c r="F537" s="328" t="n"/>
      <c r="G537" s="329">
        <f>IF(COUNTA(A537:C537)=0,"",SUM(H537:J537))</f>
        <v/>
      </c>
      <c r="H537" s="328" t="n"/>
      <c r="I537" s="330" t="n"/>
      <c r="J537" s="331" t="n"/>
      <c r="K537" s="331" t="n"/>
      <c r="L537" s="331" t="n"/>
      <c r="M537" s="332" t="n"/>
      <c r="N537" s="302">
        <f>IF(L537&gt;0,M537/L537,"")</f>
        <v/>
      </c>
      <c r="O537" s="317">
        <f>IF(E537&gt;0,F537/E537*100,"")</f>
        <v/>
      </c>
      <c r="P537" s="275">
        <f>IF(COUNTA(A537:C537)=0,"",IF(OR(A537="",B537="",C537="",D537&lt;0,E537&lt;0,F537&lt;0,H537&lt;0,I537&lt;0,J537&lt;0,K537&lt;0,L537&lt;0),"ERRO: valores inválidos",IF(D537&lt;&gt;E537+K537,"ERRO: total inconsistente",IF(E537&lt;&gt;F537+G537,"ERRO: finalizados inconsistentes",IF(G537&lt;&gt;SUM(H537:J537),"ERRO: reprovações inconsistentes","OK")))))</f>
        <v/>
      </c>
    </row>
    <row r="538" ht="15" customHeight="1" s="131">
      <c r="A538" s="320" t="n"/>
      <c r="B538" s="323" t="n"/>
      <c r="C538" s="323" t="n"/>
      <c r="D538" s="328" t="n"/>
      <c r="E538" s="328" t="n"/>
      <c r="F538" s="328" t="n"/>
      <c r="G538" s="329">
        <f>IF(COUNTA(A538:C538)=0,"",SUM(H538:J538))</f>
        <v/>
      </c>
      <c r="H538" s="328" t="n"/>
      <c r="I538" s="330" t="n"/>
      <c r="J538" s="331" t="n"/>
      <c r="K538" s="331" t="n"/>
      <c r="L538" s="331" t="n"/>
      <c r="M538" s="332" t="n"/>
      <c r="N538" s="302">
        <f>IF(L538&gt;0,M538/L538,"")</f>
        <v/>
      </c>
      <c r="O538" s="317">
        <f>IF(E538&gt;0,F538/E538*100,"")</f>
        <v/>
      </c>
      <c r="P538" s="275">
        <f>IF(COUNTA(A538:C538)=0,"",IF(OR(A538="",B538="",C538="",D538&lt;0,E538&lt;0,F538&lt;0,H538&lt;0,I538&lt;0,J538&lt;0,K538&lt;0,L538&lt;0),"ERRO: valores inválidos",IF(D538&lt;&gt;E538+K538,"ERRO: total inconsistente",IF(E538&lt;&gt;F538+G538,"ERRO: finalizados inconsistentes",IF(G538&lt;&gt;SUM(H538:J538),"ERRO: reprovações inconsistentes","OK")))))</f>
        <v/>
      </c>
    </row>
    <row r="539" ht="15" customHeight="1" s="131">
      <c r="A539" s="320" t="n"/>
      <c r="B539" s="323" t="n"/>
      <c r="C539" s="323" t="n"/>
      <c r="D539" s="328" t="n"/>
      <c r="E539" s="328" t="n"/>
      <c r="F539" s="328" t="n"/>
      <c r="G539" s="329">
        <f>IF(COUNTA(A539:C539)=0,"",SUM(H539:J539))</f>
        <v/>
      </c>
      <c r="H539" s="328" t="n"/>
      <c r="I539" s="330" t="n"/>
      <c r="J539" s="331" t="n"/>
      <c r="K539" s="331" t="n"/>
      <c r="L539" s="331" t="n"/>
      <c r="M539" s="332" t="n"/>
      <c r="N539" s="302">
        <f>IF(L539&gt;0,M539/L539,"")</f>
        <v/>
      </c>
      <c r="O539" s="317">
        <f>IF(E539&gt;0,F539/E539*100,"")</f>
        <v/>
      </c>
      <c r="P539" s="275">
        <f>IF(COUNTA(A539:C539)=0,"",IF(OR(A539="",B539="",C539="",D539&lt;0,E539&lt;0,F539&lt;0,H539&lt;0,I539&lt;0,J539&lt;0,K539&lt;0,L539&lt;0),"ERRO: valores inválidos",IF(D539&lt;&gt;E539+K539,"ERRO: total inconsistente",IF(E539&lt;&gt;F539+G539,"ERRO: finalizados inconsistentes",IF(G539&lt;&gt;SUM(H539:J539),"ERRO: reprovações inconsistentes","OK")))))</f>
        <v/>
      </c>
    </row>
    <row r="540" ht="15" customHeight="1" s="131">
      <c r="A540" s="320" t="n"/>
      <c r="B540" s="323" t="n"/>
      <c r="C540" s="323" t="n"/>
      <c r="D540" s="328" t="n"/>
      <c r="E540" s="328" t="n"/>
      <c r="F540" s="328" t="n"/>
      <c r="G540" s="329">
        <f>IF(COUNTA(A540:C540)=0,"",SUM(H540:J540))</f>
        <v/>
      </c>
      <c r="H540" s="328" t="n"/>
      <c r="I540" s="330" t="n"/>
      <c r="J540" s="331" t="n"/>
      <c r="K540" s="331" t="n"/>
      <c r="L540" s="331" t="n"/>
      <c r="M540" s="332" t="n"/>
      <c r="N540" s="302">
        <f>IF(L540&gt;0,M540/L540,"")</f>
        <v/>
      </c>
      <c r="O540" s="317">
        <f>IF(E540&gt;0,F540/E540*100,"")</f>
        <v/>
      </c>
      <c r="P540" s="275">
        <f>IF(COUNTA(A540:C540)=0,"",IF(OR(A540="",B540="",C540="",D540&lt;0,E540&lt;0,F540&lt;0,H540&lt;0,I540&lt;0,J540&lt;0,K540&lt;0,L540&lt;0),"ERRO: valores inválidos",IF(D540&lt;&gt;E540+K540,"ERRO: total inconsistente",IF(E540&lt;&gt;F540+G540,"ERRO: finalizados inconsistentes",IF(G540&lt;&gt;SUM(H540:J540),"ERRO: reprovações inconsistentes","OK")))))</f>
        <v/>
      </c>
    </row>
    <row r="541" ht="15" customHeight="1" s="131">
      <c r="A541" s="320" t="n"/>
      <c r="B541" s="323" t="n"/>
      <c r="C541" s="323" t="n"/>
      <c r="D541" s="328" t="n"/>
      <c r="E541" s="328" t="n"/>
      <c r="F541" s="328" t="n"/>
      <c r="G541" s="329">
        <f>IF(COUNTA(A541:C541)=0,"",SUM(H541:J541))</f>
        <v/>
      </c>
      <c r="H541" s="328" t="n"/>
      <c r="I541" s="330" t="n"/>
      <c r="J541" s="331" t="n"/>
      <c r="K541" s="331" t="n"/>
      <c r="L541" s="331" t="n"/>
      <c r="M541" s="332" t="n"/>
      <c r="N541" s="302">
        <f>IF(L541&gt;0,M541/L541,"")</f>
        <v/>
      </c>
      <c r="O541" s="317">
        <f>IF(E541&gt;0,F541/E541*100,"")</f>
        <v/>
      </c>
      <c r="P541" s="275">
        <f>IF(COUNTA(A541:C541)=0,"",IF(OR(A541="",B541="",C541="",D541&lt;0,E541&lt;0,F541&lt;0,H541&lt;0,I541&lt;0,J541&lt;0,K541&lt;0,L541&lt;0),"ERRO: valores inválidos",IF(D541&lt;&gt;E541+K541,"ERRO: total inconsistente",IF(E541&lt;&gt;F541+G541,"ERRO: finalizados inconsistentes",IF(G541&lt;&gt;SUM(H541:J541),"ERRO: reprovações inconsistentes","OK")))))</f>
        <v/>
      </c>
    </row>
    <row r="542" ht="15" customHeight="1" s="131">
      <c r="A542" s="320" t="n"/>
      <c r="B542" s="323" t="n"/>
      <c r="C542" s="323" t="n"/>
      <c r="D542" s="328" t="n"/>
      <c r="E542" s="328" t="n"/>
      <c r="F542" s="328" t="n"/>
      <c r="G542" s="329">
        <f>IF(COUNTA(A542:C542)=0,"",SUM(H542:J542))</f>
        <v/>
      </c>
      <c r="H542" s="328" t="n"/>
      <c r="I542" s="330" t="n"/>
      <c r="J542" s="331" t="n"/>
      <c r="K542" s="331" t="n"/>
      <c r="L542" s="331" t="n"/>
      <c r="M542" s="332" t="n"/>
      <c r="N542" s="302">
        <f>IF(L542&gt;0,M542/L542,"")</f>
        <v/>
      </c>
      <c r="O542" s="317">
        <f>IF(E542&gt;0,F542/E542*100,"")</f>
        <v/>
      </c>
      <c r="P542" s="275">
        <f>IF(COUNTA(A542:C542)=0,"",IF(OR(A542="",B542="",C542="",D542&lt;0,E542&lt;0,F542&lt;0,H542&lt;0,I542&lt;0,J542&lt;0,K542&lt;0,L542&lt;0),"ERRO: valores inválidos",IF(D542&lt;&gt;E542+K542,"ERRO: total inconsistente",IF(E542&lt;&gt;F542+G542,"ERRO: finalizados inconsistentes",IF(G542&lt;&gt;SUM(H542:J542),"ERRO: reprovações inconsistentes","OK")))))</f>
        <v/>
      </c>
    </row>
    <row r="543" ht="15" customHeight="1" s="131">
      <c r="A543" s="320" t="n"/>
      <c r="B543" s="323" t="n"/>
      <c r="C543" s="323" t="n"/>
      <c r="D543" s="328" t="n"/>
      <c r="E543" s="328" t="n"/>
      <c r="F543" s="328" t="n"/>
      <c r="G543" s="329">
        <f>IF(COUNTA(A543:C543)=0,"",SUM(H543:J543))</f>
        <v/>
      </c>
      <c r="H543" s="328" t="n"/>
      <c r="I543" s="330" t="n"/>
      <c r="J543" s="331" t="n"/>
      <c r="K543" s="331" t="n"/>
      <c r="L543" s="331" t="n"/>
      <c r="M543" s="332" t="n"/>
      <c r="N543" s="302">
        <f>IF(L543&gt;0,M543/L543,"")</f>
        <v/>
      </c>
      <c r="O543" s="317">
        <f>IF(E543&gt;0,F543/E543*100,"")</f>
        <v/>
      </c>
      <c r="P543" s="275">
        <f>IF(COUNTA(A543:C543)=0,"",IF(OR(A543="",B543="",C543="",D543&lt;0,E543&lt;0,F543&lt;0,H543&lt;0,I543&lt;0,J543&lt;0,K543&lt;0,L543&lt;0),"ERRO: valores inválidos",IF(D543&lt;&gt;E543+K543,"ERRO: total inconsistente",IF(E543&lt;&gt;F543+G543,"ERRO: finalizados inconsistentes",IF(G543&lt;&gt;SUM(H543:J543),"ERRO: reprovações inconsistentes","OK")))))</f>
        <v/>
      </c>
    </row>
    <row r="544" ht="15" customHeight="1" s="131">
      <c r="A544" s="320" t="n"/>
      <c r="B544" s="323" t="n"/>
      <c r="C544" s="323" t="n"/>
      <c r="D544" s="328" t="n"/>
      <c r="E544" s="328" t="n"/>
      <c r="F544" s="328" t="n"/>
      <c r="G544" s="329">
        <f>IF(COUNTA(A544:C544)=0,"",SUM(H544:J544))</f>
        <v/>
      </c>
      <c r="H544" s="328" t="n"/>
      <c r="I544" s="330" t="n"/>
      <c r="J544" s="331" t="n"/>
      <c r="K544" s="331" t="n"/>
      <c r="L544" s="331" t="n"/>
      <c r="M544" s="332" t="n"/>
      <c r="N544" s="302">
        <f>IF(L544&gt;0,M544/L544,"")</f>
        <v/>
      </c>
      <c r="O544" s="317">
        <f>IF(E544&gt;0,F544/E544*100,"")</f>
        <v/>
      </c>
      <c r="P544" s="275">
        <f>IF(COUNTA(A544:C544)=0,"",IF(OR(A544="",B544="",C544="",D544&lt;0,E544&lt;0,F544&lt;0,H544&lt;0,I544&lt;0,J544&lt;0,K544&lt;0,L544&lt;0),"ERRO: valores inválidos",IF(D544&lt;&gt;E544+K544,"ERRO: total inconsistente",IF(E544&lt;&gt;F544+G544,"ERRO: finalizados inconsistentes",IF(G544&lt;&gt;SUM(H544:J544),"ERRO: reprovações inconsistentes","OK")))))</f>
        <v/>
      </c>
    </row>
    <row r="545" ht="15" customHeight="1" s="131">
      <c r="A545" s="320" t="n"/>
      <c r="B545" s="323" t="n"/>
      <c r="C545" s="323" t="n"/>
      <c r="D545" s="328" t="n"/>
      <c r="E545" s="328" t="n"/>
      <c r="F545" s="328" t="n"/>
      <c r="G545" s="329">
        <f>IF(COUNTA(A545:C545)=0,"",SUM(H545:J545))</f>
        <v/>
      </c>
      <c r="H545" s="328" t="n"/>
      <c r="I545" s="330" t="n"/>
      <c r="J545" s="331" t="n"/>
      <c r="K545" s="331" t="n"/>
      <c r="L545" s="331" t="n"/>
      <c r="M545" s="332" t="n"/>
      <c r="N545" s="302">
        <f>IF(L545&gt;0,M545/L545,"")</f>
        <v/>
      </c>
      <c r="O545" s="317">
        <f>IF(E545&gt;0,F545/E545*100,"")</f>
        <v/>
      </c>
      <c r="P545" s="275">
        <f>IF(COUNTA(A545:C545)=0,"",IF(OR(A545="",B545="",C545="",D545&lt;0,E545&lt;0,F545&lt;0,H545&lt;0,I545&lt;0,J545&lt;0,K545&lt;0,L545&lt;0),"ERRO: valores inválidos",IF(D545&lt;&gt;E545+K545,"ERRO: total inconsistente",IF(E545&lt;&gt;F545+G545,"ERRO: finalizados inconsistentes",IF(G545&lt;&gt;SUM(H545:J545),"ERRO: reprovações inconsistentes","OK")))))</f>
        <v/>
      </c>
    </row>
    <row r="546" ht="15" customHeight="1" s="131">
      <c r="A546" s="320" t="n"/>
      <c r="B546" s="323" t="n"/>
      <c r="C546" s="323" t="n"/>
      <c r="D546" s="328" t="n"/>
      <c r="E546" s="328" t="n"/>
      <c r="F546" s="328" t="n"/>
      <c r="G546" s="329">
        <f>IF(COUNTA(A546:C546)=0,"",SUM(H546:J546))</f>
        <v/>
      </c>
      <c r="H546" s="328" t="n"/>
      <c r="I546" s="330" t="n"/>
      <c r="J546" s="331" t="n"/>
      <c r="K546" s="331" t="n"/>
      <c r="L546" s="331" t="n"/>
      <c r="M546" s="332" t="n"/>
      <c r="N546" s="302">
        <f>IF(L546&gt;0,M546/L546,"")</f>
        <v/>
      </c>
      <c r="O546" s="317">
        <f>IF(E546&gt;0,F546/E546*100,"")</f>
        <v/>
      </c>
      <c r="P546" s="275">
        <f>IF(COUNTA(A546:C546)=0,"",IF(OR(A546="",B546="",C546="",D546&lt;0,E546&lt;0,F546&lt;0,H546&lt;0,I546&lt;0,J546&lt;0,K546&lt;0,L546&lt;0),"ERRO: valores inválidos",IF(D546&lt;&gt;E546+K546,"ERRO: total inconsistente",IF(E546&lt;&gt;F546+G546,"ERRO: finalizados inconsistentes",IF(G546&lt;&gt;SUM(H546:J546),"ERRO: reprovações inconsistentes","OK")))))</f>
        <v/>
      </c>
    </row>
    <row r="547" ht="15" customHeight="1" s="131">
      <c r="A547" s="320" t="n"/>
      <c r="B547" s="323" t="n"/>
      <c r="C547" s="323" t="n"/>
      <c r="D547" s="328" t="n"/>
      <c r="E547" s="328" t="n"/>
      <c r="F547" s="328" t="n"/>
      <c r="G547" s="329">
        <f>IF(COUNTA(A547:C547)=0,"",SUM(H547:J547))</f>
        <v/>
      </c>
      <c r="H547" s="328" t="n"/>
      <c r="I547" s="330" t="n"/>
      <c r="J547" s="331" t="n"/>
      <c r="K547" s="331" t="n"/>
      <c r="L547" s="331" t="n"/>
      <c r="M547" s="332" t="n"/>
      <c r="N547" s="302">
        <f>IF(L547&gt;0,M547/L547,"")</f>
        <v/>
      </c>
      <c r="O547" s="317">
        <f>IF(E547&gt;0,F547/E547*100,"")</f>
        <v/>
      </c>
      <c r="P547" s="275">
        <f>IF(COUNTA(A547:C547)=0,"",IF(OR(A547="",B547="",C547="",D547&lt;0,E547&lt;0,F547&lt;0,H547&lt;0,I547&lt;0,J547&lt;0,K547&lt;0,L547&lt;0),"ERRO: valores inválidos",IF(D547&lt;&gt;E547+K547,"ERRO: total inconsistente",IF(E547&lt;&gt;F547+G547,"ERRO: finalizados inconsistentes",IF(G547&lt;&gt;SUM(H547:J547),"ERRO: reprovações inconsistentes","OK")))))</f>
        <v/>
      </c>
    </row>
    <row r="548" ht="15" customHeight="1" s="131">
      <c r="A548" s="320" t="n"/>
      <c r="B548" s="323" t="n"/>
      <c r="C548" s="323" t="n"/>
      <c r="D548" s="328" t="n"/>
      <c r="E548" s="328" t="n"/>
      <c r="F548" s="328" t="n"/>
      <c r="G548" s="329">
        <f>IF(COUNTA(A548:C548)=0,"",SUM(H548:J548))</f>
        <v/>
      </c>
      <c r="H548" s="328" t="n"/>
      <c r="I548" s="330" t="n"/>
      <c r="J548" s="331" t="n"/>
      <c r="K548" s="331" t="n"/>
      <c r="L548" s="331" t="n"/>
      <c r="M548" s="332" t="n"/>
      <c r="N548" s="302">
        <f>IF(L548&gt;0,M548/L548,"")</f>
        <v/>
      </c>
      <c r="O548" s="317">
        <f>IF(E548&gt;0,F548/E548*100,"")</f>
        <v/>
      </c>
      <c r="P548" s="275">
        <f>IF(COUNTA(A548:C548)=0,"",IF(OR(A548="",B548="",C548="",D548&lt;0,E548&lt;0,F548&lt;0,H548&lt;0,I548&lt;0,J548&lt;0,K548&lt;0,L548&lt;0),"ERRO: valores inválidos",IF(D548&lt;&gt;E548+K548,"ERRO: total inconsistente",IF(E548&lt;&gt;F548+G548,"ERRO: finalizados inconsistentes",IF(G548&lt;&gt;SUM(H548:J548),"ERRO: reprovações inconsistentes","OK")))))</f>
        <v/>
      </c>
    </row>
    <row r="549" ht="15" customHeight="1" s="131">
      <c r="A549" s="320" t="n"/>
      <c r="B549" s="323" t="n"/>
      <c r="C549" s="323" t="n"/>
      <c r="D549" s="328" t="n"/>
      <c r="E549" s="328" t="n"/>
      <c r="F549" s="328" t="n"/>
      <c r="G549" s="329">
        <f>IF(COUNTA(A549:C549)=0,"",SUM(H549:J549))</f>
        <v/>
      </c>
      <c r="H549" s="328" t="n"/>
      <c r="I549" s="330" t="n"/>
      <c r="J549" s="331" t="n"/>
      <c r="K549" s="331" t="n"/>
      <c r="L549" s="331" t="n"/>
      <c r="M549" s="332" t="n"/>
      <c r="N549" s="302">
        <f>IF(L549&gt;0,M549/L549,"")</f>
        <v/>
      </c>
      <c r="O549" s="317">
        <f>IF(E549&gt;0,F549/E549*100,"")</f>
        <v/>
      </c>
      <c r="P549" s="275">
        <f>IF(COUNTA(A549:C549)=0,"",IF(OR(A549="",B549="",C549="",D549&lt;0,E549&lt;0,F549&lt;0,H549&lt;0,I549&lt;0,J549&lt;0,K549&lt;0,L549&lt;0),"ERRO: valores inválidos",IF(D549&lt;&gt;E549+K549,"ERRO: total inconsistente",IF(E549&lt;&gt;F549+G549,"ERRO: finalizados inconsistentes",IF(G549&lt;&gt;SUM(H549:J549),"ERRO: reprovações inconsistentes","OK")))))</f>
        <v/>
      </c>
    </row>
    <row r="550" ht="15" customHeight="1" s="131">
      <c r="A550" s="320" t="n"/>
      <c r="B550" s="323" t="n"/>
      <c r="C550" s="323" t="n"/>
      <c r="D550" s="328" t="n"/>
      <c r="E550" s="328" t="n"/>
      <c r="F550" s="328" t="n"/>
      <c r="G550" s="329">
        <f>IF(COUNTA(A550:C550)=0,"",SUM(H550:J550))</f>
        <v/>
      </c>
      <c r="H550" s="328" t="n"/>
      <c r="I550" s="330" t="n"/>
      <c r="J550" s="331" t="n"/>
      <c r="K550" s="331" t="n"/>
      <c r="L550" s="331" t="n"/>
      <c r="M550" s="332" t="n"/>
      <c r="N550" s="302">
        <f>IF(L550&gt;0,M550/L550,"")</f>
        <v/>
      </c>
      <c r="O550" s="317">
        <f>IF(E550&gt;0,F550/E550*100,"")</f>
        <v/>
      </c>
      <c r="P550" s="275">
        <f>IF(COUNTA(A550:C550)=0,"",IF(OR(A550="",B550="",C550="",D550&lt;0,E550&lt;0,F550&lt;0,H550&lt;0,I550&lt;0,J550&lt;0,K550&lt;0,L550&lt;0),"ERRO: valores inválidos",IF(D550&lt;&gt;E550+K550,"ERRO: total inconsistente",IF(E550&lt;&gt;F550+G550,"ERRO: finalizados inconsistentes",IF(G550&lt;&gt;SUM(H550:J550),"ERRO: reprovações inconsistentes","OK")))))</f>
        <v/>
      </c>
    </row>
    <row r="551" ht="15" customHeight="1" s="131">
      <c r="A551" s="320" t="n"/>
      <c r="B551" s="323" t="n"/>
      <c r="C551" s="323" t="n"/>
      <c r="D551" s="328" t="n"/>
      <c r="E551" s="328" t="n"/>
      <c r="F551" s="328" t="n"/>
      <c r="G551" s="329">
        <f>IF(COUNTA(A551:C551)=0,"",SUM(H551:J551))</f>
        <v/>
      </c>
      <c r="H551" s="328" t="n"/>
      <c r="I551" s="330" t="n"/>
      <c r="J551" s="331" t="n"/>
      <c r="K551" s="331" t="n"/>
      <c r="L551" s="331" t="n"/>
      <c r="M551" s="332" t="n"/>
      <c r="N551" s="302">
        <f>IF(L551&gt;0,M551/L551,"")</f>
        <v/>
      </c>
      <c r="O551" s="317">
        <f>IF(E551&gt;0,F551/E551*100,"")</f>
        <v/>
      </c>
      <c r="P551" s="275">
        <f>IF(COUNTA(A551:C551)=0,"",IF(OR(A551="",B551="",C551="",D551&lt;0,E551&lt;0,F551&lt;0,H551&lt;0,I551&lt;0,J551&lt;0,K551&lt;0,L551&lt;0),"ERRO: valores inválidos",IF(D551&lt;&gt;E551+K551,"ERRO: total inconsistente",IF(E551&lt;&gt;F551+G551,"ERRO: finalizados inconsistentes",IF(G551&lt;&gt;SUM(H551:J551),"ERRO: reprovações inconsistentes","OK")))))</f>
        <v/>
      </c>
    </row>
    <row r="552" ht="15" customHeight="1" s="131">
      <c r="A552" s="320" t="n"/>
      <c r="B552" s="323" t="n"/>
      <c r="C552" s="323" t="n"/>
      <c r="D552" s="328" t="n"/>
      <c r="E552" s="328" t="n"/>
      <c r="F552" s="328" t="n"/>
      <c r="G552" s="329">
        <f>IF(COUNTA(A552:C552)=0,"",SUM(H552:J552))</f>
        <v/>
      </c>
      <c r="H552" s="328" t="n"/>
      <c r="I552" s="330" t="n"/>
      <c r="J552" s="331" t="n"/>
      <c r="K552" s="331" t="n"/>
      <c r="L552" s="331" t="n"/>
      <c r="M552" s="332" t="n"/>
      <c r="N552" s="302">
        <f>IF(L552&gt;0,M552/L552,"")</f>
        <v/>
      </c>
      <c r="O552" s="317">
        <f>IF(E552&gt;0,F552/E552*100,"")</f>
        <v/>
      </c>
      <c r="P552" s="275">
        <f>IF(COUNTA(A552:C552)=0,"",IF(OR(A552="",B552="",C552="",D552&lt;0,E552&lt;0,F552&lt;0,H552&lt;0,I552&lt;0,J552&lt;0,K552&lt;0,L552&lt;0),"ERRO: valores inválidos",IF(D552&lt;&gt;E552+K552,"ERRO: total inconsistente",IF(E552&lt;&gt;F552+G552,"ERRO: finalizados inconsistentes",IF(G552&lt;&gt;SUM(H552:J552),"ERRO: reprovações inconsistentes","OK")))))</f>
        <v/>
      </c>
    </row>
    <row r="553" ht="15" customHeight="1" s="131">
      <c r="A553" s="320" t="n"/>
      <c r="B553" s="323" t="n"/>
      <c r="C553" s="323" t="n"/>
      <c r="D553" s="328" t="n"/>
      <c r="E553" s="328" t="n"/>
      <c r="F553" s="328" t="n"/>
      <c r="G553" s="329">
        <f>IF(COUNTA(A553:C553)=0,"",SUM(H553:J553))</f>
        <v/>
      </c>
      <c r="H553" s="328" t="n"/>
      <c r="I553" s="330" t="n"/>
      <c r="J553" s="331" t="n"/>
      <c r="K553" s="331" t="n"/>
      <c r="L553" s="331" t="n"/>
      <c r="M553" s="332" t="n"/>
      <c r="N553" s="302">
        <f>IF(L553&gt;0,M553/L553,"")</f>
        <v/>
      </c>
      <c r="O553" s="317">
        <f>IF(E553&gt;0,F553/E553*100,"")</f>
        <v/>
      </c>
      <c r="P553" s="275">
        <f>IF(COUNTA(A553:C553)=0,"",IF(OR(A553="",B553="",C553="",D553&lt;0,E553&lt;0,F553&lt;0,H553&lt;0,I553&lt;0,J553&lt;0,K553&lt;0,L553&lt;0),"ERRO: valores inválidos",IF(D553&lt;&gt;E553+K553,"ERRO: total inconsistente",IF(E553&lt;&gt;F553+G553,"ERRO: finalizados inconsistentes",IF(G553&lt;&gt;SUM(H553:J553),"ERRO: reprovações inconsistentes","OK")))))</f>
        <v/>
      </c>
    </row>
    <row r="554" ht="15" customHeight="1" s="131">
      <c r="A554" s="320" t="n"/>
      <c r="B554" s="323" t="n"/>
      <c r="C554" s="323" t="n"/>
      <c r="D554" s="328" t="n"/>
      <c r="E554" s="328" t="n"/>
      <c r="F554" s="328" t="n"/>
      <c r="G554" s="329">
        <f>IF(COUNTA(A554:C554)=0,"",SUM(H554:J554))</f>
        <v/>
      </c>
      <c r="H554" s="328" t="n"/>
      <c r="I554" s="330" t="n"/>
      <c r="J554" s="331" t="n"/>
      <c r="K554" s="331" t="n"/>
      <c r="L554" s="331" t="n"/>
      <c r="M554" s="332" t="n"/>
      <c r="N554" s="302">
        <f>IF(L554&gt;0,M554/L554,"")</f>
        <v/>
      </c>
      <c r="O554" s="317">
        <f>IF(E554&gt;0,F554/E554*100,"")</f>
        <v/>
      </c>
      <c r="P554" s="275">
        <f>IF(COUNTA(A554:C554)=0,"",IF(OR(A554="",B554="",C554="",D554&lt;0,E554&lt;0,F554&lt;0,H554&lt;0,I554&lt;0,J554&lt;0,K554&lt;0,L554&lt;0),"ERRO: valores inválidos",IF(D554&lt;&gt;E554+K554,"ERRO: total inconsistente",IF(E554&lt;&gt;F554+G554,"ERRO: finalizados inconsistentes",IF(G554&lt;&gt;SUM(H554:J554),"ERRO: reprovações inconsistentes","OK")))))</f>
        <v/>
      </c>
    </row>
    <row r="555" ht="15" customHeight="1" s="131">
      <c r="A555" s="320" t="n"/>
      <c r="B555" s="323" t="n"/>
      <c r="C555" s="323" t="n"/>
      <c r="D555" s="328" t="n"/>
      <c r="E555" s="328" t="n"/>
      <c r="F555" s="328" t="n"/>
      <c r="G555" s="329">
        <f>IF(COUNTA(A555:C555)=0,"",SUM(H555:J555))</f>
        <v/>
      </c>
      <c r="H555" s="328" t="n"/>
      <c r="I555" s="330" t="n"/>
      <c r="J555" s="331" t="n"/>
      <c r="K555" s="331" t="n"/>
      <c r="L555" s="331" t="n"/>
      <c r="M555" s="332" t="n"/>
      <c r="N555" s="302">
        <f>IF(L555&gt;0,M555/L555,"")</f>
        <v/>
      </c>
      <c r="O555" s="317">
        <f>IF(E555&gt;0,F555/E555*100,"")</f>
        <v/>
      </c>
      <c r="P555" s="275">
        <f>IF(COUNTA(A555:C555)=0,"",IF(OR(A555="",B555="",C555="",D555&lt;0,E555&lt;0,F555&lt;0,H555&lt;0,I555&lt;0,J555&lt;0,K555&lt;0,L555&lt;0),"ERRO: valores inválidos",IF(D555&lt;&gt;E555+K555,"ERRO: total inconsistente",IF(E555&lt;&gt;F555+G555,"ERRO: finalizados inconsistentes",IF(G555&lt;&gt;SUM(H555:J555),"ERRO: reprovações inconsistentes","OK")))))</f>
        <v/>
      </c>
    </row>
    <row r="556" ht="15" customHeight="1" s="131">
      <c r="A556" s="320" t="n"/>
      <c r="B556" s="323" t="n"/>
      <c r="C556" s="323" t="n"/>
      <c r="D556" s="328" t="n"/>
      <c r="E556" s="328" t="n"/>
      <c r="F556" s="328" t="n"/>
      <c r="G556" s="329">
        <f>IF(COUNTA(A556:C556)=0,"",SUM(H556:J556))</f>
        <v/>
      </c>
      <c r="H556" s="328" t="n"/>
      <c r="I556" s="330" t="n"/>
      <c r="J556" s="331" t="n"/>
      <c r="K556" s="331" t="n"/>
      <c r="L556" s="331" t="n"/>
      <c r="M556" s="332" t="n"/>
      <c r="N556" s="302">
        <f>IF(L556&gt;0,M556/L556,"")</f>
        <v/>
      </c>
      <c r="O556" s="317">
        <f>IF(E556&gt;0,F556/E556*100,"")</f>
        <v/>
      </c>
      <c r="P556" s="275">
        <f>IF(COUNTA(A556:C556)=0,"",IF(OR(A556="",B556="",C556="",D556&lt;0,E556&lt;0,F556&lt;0,H556&lt;0,I556&lt;0,J556&lt;0,K556&lt;0,L556&lt;0),"ERRO: valores inválidos",IF(D556&lt;&gt;E556+K556,"ERRO: total inconsistente",IF(E556&lt;&gt;F556+G556,"ERRO: finalizados inconsistentes",IF(G556&lt;&gt;SUM(H556:J556),"ERRO: reprovações inconsistentes","OK")))))</f>
        <v/>
      </c>
    </row>
    <row r="557" ht="15" customHeight="1" s="131">
      <c r="A557" s="320" t="n"/>
      <c r="B557" s="323" t="n"/>
      <c r="C557" s="323" t="n"/>
      <c r="D557" s="328" t="n"/>
      <c r="E557" s="328" t="n"/>
      <c r="F557" s="328" t="n"/>
      <c r="G557" s="329">
        <f>IF(COUNTA(A557:C557)=0,"",SUM(H557:J557))</f>
        <v/>
      </c>
      <c r="H557" s="328" t="n"/>
      <c r="I557" s="330" t="n"/>
      <c r="J557" s="331" t="n"/>
      <c r="K557" s="331" t="n"/>
      <c r="L557" s="331" t="n"/>
      <c r="M557" s="332" t="n"/>
      <c r="N557" s="302">
        <f>IF(L557&gt;0,M557/L557,"")</f>
        <v/>
      </c>
      <c r="O557" s="317">
        <f>IF(E557&gt;0,F557/E557*100,"")</f>
        <v/>
      </c>
      <c r="P557" s="275">
        <f>IF(COUNTA(A557:C557)=0,"",IF(OR(A557="",B557="",C557="",D557&lt;0,E557&lt;0,F557&lt;0,H557&lt;0,I557&lt;0,J557&lt;0,K557&lt;0,L557&lt;0),"ERRO: valores inválidos",IF(D557&lt;&gt;E557+K557,"ERRO: total inconsistente",IF(E557&lt;&gt;F557+G557,"ERRO: finalizados inconsistentes",IF(G557&lt;&gt;SUM(H557:J557),"ERRO: reprovações inconsistentes","OK")))))</f>
        <v/>
      </c>
    </row>
    <row r="558" ht="15" customHeight="1" s="131">
      <c r="A558" s="320" t="n"/>
      <c r="B558" s="323" t="n"/>
      <c r="C558" s="323" t="n"/>
      <c r="D558" s="328" t="n"/>
      <c r="E558" s="328" t="n"/>
      <c r="F558" s="328" t="n"/>
      <c r="G558" s="329">
        <f>IF(COUNTA(A558:C558)=0,"",SUM(H558:J558))</f>
        <v/>
      </c>
      <c r="H558" s="328" t="n"/>
      <c r="I558" s="330" t="n"/>
      <c r="J558" s="331" t="n"/>
      <c r="K558" s="331" t="n"/>
      <c r="L558" s="331" t="n"/>
      <c r="M558" s="332" t="n"/>
      <c r="N558" s="302">
        <f>IF(L558&gt;0,M558/L558,"")</f>
        <v/>
      </c>
      <c r="O558" s="317">
        <f>IF(E558&gt;0,F558/E558*100,"")</f>
        <v/>
      </c>
      <c r="P558" s="275">
        <f>IF(COUNTA(A558:C558)=0,"",IF(OR(A558="",B558="",C558="",D558&lt;0,E558&lt;0,F558&lt;0,H558&lt;0,I558&lt;0,J558&lt;0,K558&lt;0,L558&lt;0),"ERRO: valores inválidos",IF(D558&lt;&gt;E558+K558,"ERRO: total inconsistente",IF(E558&lt;&gt;F558+G558,"ERRO: finalizados inconsistentes",IF(G558&lt;&gt;SUM(H558:J558),"ERRO: reprovações inconsistentes","OK")))))</f>
        <v/>
      </c>
    </row>
    <row r="559" ht="15" customHeight="1" s="131">
      <c r="A559" s="320" t="n"/>
      <c r="B559" s="323" t="n"/>
      <c r="C559" s="323" t="n"/>
      <c r="D559" s="328" t="n"/>
      <c r="E559" s="328" t="n"/>
      <c r="F559" s="328" t="n"/>
      <c r="G559" s="329">
        <f>IF(COUNTA(A559:C559)=0,"",SUM(H559:J559))</f>
        <v/>
      </c>
      <c r="H559" s="328" t="n"/>
      <c r="I559" s="330" t="n"/>
      <c r="J559" s="331" t="n"/>
      <c r="K559" s="331" t="n"/>
      <c r="L559" s="331" t="n"/>
      <c r="M559" s="332" t="n"/>
      <c r="N559" s="302">
        <f>IF(L559&gt;0,M559/L559,"")</f>
        <v/>
      </c>
      <c r="O559" s="317">
        <f>IF(E559&gt;0,F559/E559*100,"")</f>
        <v/>
      </c>
      <c r="P559" s="275">
        <f>IF(COUNTA(A559:C559)=0,"",IF(OR(A559="",B559="",C559="",D559&lt;0,E559&lt;0,F559&lt;0,H559&lt;0,I559&lt;0,J559&lt;0,K559&lt;0,L559&lt;0),"ERRO: valores inválidos",IF(D559&lt;&gt;E559+K559,"ERRO: total inconsistente",IF(E559&lt;&gt;F559+G559,"ERRO: finalizados inconsistentes",IF(G559&lt;&gt;SUM(H559:J559),"ERRO: reprovações inconsistentes","OK")))))</f>
        <v/>
      </c>
    </row>
    <row r="560" ht="15" customHeight="1" s="131">
      <c r="A560" s="320" t="n"/>
      <c r="B560" s="323" t="n"/>
      <c r="C560" s="323" t="n"/>
      <c r="D560" s="328" t="n"/>
      <c r="E560" s="328" t="n"/>
      <c r="F560" s="328" t="n"/>
      <c r="G560" s="329">
        <f>IF(COUNTA(A560:C560)=0,"",SUM(H560:J560))</f>
        <v/>
      </c>
      <c r="H560" s="328" t="n"/>
      <c r="I560" s="330" t="n"/>
      <c r="J560" s="331" t="n"/>
      <c r="K560" s="331" t="n"/>
      <c r="L560" s="331" t="n"/>
      <c r="M560" s="332" t="n"/>
      <c r="N560" s="302">
        <f>IF(L560&gt;0,M560/L560,"")</f>
        <v/>
      </c>
      <c r="O560" s="317">
        <f>IF(E560&gt;0,F560/E560*100,"")</f>
        <v/>
      </c>
      <c r="P560" s="275">
        <f>IF(COUNTA(A560:C560)=0,"",IF(OR(A560="",B560="",C560="",D560&lt;0,E560&lt;0,F560&lt;0,H560&lt;0,I560&lt;0,J560&lt;0,K560&lt;0,L560&lt;0),"ERRO: valores inválidos",IF(D560&lt;&gt;E560+K560,"ERRO: total inconsistente",IF(E560&lt;&gt;F560+G560,"ERRO: finalizados inconsistentes",IF(G560&lt;&gt;SUM(H560:J560),"ERRO: reprovações inconsistentes","OK")))))</f>
        <v/>
      </c>
    </row>
    <row r="561" ht="15" customHeight="1" s="131">
      <c r="A561" s="320" t="n"/>
      <c r="B561" s="323" t="n"/>
      <c r="C561" s="323" t="n"/>
      <c r="D561" s="328" t="n"/>
      <c r="E561" s="328" t="n"/>
      <c r="F561" s="328" t="n"/>
      <c r="G561" s="329">
        <f>IF(COUNTA(A561:C561)=0,"",SUM(H561:J561))</f>
        <v/>
      </c>
      <c r="H561" s="328" t="n"/>
      <c r="I561" s="330" t="n"/>
      <c r="J561" s="331" t="n"/>
      <c r="K561" s="331" t="n"/>
      <c r="L561" s="331" t="n"/>
      <c r="M561" s="332" t="n"/>
      <c r="N561" s="302">
        <f>IF(L561&gt;0,M561/L561,"")</f>
        <v/>
      </c>
      <c r="O561" s="317">
        <f>IF(E561&gt;0,F561/E561*100,"")</f>
        <v/>
      </c>
      <c r="P561" s="275">
        <f>IF(COUNTA(A561:C561)=0,"",IF(OR(A561="",B561="",C561="",D561&lt;0,E561&lt;0,F561&lt;0,H561&lt;0,I561&lt;0,J561&lt;0,K561&lt;0,L561&lt;0),"ERRO: valores inválidos",IF(D561&lt;&gt;E561+K561,"ERRO: total inconsistente",IF(E561&lt;&gt;F561+G561,"ERRO: finalizados inconsistentes",IF(G561&lt;&gt;SUM(H561:J561),"ERRO: reprovações inconsistentes","OK")))))</f>
        <v/>
      </c>
    </row>
    <row r="562" ht="15" customHeight="1" s="131">
      <c r="A562" s="320" t="n"/>
      <c r="B562" s="323" t="n"/>
      <c r="C562" s="323" t="n"/>
      <c r="D562" s="328" t="n"/>
      <c r="E562" s="328" t="n"/>
      <c r="F562" s="328" t="n"/>
      <c r="G562" s="329">
        <f>IF(COUNTA(A562:C562)=0,"",SUM(H562:J562))</f>
        <v/>
      </c>
      <c r="H562" s="328" t="n"/>
      <c r="I562" s="330" t="n"/>
      <c r="J562" s="331" t="n"/>
      <c r="K562" s="331" t="n"/>
      <c r="L562" s="331" t="n"/>
      <c r="M562" s="332" t="n"/>
      <c r="N562" s="302">
        <f>IF(L562&gt;0,M562/L562,"")</f>
        <v/>
      </c>
      <c r="O562" s="317">
        <f>IF(E562&gt;0,F562/E562*100,"")</f>
        <v/>
      </c>
      <c r="P562" s="275">
        <f>IF(COUNTA(A562:C562)=0,"",IF(OR(A562="",B562="",C562="",D562&lt;0,E562&lt;0,F562&lt;0,H562&lt;0,I562&lt;0,J562&lt;0,K562&lt;0,L562&lt;0),"ERRO: valores inválidos",IF(D562&lt;&gt;E562+K562,"ERRO: total inconsistente",IF(E562&lt;&gt;F562+G562,"ERRO: finalizados inconsistentes",IF(G562&lt;&gt;SUM(H562:J562),"ERRO: reprovações inconsistentes","OK")))))</f>
        <v/>
      </c>
    </row>
    <row r="563" ht="15" customHeight="1" s="131">
      <c r="A563" s="320" t="n"/>
      <c r="B563" s="323" t="n"/>
      <c r="C563" s="323" t="n"/>
      <c r="D563" s="328" t="n"/>
      <c r="E563" s="328" t="n"/>
      <c r="F563" s="328" t="n"/>
      <c r="G563" s="329">
        <f>IF(COUNTA(A563:C563)=0,"",SUM(H563:J563))</f>
        <v/>
      </c>
      <c r="H563" s="328" t="n"/>
      <c r="I563" s="330" t="n"/>
      <c r="J563" s="331" t="n"/>
      <c r="K563" s="331" t="n"/>
      <c r="L563" s="331" t="n"/>
      <c r="M563" s="332" t="n"/>
      <c r="N563" s="302">
        <f>IF(L563&gt;0,M563/L563,"")</f>
        <v/>
      </c>
      <c r="O563" s="317">
        <f>IF(E563&gt;0,F563/E563*100,"")</f>
        <v/>
      </c>
      <c r="P563" s="275">
        <f>IF(COUNTA(A563:C563)=0,"",IF(OR(A563="",B563="",C563="",D563&lt;0,E563&lt;0,F563&lt;0,H563&lt;0,I563&lt;0,J563&lt;0,K563&lt;0,L563&lt;0),"ERRO: valores inválidos",IF(D563&lt;&gt;E563+K563,"ERRO: total inconsistente",IF(E563&lt;&gt;F563+G563,"ERRO: finalizados inconsistentes",IF(G563&lt;&gt;SUM(H563:J563),"ERRO: reprovações inconsistentes","OK")))))</f>
        <v/>
      </c>
    </row>
    <row r="564" ht="15" customHeight="1" s="131">
      <c r="A564" s="320" t="n"/>
      <c r="B564" s="323" t="n"/>
      <c r="C564" s="323" t="n"/>
      <c r="D564" s="328" t="n"/>
      <c r="E564" s="328" t="n"/>
      <c r="F564" s="328" t="n"/>
      <c r="G564" s="329">
        <f>IF(COUNTA(A564:C564)=0,"",SUM(H564:J564))</f>
        <v/>
      </c>
      <c r="H564" s="328" t="n"/>
      <c r="I564" s="330" t="n"/>
      <c r="J564" s="331" t="n"/>
      <c r="K564" s="331" t="n"/>
      <c r="L564" s="331" t="n"/>
      <c r="M564" s="332" t="n"/>
      <c r="N564" s="302">
        <f>IF(L564&gt;0,M564/L564,"")</f>
        <v/>
      </c>
      <c r="O564" s="317">
        <f>IF(E564&gt;0,F564/E564*100,"")</f>
        <v/>
      </c>
      <c r="P564" s="275">
        <f>IF(COUNTA(A564:C564)=0,"",IF(OR(A564="",B564="",C564="",D564&lt;0,E564&lt;0,F564&lt;0,H564&lt;0,I564&lt;0,J564&lt;0,K564&lt;0,L564&lt;0),"ERRO: valores inválidos",IF(D564&lt;&gt;E564+K564,"ERRO: total inconsistente",IF(E564&lt;&gt;F564+G564,"ERRO: finalizados inconsistentes",IF(G564&lt;&gt;SUM(H564:J564),"ERRO: reprovações inconsistentes","OK")))))</f>
        <v/>
      </c>
    </row>
    <row r="565" ht="15" customHeight="1" s="131">
      <c r="A565" s="320" t="n"/>
      <c r="B565" s="323" t="n"/>
      <c r="C565" s="323" t="n"/>
      <c r="D565" s="328" t="n"/>
      <c r="E565" s="328" t="n"/>
      <c r="F565" s="328" t="n"/>
      <c r="G565" s="329">
        <f>IF(COUNTA(A565:C565)=0,"",SUM(H565:J565))</f>
        <v/>
      </c>
      <c r="H565" s="328" t="n"/>
      <c r="I565" s="330" t="n"/>
      <c r="J565" s="331" t="n"/>
      <c r="K565" s="331" t="n"/>
      <c r="L565" s="331" t="n"/>
      <c r="M565" s="332" t="n"/>
      <c r="N565" s="302">
        <f>IF(L565&gt;0,M565/L565,"")</f>
        <v/>
      </c>
      <c r="O565" s="317">
        <f>IF(E565&gt;0,F565/E565*100,"")</f>
        <v/>
      </c>
      <c r="P565" s="275">
        <f>IF(COUNTA(A565:C565)=0,"",IF(OR(A565="",B565="",C565="",D565&lt;0,E565&lt;0,F565&lt;0,H565&lt;0,I565&lt;0,J565&lt;0,K565&lt;0,L565&lt;0),"ERRO: valores inválidos",IF(D565&lt;&gt;E565+K565,"ERRO: total inconsistente",IF(E565&lt;&gt;F565+G565,"ERRO: finalizados inconsistentes",IF(G565&lt;&gt;SUM(H565:J565),"ERRO: reprovações inconsistentes","OK")))))</f>
        <v/>
      </c>
    </row>
    <row r="566" ht="15" customHeight="1" s="131">
      <c r="A566" s="320" t="n"/>
      <c r="B566" s="323" t="n"/>
      <c r="C566" s="323" t="n"/>
      <c r="D566" s="328" t="n"/>
      <c r="E566" s="328" t="n"/>
      <c r="F566" s="328" t="n"/>
      <c r="G566" s="329">
        <f>IF(COUNTA(A566:C566)=0,"",SUM(H566:J566))</f>
        <v/>
      </c>
      <c r="H566" s="328" t="n"/>
      <c r="I566" s="330" t="n"/>
      <c r="J566" s="331" t="n"/>
      <c r="K566" s="331" t="n"/>
      <c r="L566" s="331" t="n"/>
      <c r="M566" s="332" t="n"/>
      <c r="N566" s="302">
        <f>IF(L566&gt;0,M566/L566,"")</f>
        <v/>
      </c>
      <c r="O566" s="317">
        <f>IF(E566&gt;0,F566/E566*100,"")</f>
        <v/>
      </c>
      <c r="P566" s="275">
        <f>IF(COUNTA(A566:C566)=0,"",IF(OR(A566="",B566="",C566="",D566&lt;0,E566&lt;0,F566&lt;0,H566&lt;0,I566&lt;0,J566&lt;0,K566&lt;0,L566&lt;0),"ERRO: valores inválidos",IF(D566&lt;&gt;E566+K566,"ERRO: total inconsistente",IF(E566&lt;&gt;F566+G566,"ERRO: finalizados inconsistentes",IF(G566&lt;&gt;SUM(H566:J566),"ERRO: reprovações inconsistentes","OK")))))</f>
        <v/>
      </c>
    </row>
    <row r="567" ht="15" customHeight="1" s="131">
      <c r="A567" s="320" t="n"/>
      <c r="B567" s="323" t="n"/>
      <c r="C567" s="323" t="n"/>
      <c r="D567" s="328" t="n"/>
      <c r="E567" s="328" t="n"/>
      <c r="F567" s="328" t="n"/>
      <c r="G567" s="329">
        <f>IF(COUNTA(A567:C567)=0,"",SUM(H567:J567))</f>
        <v/>
      </c>
      <c r="H567" s="328" t="n"/>
      <c r="I567" s="330" t="n"/>
      <c r="J567" s="331" t="n"/>
      <c r="K567" s="331" t="n"/>
      <c r="L567" s="331" t="n"/>
      <c r="M567" s="332" t="n"/>
      <c r="N567" s="302">
        <f>IF(L567&gt;0,M567/L567,"")</f>
        <v/>
      </c>
      <c r="O567" s="317">
        <f>IF(E567&gt;0,F567/E567*100,"")</f>
        <v/>
      </c>
      <c r="P567" s="275">
        <f>IF(COUNTA(A567:C567)=0,"",IF(OR(A567="",B567="",C567="",D567&lt;0,E567&lt;0,F567&lt;0,H567&lt;0,I567&lt;0,J567&lt;0,K567&lt;0,L567&lt;0),"ERRO: valores inválidos",IF(D567&lt;&gt;E567+K567,"ERRO: total inconsistente",IF(E567&lt;&gt;F567+G567,"ERRO: finalizados inconsistentes",IF(G567&lt;&gt;SUM(H567:J567),"ERRO: reprovações inconsistentes","OK")))))</f>
        <v/>
      </c>
    </row>
    <row r="568" ht="15" customHeight="1" s="131">
      <c r="A568" s="320" t="n"/>
      <c r="B568" s="323" t="n"/>
      <c r="C568" s="323" t="n"/>
      <c r="D568" s="328" t="n"/>
      <c r="E568" s="328" t="n"/>
      <c r="F568" s="328" t="n"/>
      <c r="G568" s="329">
        <f>IF(COUNTA(A568:C568)=0,"",SUM(H568:J568))</f>
        <v/>
      </c>
      <c r="H568" s="328" t="n"/>
      <c r="I568" s="330" t="n"/>
      <c r="J568" s="331" t="n"/>
      <c r="K568" s="331" t="n"/>
      <c r="L568" s="331" t="n"/>
      <c r="M568" s="332" t="n"/>
      <c r="N568" s="302">
        <f>IF(L568&gt;0,M568/L568,"")</f>
        <v/>
      </c>
      <c r="O568" s="317">
        <f>IF(E568&gt;0,F568/E568*100,"")</f>
        <v/>
      </c>
      <c r="P568" s="275">
        <f>IF(COUNTA(A568:C568)=0,"",IF(OR(A568="",B568="",C568="",D568&lt;0,E568&lt;0,F568&lt;0,H568&lt;0,I568&lt;0,J568&lt;0,K568&lt;0,L568&lt;0),"ERRO: valores inválidos",IF(D568&lt;&gt;E568+K568,"ERRO: total inconsistente",IF(E568&lt;&gt;F568+G568,"ERRO: finalizados inconsistentes",IF(G568&lt;&gt;SUM(H568:J568),"ERRO: reprovações inconsistentes","OK")))))</f>
        <v/>
      </c>
    </row>
    <row r="569" ht="15" customHeight="1" s="131">
      <c r="A569" s="320" t="n"/>
      <c r="B569" s="323" t="n"/>
      <c r="C569" s="323" t="n"/>
      <c r="D569" s="328" t="n"/>
      <c r="E569" s="328" t="n"/>
      <c r="F569" s="328" t="n"/>
      <c r="G569" s="329">
        <f>IF(COUNTA(A569:C569)=0,"",SUM(H569:J569))</f>
        <v/>
      </c>
      <c r="H569" s="328" t="n"/>
      <c r="I569" s="330" t="n"/>
      <c r="J569" s="331" t="n"/>
      <c r="K569" s="331" t="n"/>
      <c r="L569" s="331" t="n"/>
      <c r="M569" s="332" t="n"/>
      <c r="N569" s="302">
        <f>IF(L569&gt;0,M569/L569,"")</f>
        <v/>
      </c>
      <c r="O569" s="317">
        <f>IF(E569&gt;0,F569/E569*100,"")</f>
        <v/>
      </c>
      <c r="P569" s="275">
        <f>IF(COUNTA(A569:C569)=0,"",IF(OR(A569="",B569="",C569="",D569&lt;0,E569&lt;0,F569&lt;0,H569&lt;0,I569&lt;0,J569&lt;0,K569&lt;0,L569&lt;0),"ERRO: valores inválidos",IF(D569&lt;&gt;E569+K569,"ERRO: total inconsistente",IF(E569&lt;&gt;F569+G569,"ERRO: finalizados inconsistentes",IF(G569&lt;&gt;SUM(H569:J569),"ERRO: reprovações inconsistentes","OK")))))</f>
        <v/>
      </c>
    </row>
    <row r="570" ht="15" customHeight="1" s="131">
      <c r="A570" s="320" t="n"/>
      <c r="B570" s="323" t="n"/>
      <c r="C570" s="323" t="n"/>
      <c r="D570" s="328" t="n"/>
      <c r="E570" s="328" t="n"/>
      <c r="F570" s="328" t="n"/>
      <c r="G570" s="329">
        <f>IF(COUNTA(A570:C570)=0,"",SUM(H570:J570))</f>
        <v/>
      </c>
      <c r="H570" s="328" t="n"/>
      <c r="I570" s="330" t="n"/>
      <c r="J570" s="331" t="n"/>
      <c r="K570" s="331" t="n"/>
      <c r="L570" s="331" t="n"/>
      <c r="M570" s="332" t="n"/>
      <c r="N570" s="302">
        <f>IF(L570&gt;0,M570/L570,"")</f>
        <v/>
      </c>
      <c r="O570" s="317">
        <f>IF(E570&gt;0,F570/E570*100,"")</f>
        <v/>
      </c>
      <c r="P570" s="275">
        <f>IF(COUNTA(A570:C570)=0,"",IF(OR(A570="",B570="",C570="",D570&lt;0,E570&lt;0,F570&lt;0,H570&lt;0,I570&lt;0,J570&lt;0,K570&lt;0,L570&lt;0),"ERRO: valores inválidos",IF(D570&lt;&gt;E570+K570,"ERRO: total inconsistente",IF(E570&lt;&gt;F570+G570,"ERRO: finalizados inconsistentes",IF(G570&lt;&gt;SUM(H570:J570),"ERRO: reprovações inconsistentes","OK")))))</f>
        <v/>
      </c>
    </row>
    <row r="571" ht="15" customHeight="1" s="131">
      <c r="A571" s="320" t="n"/>
      <c r="B571" s="323" t="n"/>
      <c r="C571" s="323" t="n"/>
      <c r="D571" s="328" t="n"/>
      <c r="E571" s="328" t="n"/>
      <c r="F571" s="328" t="n"/>
      <c r="G571" s="329">
        <f>IF(COUNTA(A571:C571)=0,"",SUM(H571:J571))</f>
        <v/>
      </c>
      <c r="H571" s="328" t="n"/>
      <c r="I571" s="330" t="n"/>
      <c r="J571" s="331" t="n"/>
      <c r="K571" s="331" t="n"/>
      <c r="L571" s="331" t="n"/>
      <c r="M571" s="332" t="n"/>
      <c r="N571" s="302">
        <f>IF(L571&gt;0,M571/L571,"")</f>
        <v/>
      </c>
      <c r="O571" s="317">
        <f>IF(E571&gt;0,F571/E571*100,"")</f>
        <v/>
      </c>
      <c r="P571" s="275">
        <f>IF(COUNTA(A571:C571)=0,"",IF(OR(A571="",B571="",C571="",D571&lt;0,E571&lt;0,F571&lt;0,H571&lt;0,I571&lt;0,J571&lt;0,K571&lt;0,L571&lt;0),"ERRO: valores inválidos",IF(D571&lt;&gt;E571+K571,"ERRO: total inconsistente",IF(E571&lt;&gt;F571+G571,"ERRO: finalizados inconsistentes",IF(G571&lt;&gt;SUM(H571:J571),"ERRO: reprovações inconsistentes","OK")))))</f>
        <v/>
      </c>
    </row>
    <row r="572" ht="15" customHeight="1" s="131">
      <c r="A572" s="320" t="n"/>
      <c r="B572" s="323" t="n"/>
      <c r="C572" s="323" t="n"/>
      <c r="D572" s="328" t="n"/>
      <c r="E572" s="328" t="n"/>
      <c r="F572" s="328" t="n"/>
      <c r="G572" s="329">
        <f>IF(COUNTA(A572:C572)=0,"",SUM(H572:J572))</f>
        <v/>
      </c>
      <c r="H572" s="328" t="n"/>
      <c r="I572" s="330" t="n"/>
      <c r="J572" s="331" t="n"/>
      <c r="K572" s="331" t="n"/>
      <c r="L572" s="331" t="n"/>
      <c r="M572" s="332" t="n"/>
      <c r="N572" s="302">
        <f>IF(L572&gt;0,M572/L572,"")</f>
        <v/>
      </c>
      <c r="O572" s="317">
        <f>IF(E572&gt;0,F572/E572*100,"")</f>
        <v/>
      </c>
      <c r="P572" s="275">
        <f>IF(COUNTA(A572:C572)=0,"",IF(OR(A572="",B572="",C572="",D572&lt;0,E572&lt;0,F572&lt;0,H572&lt;0,I572&lt;0,J572&lt;0,K572&lt;0,L572&lt;0),"ERRO: valores inválidos",IF(D572&lt;&gt;E572+K572,"ERRO: total inconsistente",IF(E572&lt;&gt;F572+G572,"ERRO: finalizados inconsistentes",IF(G572&lt;&gt;SUM(H572:J572),"ERRO: reprovações inconsistentes","OK")))))</f>
        <v/>
      </c>
    </row>
    <row r="573" ht="15" customHeight="1" s="131">
      <c r="A573" s="320" t="n"/>
      <c r="B573" s="323" t="n"/>
      <c r="C573" s="323" t="n"/>
      <c r="D573" s="328" t="n"/>
      <c r="E573" s="328" t="n"/>
      <c r="F573" s="328" t="n"/>
      <c r="G573" s="329">
        <f>IF(COUNTA(A573:C573)=0,"",SUM(H573:J573))</f>
        <v/>
      </c>
      <c r="H573" s="328" t="n"/>
      <c r="I573" s="330" t="n"/>
      <c r="J573" s="331" t="n"/>
      <c r="K573" s="331" t="n"/>
      <c r="L573" s="331" t="n"/>
      <c r="M573" s="332" t="n"/>
      <c r="N573" s="302">
        <f>IF(L573&gt;0,M573/L573,"")</f>
        <v/>
      </c>
      <c r="O573" s="317">
        <f>IF(E573&gt;0,F573/E573*100,"")</f>
        <v/>
      </c>
      <c r="P573" s="275">
        <f>IF(COUNTA(A573:C573)=0,"",IF(OR(A573="",B573="",C573="",D573&lt;0,E573&lt;0,F573&lt;0,H573&lt;0,I573&lt;0,J573&lt;0,K573&lt;0,L573&lt;0),"ERRO: valores inválidos",IF(D573&lt;&gt;E573+K573,"ERRO: total inconsistente",IF(E573&lt;&gt;F573+G573,"ERRO: finalizados inconsistentes",IF(G573&lt;&gt;SUM(H573:J573),"ERRO: reprovações inconsistentes","OK")))))</f>
        <v/>
      </c>
    </row>
    <row r="574" ht="15" customHeight="1" s="131">
      <c r="A574" s="320" t="n"/>
      <c r="B574" s="323" t="n"/>
      <c r="C574" s="323" t="n"/>
      <c r="D574" s="328" t="n"/>
      <c r="E574" s="328" t="n"/>
      <c r="F574" s="328" t="n"/>
      <c r="G574" s="329">
        <f>IF(COUNTA(A574:C574)=0,"",SUM(H574:J574))</f>
        <v/>
      </c>
      <c r="H574" s="328" t="n"/>
      <c r="I574" s="330" t="n"/>
      <c r="J574" s="331" t="n"/>
      <c r="K574" s="331" t="n"/>
      <c r="L574" s="331" t="n"/>
      <c r="M574" s="332" t="n"/>
      <c r="N574" s="302">
        <f>IF(L574&gt;0,M574/L574,"")</f>
        <v/>
      </c>
      <c r="O574" s="317">
        <f>IF(E574&gt;0,F574/E574*100,"")</f>
        <v/>
      </c>
      <c r="P574" s="275">
        <f>IF(COUNTA(A574:C574)=0,"",IF(OR(A574="",B574="",C574="",D574&lt;0,E574&lt;0,F574&lt;0,H574&lt;0,I574&lt;0,J574&lt;0,K574&lt;0,L574&lt;0),"ERRO: valores inválidos",IF(D574&lt;&gt;E574+K574,"ERRO: total inconsistente",IF(E574&lt;&gt;F574+G574,"ERRO: finalizados inconsistentes",IF(G574&lt;&gt;SUM(H574:J574),"ERRO: reprovações inconsistentes","OK")))))</f>
        <v/>
      </c>
    </row>
    <row r="575" ht="15" customHeight="1" s="131">
      <c r="A575" s="320" t="n"/>
      <c r="B575" s="323" t="n"/>
      <c r="C575" s="323" t="n"/>
      <c r="D575" s="328" t="n"/>
      <c r="E575" s="328" t="n"/>
      <c r="F575" s="328" t="n"/>
      <c r="G575" s="329">
        <f>IF(COUNTA(A575:C575)=0,"",SUM(H575:J575))</f>
        <v/>
      </c>
      <c r="H575" s="328" t="n"/>
      <c r="I575" s="330" t="n"/>
      <c r="J575" s="331" t="n"/>
      <c r="K575" s="331" t="n"/>
      <c r="L575" s="331" t="n"/>
      <c r="M575" s="332" t="n"/>
      <c r="N575" s="302">
        <f>IF(L575&gt;0,M575/L575,"")</f>
        <v/>
      </c>
      <c r="O575" s="317">
        <f>IF(E575&gt;0,F575/E575*100,"")</f>
        <v/>
      </c>
      <c r="P575" s="275">
        <f>IF(COUNTA(A575:C575)=0,"",IF(OR(A575="",B575="",C575="",D575&lt;0,E575&lt;0,F575&lt;0,H575&lt;0,I575&lt;0,J575&lt;0,K575&lt;0,L575&lt;0),"ERRO: valores inválidos",IF(D575&lt;&gt;E575+K575,"ERRO: total inconsistente",IF(E575&lt;&gt;F575+G575,"ERRO: finalizados inconsistentes",IF(G575&lt;&gt;SUM(H575:J575),"ERRO: reprovações inconsistentes","OK")))))</f>
        <v/>
      </c>
    </row>
    <row r="576" ht="15" customHeight="1" s="131">
      <c r="A576" s="320" t="n"/>
      <c r="B576" s="323" t="n"/>
      <c r="C576" s="323" t="n"/>
      <c r="D576" s="328" t="n"/>
      <c r="E576" s="328" t="n"/>
      <c r="F576" s="328" t="n"/>
      <c r="G576" s="329">
        <f>IF(COUNTA(A576:C576)=0,"",SUM(H576:J576))</f>
        <v/>
      </c>
      <c r="H576" s="328" t="n"/>
      <c r="I576" s="330" t="n"/>
      <c r="J576" s="331" t="n"/>
      <c r="K576" s="331" t="n"/>
      <c r="L576" s="331" t="n"/>
      <c r="M576" s="332" t="n"/>
      <c r="N576" s="302">
        <f>IF(L576&gt;0,M576/L576,"")</f>
        <v/>
      </c>
      <c r="O576" s="317">
        <f>IF(E576&gt;0,F576/E576*100,"")</f>
        <v/>
      </c>
      <c r="P576" s="275">
        <f>IF(COUNTA(A576:C576)=0,"",IF(OR(A576="",B576="",C576="",D576&lt;0,E576&lt;0,F576&lt;0,H576&lt;0,I576&lt;0,J576&lt;0,K576&lt;0,L576&lt;0),"ERRO: valores inválidos",IF(D576&lt;&gt;E576+K576,"ERRO: total inconsistente",IF(E576&lt;&gt;F576+G576,"ERRO: finalizados inconsistentes",IF(G576&lt;&gt;SUM(H576:J576),"ERRO: reprovações inconsistentes","OK")))))</f>
        <v/>
      </c>
    </row>
    <row r="577" ht="15" customHeight="1" s="131">
      <c r="A577" s="320" t="n"/>
      <c r="B577" s="323" t="n"/>
      <c r="C577" s="323" t="n"/>
      <c r="D577" s="328" t="n"/>
      <c r="E577" s="328" t="n"/>
      <c r="F577" s="328" t="n"/>
      <c r="G577" s="329">
        <f>IF(COUNTA(A577:C577)=0,"",SUM(H577:J577))</f>
        <v/>
      </c>
      <c r="H577" s="328" t="n"/>
      <c r="I577" s="330" t="n"/>
      <c r="J577" s="331" t="n"/>
      <c r="K577" s="331" t="n"/>
      <c r="L577" s="331" t="n"/>
      <c r="M577" s="332" t="n"/>
      <c r="N577" s="302">
        <f>IF(L577&gt;0,M577/L577,"")</f>
        <v/>
      </c>
      <c r="O577" s="317">
        <f>IF(E577&gt;0,F577/E577*100,"")</f>
        <v/>
      </c>
      <c r="P577" s="275">
        <f>IF(COUNTA(A577:C577)=0,"",IF(OR(A577="",B577="",C577="",D577&lt;0,E577&lt;0,F577&lt;0,H577&lt;0,I577&lt;0,J577&lt;0,K577&lt;0,L577&lt;0),"ERRO: valores inválidos",IF(D577&lt;&gt;E577+K577,"ERRO: total inconsistente",IF(E577&lt;&gt;F577+G577,"ERRO: finalizados inconsistentes",IF(G577&lt;&gt;SUM(H577:J577),"ERRO: reprovações inconsistentes","OK")))))</f>
        <v/>
      </c>
    </row>
    <row r="578" ht="15" customHeight="1" s="131">
      <c r="A578" s="320" t="n"/>
      <c r="B578" s="323" t="n"/>
      <c r="C578" s="323" t="n"/>
      <c r="D578" s="328" t="n"/>
      <c r="E578" s="328" t="n"/>
      <c r="F578" s="328" t="n"/>
      <c r="G578" s="329">
        <f>IF(COUNTA(A578:C578)=0,"",SUM(H578:J578))</f>
        <v/>
      </c>
      <c r="H578" s="328" t="n"/>
      <c r="I578" s="330" t="n"/>
      <c r="J578" s="331" t="n"/>
      <c r="K578" s="331" t="n"/>
      <c r="L578" s="331" t="n"/>
      <c r="M578" s="332" t="n"/>
      <c r="N578" s="302">
        <f>IF(L578&gt;0,M578/L578,"")</f>
        <v/>
      </c>
      <c r="O578" s="317">
        <f>IF(E578&gt;0,F578/E578*100,"")</f>
        <v/>
      </c>
      <c r="P578" s="275">
        <f>IF(COUNTA(A578:C578)=0,"",IF(OR(A578="",B578="",C578="",D578&lt;0,E578&lt;0,F578&lt;0,H578&lt;0,I578&lt;0,J578&lt;0,K578&lt;0,L578&lt;0),"ERRO: valores inválidos",IF(D578&lt;&gt;E578+K578,"ERRO: total inconsistente",IF(E578&lt;&gt;F578+G578,"ERRO: finalizados inconsistentes",IF(G578&lt;&gt;SUM(H578:J578),"ERRO: reprovações inconsistentes","OK")))))</f>
        <v/>
      </c>
    </row>
    <row r="579" ht="15" customHeight="1" s="131">
      <c r="A579" s="320" t="n"/>
      <c r="B579" s="323" t="n"/>
      <c r="C579" s="323" t="n"/>
      <c r="D579" s="328" t="n"/>
      <c r="E579" s="328" t="n"/>
      <c r="F579" s="328" t="n"/>
      <c r="G579" s="329">
        <f>IF(COUNTA(A579:C579)=0,"",SUM(H579:J579))</f>
        <v/>
      </c>
      <c r="H579" s="328" t="n"/>
      <c r="I579" s="330" t="n"/>
      <c r="J579" s="331" t="n"/>
      <c r="K579" s="331" t="n"/>
      <c r="L579" s="331" t="n"/>
      <c r="M579" s="332" t="n"/>
      <c r="N579" s="302">
        <f>IF(L579&gt;0,M579/L579,"")</f>
        <v/>
      </c>
      <c r="O579" s="317">
        <f>IF(E579&gt;0,F579/E579*100,"")</f>
        <v/>
      </c>
      <c r="P579" s="275">
        <f>IF(COUNTA(A579:C579)=0,"",IF(OR(A579="",B579="",C579="",D579&lt;0,E579&lt;0,F579&lt;0,H579&lt;0,I579&lt;0,J579&lt;0,K579&lt;0,L579&lt;0),"ERRO: valores inválidos",IF(D579&lt;&gt;E579+K579,"ERRO: total inconsistente",IF(E579&lt;&gt;F579+G579,"ERRO: finalizados inconsistentes",IF(G579&lt;&gt;SUM(H579:J579),"ERRO: reprovações inconsistentes","OK")))))</f>
        <v/>
      </c>
    </row>
    <row r="580" ht="15" customHeight="1" s="131">
      <c r="A580" s="320" t="n"/>
      <c r="B580" s="323" t="n"/>
      <c r="C580" s="323" t="n"/>
      <c r="D580" s="328" t="n"/>
      <c r="E580" s="328" t="n"/>
      <c r="F580" s="328" t="n"/>
      <c r="G580" s="329">
        <f>IF(COUNTA(A580:C580)=0,"",SUM(H580:J580))</f>
        <v/>
      </c>
      <c r="H580" s="328" t="n"/>
      <c r="I580" s="330" t="n"/>
      <c r="J580" s="331" t="n"/>
      <c r="K580" s="331" t="n"/>
      <c r="L580" s="331" t="n"/>
      <c r="M580" s="332" t="n"/>
      <c r="N580" s="302">
        <f>IF(L580&gt;0,M580/L580,"")</f>
        <v/>
      </c>
      <c r="O580" s="317">
        <f>IF(E580&gt;0,F580/E580*100,"")</f>
        <v/>
      </c>
      <c r="P580" s="275">
        <f>IF(COUNTA(A580:C580)=0,"",IF(OR(A580="",B580="",C580="",D580&lt;0,E580&lt;0,F580&lt;0,H580&lt;0,I580&lt;0,J580&lt;0,K580&lt;0,L580&lt;0),"ERRO: valores inválidos",IF(D580&lt;&gt;E580+K580,"ERRO: total inconsistente",IF(E580&lt;&gt;F580+G580,"ERRO: finalizados inconsistentes",IF(G580&lt;&gt;SUM(H580:J580),"ERRO: reprovações inconsistentes","OK")))))</f>
        <v/>
      </c>
    </row>
    <row r="581" ht="15" customHeight="1" s="131">
      <c r="A581" s="320" t="n"/>
      <c r="B581" s="323" t="n"/>
      <c r="C581" s="323" t="n"/>
      <c r="D581" s="328" t="n"/>
      <c r="E581" s="328" t="n"/>
      <c r="F581" s="328" t="n"/>
      <c r="G581" s="329">
        <f>IF(COUNTA(A581:C581)=0,"",SUM(H581:J581))</f>
        <v/>
      </c>
      <c r="H581" s="328" t="n"/>
      <c r="I581" s="330" t="n"/>
      <c r="J581" s="331" t="n"/>
      <c r="K581" s="331" t="n"/>
      <c r="L581" s="331" t="n"/>
      <c r="M581" s="332" t="n"/>
      <c r="N581" s="302">
        <f>IF(L581&gt;0,M581/L581,"")</f>
        <v/>
      </c>
      <c r="O581" s="317">
        <f>IF(E581&gt;0,F581/E581*100,"")</f>
        <v/>
      </c>
      <c r="P581" s="275">
        <f>IF(COUNTA(A581:C581)=0,"",IF(OR(A581="",B581="",C581="",D581&lt;0,E581&lt;0,F581&lt;0,H581&lt;0,I581&lt;0,J581&lt;0,K581&lt;0,L581&lt;0),"ERRO: valores inválidos",IF(D581&lt;&gt;E581+K581,"ERRO: total inconsistente",IF(E581&lt;&gt;F581+G581,"ERRO: finalizados inconsistentes",IF(G581&lt;&gt;SUM(H581:J581),"ERRO: reprovações inconsistentes","OK")))))</f>
        <v/>
      </c>
    </row>
    <row r="582" ht="15" customHeight="1" s="131">
      <c r="A582" s="320" t="n"/>
      <c r="B582" s="323" t="n"/>
      <c r="C582" s="323" t="n"/>
      <c r="D582" s="328" t="n"/>
      <c r="E582" s="328" t="n"/>
      <c r="F582" s="328" t="n"/>
      <c r="G582" s="329">
        <f>IF(COUNTA(A582:C582)=0,"",SUM(H582:J582))</f>
        <v/>
      </c>
      <c r="H582" s="328" t="n"/>
      <c r="I582" s="330" t="n"/>
      <c r="J582" s="331" t="n"/>
      <c r="K582" s="331" t="n"/>
      <c r="L582" s="331" t="n"/>
      <c r="M582" s="332" t="n"/>
      <c r="N582" s="302">
        <f>IF(L582&gt;0,M582/L582,"")</f>
        <v/>
      </c>
      <c r="O582" s="317">
        <f>IF(E582&gt;0,F582/E582*100,"")</f>
        <v/>
      </c>
      <c r="P582" s="275">
        <f>IF(COUNTA(A582:C582)=0,"",IF(OR(A582="",B582="",C582="",D582&lt;0,E582&lt;0,F582&lt;0,H582&lt;0,I582&lt;0,J582&lt;0,K582&lt;0,L582&lt;0),"ERRO: valores inválidos",IF(D582&lt;&gt;E582+K582,"ERRO: total inconsistente",IF(E582&lt;&gt;F582+G582,"ERRO: finalizados inconsistentes",IF(G582&lt;&gt;SUM(H582:J582),"ERRO: reprovações inconsistentes","OK")))))</f>
        <v/>
      </c>
    </row>
    <row r="583" ht="15" customHeight="1" s="131">
      <c r="A583" s="320" t="n"/>
      <c r="B583" s="323" t="n"/>
      <c r="C583" s="323" t="n"/>
      <c r="D583" s="328" t="n"/>
      <c r="E583" s="328" t="n"/>
      <c r="F583" s="328" t="n"/>
      <c r="G583" s="329">
        <f>IF(COUNTA(A583:C583)=0,"",SUM(H583:J583))</f>
        <v/>
      </c>
      <c r="H583" s="328" t="n"/>
      <c r="I583" s="330" t="n"/>
      <c r="J583" s="331" t="n"/>
      <c r="K583" s="331" t="n"/>
      <c r="L583" s="331" t="n"/>
      <c r="M583" s="332" t="n"/>
      <c r="N583" s="302">
        <f>IF(L583&gt;0,M583/L583,"")</f>
        <v/>
      </c>
      <c r="O583" s="317">
        <f>IF(E583&gt;0,F583/E583*100,"")</f>
        <v/>
      </c>
      <c r="P583" s="275">
        <f>IF(COUNTA(A583:C583)=0,"",IF(OR(A583="",B583="",C583="",D583&lt;0,E583&lt;0,F583&lt;0,H583&lt;0,I583&lt;0,J583&lt;0,K583&lt;0,L583&lt;0),"ERRO: valores inválidos",IF(D583&lt;&gt;E583+K583,"ERRO: total inconsistente",IF(E583&lt;&gt;F583+G583,"ERRO: finalizados inconsistentes",IF(G583&lt;&gt;SUM(H583:J583),"ERRO: reprovações inconsistentes","OK")))))</f>
        <v/>
      </c>
    </row>
    <row r="584" ht="15" customHeight="1" s="131">
      <c r="A584" s="320" t="n"/>
      <c r="B584" s="323" t="n"/>
      <c r="C584" s="323" t="n"/>
      <c r="D584" s="328" t="n"/>
      <c r="E584" s="328" t="n"/>
      <c r="F584" s="328" t="n"/>
      <c r="G584" s="329">
        <f>IF(COUNTA(A584:C584)=0,"",SUM(H584:J584))</f>
        <v/>
      </c>
      <c r="H584" s="328" t="n"/>
      <c r="I584" s="330" t="n"/>
      <c r="J584" s="331" t="n"/>
      <c r="K584" s="331" t="n"/>
      <c r="L584" s="331" t="n"/>
      <c r="M584" s="332" t="n"/>
      <c r="N584" s="302">
        <f>IF(L584&gt;0,M584/L584,"")</f>
        <v/>
      </c>
      <c r="O584" s="317">
        <f>IF(E584&gt;0,F584/E584*100,"")</f>
        <v/>
      </c>
      <c r="P584" s="275">
        <f>IF(COUNTA(A584:C584)=0,"",IF(OR(A584="",B584="",C584="",D584&lt;0,E584&lt;0,F584&lt;0,H584&lt;0,I584&lt;0,J584&lt;0,K584&lt;0,L584&lt;0),"ERRO: valores inválidos",IF(D584&lt;&gt;E584+K584,"ERRO: total inconsistente",IF(E584&lt;&gt;F584+G584,"ERRO: finalizados inconsistentes",IF(G584&lt;&gt;SUM(H584:J584),"ERRO: reprovações inconsistentes","OK")))))</f>
        <v/>
      </c>
    </row>
    <row r="585" ht="15" customHeight="1" s="131">
      <c r="A585" s="320" t="n"/>
      <c r="B585" s="323" t="n"/>
      <c r="C585" s="323" t="n"/>
      <c r="D585" s="328" t="n"/>
      <c r="E585" s="328" t="n"/>
      <c r="F585" s="328" t="n"/>
      <c r="G585" s="329">
        <f>IF(COUNTA(A585:C585)=0,"",SUM(H585:J585))</f>
        <v/>
      </c>
      <c r="H585" s="328" t="n"/>
      <c r="I585" s="330" t="n"/>
      <c r="J585" s="331" t="n"/>
      <c r="K585" s="331" t="n"/>
      <c r="L585" s="331" t="n"/>
      <c r="M585" s="332" t="n"/>
      <c r="N585" s="302">
        <f>IF(L585&gt;0,M585/L585,"")</f>
        <v/>
      </c>
      <c r="O585" s="317">
        <f>IF(E585&gt;0,F585/E585*100,"")</f>
        <v/>
      </c>
      <c r="P585" s="275">
        <f>IF(COUNTA(A585:C585)=0,"",IF(OR(A585="",B585="",C585="",D585&lt;0,E585&lt;0,F585&lt;0,H585&lt;0,I585&lt;0,J585&lt;0,K585&lt;0,L585&lt;0),"ERRO: valores inválidos",IF(D585&lt;&gt;E585+K585,"ERRO: total inconsistente",IF(E585&lt;&gt;F585+G585,"ERRO: finalizados inconsistentes",IF(G585&lt;&gt;SUM(H585:J585),"ERRO: reprovações inconsistentes","OK")))))</f>
        <v/>
      </c>
    </row>
    <row r="586" ht="15" customHeight="1" s="131">
      <c r="A586" s="320" t="n"/>
      <c r="B586" s="323" t="n"/>
      <c r="C586" s="323" t="n"/>
      <c r="D586" s="328" t="n"/>
      <c r="E586" s="328" t="n"/>
      <c r="F586" s="328" t="n"/>
      <c r="G586" s="329">
        <f>IF(COUNTA(A586:C586)=0,"",SUM(H586:J586))</f>
        <v/>
      </c>
      <c r="H586" s="328" t="n"/>
      <c r="I586" s="330" t="n"/>
      <c r="J586" s="331" t="n"/>
      <c r="K586" s="331" t="n"/>
      <c r="L586" s="331" t="n"/>
      <c r="M586" s="332" t="n"/>
      <c r="N586" s="302">
        <f>IF(L586&gt;0,M586/L586,"")</f>
        <v/>
      </c>
      <c r="O586" s="317">
        <f>IF(E586&gt;0,F586/E586*100,"")</f>
        <v/>
      </c>
      <c r="P586" s="275">
        <f>IF(COUNTA(A586:C586)=0,"",IF(OR(A586="",B586="",C586="",D586&lt;0,E586&lt;0,F586&lt;0,H586&lt;0,I586&lt;0,J586&lt;0,K586&lt;0,L586&lt;0),"ERRO: valores inválidos",IF(D586&lt;&gt;E586+K586,"ERRO: total inconsistente",IF(E586&lt;&gt;F586+G586,"ERRO: finalizados inconsistentes",IF(G586&lt;&gt;SUM(H586:J586),"ERRO: reprovações inconsistentes","OK")))))</f>
        <v/>
      </c>
    </row>
    <row r="587" ht="15" customHeight="1" s="131">
      <c r="A587" s="320" t="n"/>
      <c r="B587" s="323" t="n"/>
      <c r="C587" s="323" t="n"/>
      <c r="D587" s="328" t="n"/>
      <c r="E587" s="328" t="n"/>
      <c r="F587" s="328" t="n"/>
      <c r="G587" s="329">
        <f>IF(COUNTA(A587:C587)=0,"",SUM(H587:J587))</f>
        <v/>
      </c>
      <c r="H587" s="328" t="n"/>
      <c r="I587" s="330" t="n"/>
      <c r="J587" s="331" t="n"/>
      <c r="K587" s="331" t="n"/>
      <c r="L587" s="331" t="n"/>
      <c r="M587" s="332" t="n"/>
      <c r="N587" s="302">
        <f>IF(L587&gt;0,M587/L587,"")</f>
        <v/>
      </c>
      <c r="O587" s="317">
        <f>IF(E587&gt;0,F587/E587*100,"")</f>
        <v/>
      </c>
      <c r="P587" s="275">
        <f>IF(COUNTA(A587:C587)=0,"",IF(OR(A587="",B587="",C587="",D587&lt;0,E587&lt;0,F587&lt;0,H587&lt;0,I587&lt;0,J587&lt;0,K587&lt;0,L587&lt;0),"ERRO: valores inválidos",IF(D587&lt;&gt;E587+K587,"ERRO: total inconsistente",IF(E587&lt;&gt;F587+G587,"ERRO: finalizados inconsistentes",IF(G587&lt;&gt;SUM(H587:J587),"ERRO: reprovações inconsistentes","OK")))))</f>
        <v/>
      </c>
    </row>
    <row r="588" ht="15" customHeight="1" s="131">
      <c r="A588" s="320" t="n"/>
      <c r="B588" s="323" t="n"/>
      <c r="C588" s="323" t="n"/>
      <c r="D588" s="328" t="n"/>
      <c r="E588" s="328" t="n"/>
      <c r="F588" s="328" t="n"/>
      <c r="G588" s="329">
        <f>IF(COUNTA(A588:C588)=0,"",SUM(H588:J588))</f>
        <v/>
      </c>
      <c r="H588" s="328" t="n"/>
      <c r="I588" s="330" t="n"/>
      <c r="J588" s="331" t="n"/>
      <c r="K588" s="331" t="n"/>
      <c r="L588" s="331" t="n"/>
      <c r="M588" s="332" t="n"/>
      <c r="N588" s="302">
        <f>IF(L588&gt;0,M588/L588,"")</f>
        <v/>
      </c>
      <c r="O588" s="317">
        <f>IF(E588&gt;0,F588/E588*100,"")</f>
        <v/>
      </c>
      <c r="P588" s="275">
        <f>IF(COUNTA(A588:C588)=0,"",IF(OR(A588="",B588="",C588="",D588&lt;0,E588&lt;0,F588&lt;0,H588&lt;0,I588&lt;0,J588&lt;0,K588&lt;0,L588&lt;0),"ERRO: valores inválidos",IF(D588&lt;&gt;E588+K588,"ERRO: total inconsistente",IF(E588&lt;&gt;F588+G588,"ERRO: finalizados inconsistentes",IF(G588&lt;&gt;SUM(H588:J588),"ERRO: reprovações inconsistentes","OK")))))</f>
        <v/>
      </c>
    </row>
    <row r="589" ht="15" customHeight="1" s="131">
      <c r="A589" s="320" t="n"/>
      <c r="B589" s="323" t="n"/>
      <c r="C589" s="323" t="n"/>
      <c r="D589" s="328" t="n"/>
      <c r="E589" s="328" t="n"/>
      <c r="F589" s="328" t="n"/>
      <c r="G589" s="329">
        <f>IF(COUNTA(A589:C589)=0,"",SUM(H589:J589))</f>
        <v/>
      </c>
      <c r="H589" s="328" t="n"/>
      <c r="I589" s="330" t="n"/>
      <c r="J589" s="331" t="n"/>
      <c r="K589" s="331" t="n"/>
      <c r="L589" s="331" t="n"/>
      <c r="M589" s="332" t="n"/>
      <c r="N589" s="302">
        <f>IF(L589&gt;0,M589/L589,"")</f>
        <v/>
      </c>
      <c r="O589" s="317">
        <f>IF(E589&gt;0,F589/E589*100,"")</f>
        <v/>
      </c>
      <c r="P589" s="275">
        <f>IF(COUNTA(A589:C589)=0,"",IF(OR(A589="",B589="",C589="",D589&lt;0,E589&lt;0,F589&lt;0,H589&lt;0,I589&lt;0,J589&lt;0,K589&lt;0,L589&lt;0),"ERRO: valores inválidos",IF(D589&lt;&gt;E589+K589,"ERRO: total inconsistente",IF(E589&lt;&gt;F589+G589,"ERRO: finalizados inconsistentes",IF(G589&lt;&gt;SUM(H589:J589),"ERRO: reprovações inconsistentes","OK")))))</f>
        <v/>
      </c>
    </row>
    <row r="590" ht="15" customHeight="1" s="131">
      <c r="A590" s="320" t="n"/>
      <c r="B590" s="323" t="n"/>
      <c r="C590" s="323" t="n"/>
      <c r="D590" s="328" t="n"/>
      <c r="E590" s="328" t="n"/>
      <c r="F590" s="328" t="n"/>
      <c r="G590" s="329">
        <f>IF(COUNTA(A590:C590)=0,"",SUM(H590:J590))</f>
        <v/>
      </c>
      <c r="H590" s="328" t="n"/>
      <c r="I590" s="330" t="n"/>
      <c r="J590" s="331" t="n"/>
      <c r="K590" s="331" t="n"/>
      <c r="L590" s="331" t="n"/>
      <c r="M590" s="332" t="n"/>
      <c r="N590" s="302">
        <f>IF(L590&gt;0,M590/L590,"")</f>
        <v/>
      </c>
      <c r="O590" s="317">
        <f>IF(E590&gt;0,F590/E590*100,"")</f>
        <v/>
      </c>
      <c r="P590" s="275">
        <f>IF(COUNTA(A590:C590)=0,"",IF(OR(A590="",B590="",C590="",D590&lt;0,E590&lt;0,F590&lt;0,H590&lt;0,I590&lt;0,J590&lt;0,K590&lt;0,L590&lt;0),"ERRO: valores inválidos",IF(D590&lt;&gt;E590+K590,"ERRO: total inconsistente",IF(E590&lt;&gt;F590+G590,"ERRO: finalizados inconsistentes",IF(G590&lt;&gt;SUM(H590:J590),"ERRO: reprovações inconsistentes","OK")))))</f>
        <v/>
      </c>
    </row>
    <row r="591" ht="15" customHeight="1" s="131">
      <c r="A591" s="320" t="n"/>
      <c r="B591" s="323" t="n"/>
      <c r="C591" s="323" t="n"/>
      <c r="D591" s="328" t="n"/>
      <c r="E591" s="328" t="n"/>
      <c r="F591" s="328" t="n"/>
      <c r="G591" s="329">
        <f>IF(COUNTA(A591:C591)=0,"",SUM(H591:J591))</f>
        <v/>
      </c>
      <c r="H591" s="328" t="n"/>
      <c r="I591" s="330" t="n"/>
      <c r="J591" s="331" t="n"/>
      <c r="K591" s="331" t="n"/>
      <c r="L591" s="331" t="n"/>
      <c r="M591" s="332" t="n"/>
      <c r="N591" s="302">
        <f>IF(L591&gt;0,M591/L591,"")</f>
        <v/>
      </c>
      <c r="O591" s="317">
        <f>IF(E591&gt;0,F591/E591*100,"")</f>
        <v/>
      </c>
      <c r="P591" s="275">
        <f>IF(COUNTA(A591:C591)=0,"",IF(OR(A591="",B591="",C591="",D591&lt;0,E591&lt;0,F591&lt;0,H591&lt;0,I591&lt;0,J591&lt;0,K591&lt;0,L591&lt;0),"ERRO: valores inválidos",IF(D591&lt;&gt;E591+K591,"ERRO: total inconsistente",IF(E591&lt;&gt;F591+G591,"ERRO: finalizados inconsistentes",IF(G591&lt;&gt;SUM(H591:J591),"ERRO: reprovações inconsistentes","OK")))))</f>
        <v/>
      </c>
    </row>
    <row r="592" ht="15" customHeight="1" s="131">
      <c r="A592" s="320" t="n"/>
      <c r="B592" s="323" t="n"/>
      <c r="C592" s="323" t="n"/>
      <c r="D592" s="328" t="n"/>
      <c r="E592" s="328" t="n"/>
      <c r="F592" s="328" t="n"/>
      <c r="G592" s="329">
        <f>IF(COUNTA(A592:C592)=0,"",SUM(H592:J592))</f>
        <v/>
      </c>
      <c r="H592" s="328" t="n"/>
      <c r="I592" s="330" t="n"/>
      <c r="J592" s="331" t="n"/>
      <c r="K592" s="331" t="n"/>
      <c r="L592" s="331" t="n"/>
      <c r="M592" s="332" t="n"/>
      <c r="N592" s="302">
        <f>IF(L592&gt;0,M592/L592,"")</f>
        <v/>
      </c>
      <c r="O592" s="317">
        <f>IF(E592&gt;0,F592/E592*100,"")</f>
        <v/>
      </c>
      <c r="P592" s="275">
        <f>IF(COUNTA(A592:C592)=0,"",IF(OR(A592="",B592="",C592="",D592&lt;0,E592&lt;0,F592&lt;0,H592&lt;0,I592&lt;0,J592&lt;0,K592&lt;0,L592&lt;0),"ERRO: valores inválidos",IF(D592&lt;&gt;E592+K592,"ERRO: total inconsistente",IF(E592&lt;&gt;F592+G592,"ERRO: finalizados inconsistentes",IF(G592&lt;&gt;SUM(H592:J592),"ERRO: reprovações inconsistentes","OK")))))</f>
        <v/>
      </c>
    </row>
    <row r="593" ht="15" customHeight="1" s="131">
      <c r="A593" s="320" t="n"/>
      <c r="B593" s="323" t="n"/>
      <c r="C593" s="323" t="n"/>
      <c r="D593" s="328" t="n"/>
      <c r="E593" s="328" t="n"/>
      <c r="F593" s="328" t="n"/>
      <c r="G593" s="329">
        <f>IF(COUNTA(A593:C593)=0,"",SUM(H593:J593))</f>
        <v/>
      </c>
      <c r="H593" s="328" t="n"/>
      <c r="I593" s="330" t="n"/>
      <c r="J593" s="331" t="n"/>
      <c r="K593" s="331" t="n"/>
      <c r="L593" s="331" t="n"/>
      <c r="M593" s="332" t="n"/>
      <c r="N593" s="302">
        <f>IF(L593&gt;0,M593/L593,"")</f>
        <v/>
      </c>
      <c r="O593" s="317">
        <f>IF(E593&gt;0,F593/E593*100,"")</f>
        <v/>
      </c>
      <c r="P593" s="275">
        <f>IF(COUNTA(A593:C593)=0,"",IF(OR(A593="",B593="",C593="",D593&lt;0,E593&lt;0,F593&lt;0,H593&lt;0,I593&lt;0,J593&lt;0,K593&lt;0,L593&lt;0),"ERRO: valores inválidos",IF(D593&lt;&gt;E593+K593,"ERRO: total inconsistente",IF(E593&lt;&gt;F593+G593,"ERRO: finalizados inconsistentes",IF(G593&lt;&gt;SUM(H593:J593),"ERRO: reprovações inconsistentes","OK")))))</f>
        <v/>
      </c>
    </row>
    <row r="594" ht="15" customHeight="1" s="131">
      <c r="A594" s="320" t="n"/>
      <c r="B594" s="323" t="n"/>
      <c r="C594" s="323" t="n"/>
      <c r="D594" s="328" t="n"/>
      <c r="E594" s="328" t="n"/>
      <c r="F594" s="328" t="n"/>
      <c r="G594" s="329">
        <f>IF(COUNTA(A594:C594)=0,"",SUM(H594:J594))</f>
        <v/>
      </c>
      <c r="H594" s="328" t="n"/>
      <c r="I594" s="330" t="n"/>
      <c r="J594" s="331" t="n"/>
      <c r="K594" s="331" t="n"/>
      <c r="L594" s="331" t="n"/>
      <c r="M594" s="332" t="n"/>
      <c r="N594" s="302">
        <f>IF(L594&gt;0,M594/L594,"")</f>
        <v/>
      </c>
      <c r="O594" s="317">
        <f>IF(E594&gt;0,F594/E594*100,"")</f>
        <v/>
      </c>
      <c r="P594" s="275">
        <f>IF(COUNTA(A594:C594)=0,"",IF(OR(A594="",B594="",C594="",D594&lt;0,E594&lt;0,F594&lt;0,H594&lt;0,I594&lt;0,J594&lt;0,K594&lt;0,L594&lt;0),"ERRO: valores inválidos",IF(D594&lt;&gt;E594+K594,"ERRO: total inconsistente",IF(E594&lt;&gt;F594+G594,"ERRO: finalizados inconsistentes",IF(G594&lt;&gt;SUM(H594:J594),"ERRO: reprovações inconsistentes","OK")))))</f>
        <v/>
      </c>
    </row>
    <row r="595" ht="15" customHeight="1" s="131">
      <c r="A595" s="320" t="n"/>
      <c r="B595" s="323" t="n"/>
      <c r="C595" s="323" t="n"/>
      <c r="D595" s="328" t="n"/>
      <c r="E595" s="328" t="n"/>
      <c r="F595" s="328" t="n"/>
      <c r="G595" s="329">
        <f>IF(COUNTA(A595:C595)=0,"",SUM(H595:J595))</f>
        <v/>
      </c>
      <c r="H595" s="328" t="n"/>
      <c r="I595" s="330" t="n"/>
      <c r="J595" s="331" t="n"/>
      <c r="K595" s="331" t="n"/>
      <c r="L595" s="331" t="n"/>
      <c r="M595" s="332" t="n"/>
      <c r="N595" s="302">
        <f>IF(L595&gt;0,M595/L595,"")</f>
        <v/>
      </c>
      <c r="O595" s="317">
        <f>IF(E595&gt;0,F595/E595*100,"")</f>
        <v/>
      </c>
      <c r="P595" s="275">
        <f>IF(COUNTA(A595:C595)=0,"",IF(OR(A595="",B595="",C595="",D595&lt;0,E595&lt;0,F595&lt;0,H595&lt;0,I595&lt;0,J595&lt;0,K595&lt;0,L595&lt;0),"ERRO: valores inválidos",IF(D595&lt;&gt;E595+K595,"ERRO: total inconsistente",IF(E595&lt;&gt;F595+G595,"ERRO: finalizados inconsistentes",IF(G595&lt;&gt;SUM(H595:J595),"ERRO: reprovações inconsistentes","OK")))))</f>
        <v/>
      </c>
    </row>
    <row r="596" ht="15" customHeight="1" s="131">
      <c r="A596" s="320" t="n"/>
      <c r="B596" s="323" t="n"/>
      <c r="C596" s="323" t="n"/>
      <c r="D596" s="328" t="n"/>
      <c r="E596" s="328" t="n"/>
      <c r="F596" s="328" t="n"/>
      <c r="G596" s="329">
        <f>IF(COUNTA(A596:C596)=0,"",SUM(H596:J596))</f>
        <v/>
      </c>
      <c r="H596" s="328" t="n"/>
      <c r="I596" s="330" t="n"/>
      <c r="J596" s="331" t="n"/>
      <c r="K596" s="331" t="n"/>
      <c r="L596" s="331" t="n"/>
      <c r="M596" s="332" t="n"/>
      <c r="N596" s="302">
        <f>IF(L596&gt;0,M596/L596,"")</f>
        <v/>
      </c>
      <c r="O596" s="317">
        <f>IF(E596&gt;0,F596/E596*100,"")</f>
        <v/>
      </c>
      <c r="P596" s="275">
        <f>IF(COUNTA(A596:C596)=0,"",IF(OR(A596="",B596="",C596="",D596&lt;0,E596&lt;0,F596&lt;0,H596&lt;0,I596&lt;0,J596&lt;0,K596&lt;0,L596&lt;0),"ERRO: valores inválidos",IF(D596&lt;&gt;E596+K596,"ERRO: total inconsistente",IF(E596&lt;&gt;F596+G596,"ERRO: finalizados inconsistentes",IF(G596&lt;&gt;SUM(H596:J596),"ERRO: reprovações inconsistentes","OK")))))</f>
        <v/>
      </c>
    </row>
    <row r="597" ht="15" customHeight="1" s="131">
      <c r="A597" s="320" t="n"/>
      <c r="B597" s="323" t="n"/>
      <c r="C597" s="323" t="n"/>
      <c r="D597" s="328" t="n"/>
      <c r="E597" s="328" t="n"/>
      <c r="F597" s="328" t="n"/>
      <c r="G597" s="329">
        <f>IF(COUNTA(A597:C597)=0,"",SUM(H597:J597))</f>
        <v/>
      </c>
      <c r="H597" s="328" t="n"/>
      <c r="I597" s="330" t="n"/>
      <c r="J597" s="331" t="n"/>
      <c r="K597" s="331" t="n"/>
      <c r="L597" s="331" t="n"/>
      <c r="M597" s="332" t="n"/>
      <c r="N597" s="302">
        <f>IF(L597&gt;0,M597/L597,"")</f>
        <v/>
      </c>
      <c r="O597" s="317">
        <f>IF(E597&gt;0,F597/E597*100,"")</f>
        <v/>
      </c>
      <c r="P597" s="275">
        <f>IF(COUNTA(A597:C597)=0,"",IF(OR(A597="",B597="",C597="",D597&lt;0,E597&lt;0,F597&lt;0,H597&lt;0,I597&lt;0,J597&lt;0,K597&lt;0,L597&lt;0),"ERRO: valores inválidos",IF(D597&lt;&gt;E597+K597,"ERRO: total inconsistente",IF(E597&lt;&gt;F597+G597,"ERRO: finalizados inconsistentes",IF(G597&lt;&gt;SUM(H597:J597),"ERRO: reprovações inconsistentes","OK")))))</f>
        <v/>
      </c>
    </row>
    <row r="598" ht="15" customHeight="1" s="131">
      <c r="A598" s="320" t="n"/>
      <c r="B598" s="323" t="n"/>
      <c r="C598" s="323" t="n"/>
      <c r="D598" s="328" t="n"/>
      <c r="E598" s="328" t="n"/>
      <c r="F598" s="328" t="n"/>
      <c r="G598" s="329">
        <f>IF(COUNTA(A598:C598)=0,"",SUM(H598:J598))</f>
        <v/>
      </c>
      <c r="H598" s="328" t="n"/>
      <c r="I598" s="330" t="n"/>
      <c r="J598" s="331" t="n"/>
      <c r="K598" s="331" t="n"/>
      <c r="L598" s="331" t="n"/>
      <c r="M598" s="332" t="n"/>
      <c r="N598" s="302">
        <f>IF(L598&gt;0,M598/L598,"")</f>
        <v/>
      </c>
      <c r="O598" s="317">
        <f>IF(E598&gt;0,F598/E598*100,"")</f>
        <v/>
      </c>
      <c r="P598" s="275">
        <f>IF(COUNTA(A598:C598)=0,"",IF(OR(A598="",B598="",C598="",D598&lt;0,E598&lt;0,F598&lt;0,H598&lt;0,I598&lt;0,J598&lt;0,K598&lt;0,L598&lt;0),"ERRO: valores inválidos",IF(D598&lt;&gt;E598+K598,"ERRO: total inconsistente",IF(E598&lt;&gt;F598+G598,"ERRO: finalizados inconsistentes",IF(G598&lt;&gt;SUM(H598:J598),"ERRO: reprovações inconsistentes","OK")))))</f>
        <v/>
      </c>
    </row>
    <row r="599" ht="15" customHeight="1" s="131">
      <c r="A599" s="320" t="n"/>
      <c r="B599" s="323" t="n"/>
      <c r="C599" s="323" t="n"/>
      <c r="D599" s="328" t="n"/>
      <c r="E599" s="328" t="n"/>
      <c r="F599" s="328" t="n"/>
      <c r="G599" s="329">
        <f>IF(COUNTA(A599:C599)=0,"",SUM(H599:J599))</f>
        <v/>
      </c>
      <c r="H599" s="328" t="n"/>
      <c r="I599" s="330" t="n"/>
      <c r="J599" s="331" t="n"/>
      <c r="K599" s="331" t="n"/>
      <c r="L599" s="331" t="n"/>
      <c r="M599" s="332" t="n"/>
      <c r="N599" s="302">
        <f>IF(L599&gt;0,M599/L599,"")</f>
        <v/>
      </c>
      <c r="O599" s="317">
        <f>IF(E599&gt;0,F599/E599*100,"")</f>
        <v/>
      </c>
      <c r="P599" s="275">
        <f>IF(COUNTA(A599:C599)=0,"",IF(OR(A599="",B599="",C599="",D599&lt;0,E599&lt;0,F599&lt;0,H599&lt;0,I599&lt;0,J599&lt;0,K599&lt;0,L599&lt;0),"ERRO: valores inválidos",IF(D599&lt;&gt;E599+K599,"ERRO: total inconsistente",IF(E599&lt;&gt;F599+G599,"ERRO: finalizados inconsistentes",IF(G599&lt;&gt;SUM(H599:J599),"ERRO: reprovações inconsistentes","OK")))))</f>
        <v/>
      </c>
    </row>
    <row r="600" ht="15" customHeight="1" s="131">
      <c r="A600" s="320" t="n"/>
      <c r="B600" s="323" t="n"/>
      <c r="C600" s="323" t="n"/>
      <c r="D600" s="328" t="n"/>
      <c r="E600" s="328" t="n"/>
      <c r="F600" s="328" t="n"/>
      <c r="G600" s="329">
        <f>IF(COUNTA(A600:C600)=0,"",SUM(H600:J600))</f>
        <v/>
      </c>
      <c r="H600" s="328" t="n"/>
      <c r="I600" s="330" t="n"/>
      <c r="J600" s="331" t="n"/>
      <c r="K600" s="331" t="n"/>
      <c r="L600" s="331" t="n"/>
      <c r="M600" s="332" t="n"/>
      <c r="N600" s="302">
        <f>IF(L600&gt;0,M600/L600,"")</f>
        <v/>
      </c>
      <c r="O600" s="317">
        <f>IF(E600&gt;0,F600/E600*100,"")</f>
        <v/>
      </c>
      <c r="P600" s="275">
        <f>IF(COUNTA(A600:C600)=0,"",IF(OR(A600="",B600="",C600="",D600&lt;0,E600&lt;0,F600&lt;0,H600&lt;0,I600&lt;0,J600&lt;0,K600&lt;0,L600&lt;0),"ERRO: valores inválidos",IF(D600&lt;&gt;E600+K600,"ERRO: total inconsistente",IF(E600&lt;&gt;F600+G600,"ERRO: finalizados inconsistentes",IF(G600&lt;&gt;SUM(H600:J600),"ERRO: reprovações inconsistentes","OK")))))</f>
        <v/>
      </c>
    </row>
    <row r="601" ht="15" customHeight="1" s="131">
      <c r="A601" s="220" t="n"/>
      <c r="B601" s="222" t="n"/>
      <c r="C601" s="222" t="n"/>
      <c r="D601" s="220" t="n"/>
      <c r="E601" s="220" t="n"/>
      <c r="F601" s="181" t="n"/>
      <c r="G601" s="219" t="n"/>
      <c r="H601" s="220" t="n"/>
      <c r="I601" s="221" t="n"/>
    </row>
    <row r="602" ht="15" customHeight="1" s="131">
      <c r="A602" s="220" t="n"/>
      <c r="B602" s="222" t="n"/>
      <c r="C602" s="222" t="n"/>
      <c r="D602" s="220" t="n"/>
      <c r="E602" s="220" t="n"/>
      <c r="F602" s="181" t="n"/>
      <c r="G602" s="219" t="n"/>
      <c r="H602" s="220" t="n"/>
      <c r="I602" s="221" t="n"/>
    </row>
    <row r="603" ht="15" customHeight="1" s="131">
      <c r="A603" s="220" t="n"/>
      <c r="B603" s="222" t="n"/>
      <c r="C603" s="222" t="n"/>
      <c r="D603" s="220" t="n"/>
      <c r="E603" s="220" t="n"/>
      <c r="F603" s="181" t="n"/>
      <c r="G603" s="219" t="n"/>
      <c r="H603" s="220" t="n"/>
      <c r="I603" s="221" t="n"/>
    </row>
    <row r="604" ht="15" customHeight="1" s="131">
      <c r="A604" s="220" t="n"/>
      <c r="B604" s="222" t="n"/>
      <c r="C604" s="222" t="n"/>
      <c r="D604" s="220" t="n"/>
      <c r="E604" s="220" t="n"/>
      <c r="F604" s="181" t="n"/>
      <c r="G604" s="219" t="n"/>
      <c r="H604" s="220" t="n"/>
      <c r="I604" s="221" t="n"/>
    </row>
    <row r="605" ht="15" customHeight="1" s="131">
      <c r="A605" s="220" t="n"/>
      <c r="B605" s="222" t="n"/>
      <c r="C605" s="222" t="n"/>
      <c r="D605" s="220" t="n"/>
      <c r="E605" s="220" t="n"/>
      <c r="F605" s="181" t="n"/>
      <c r="G605" s="219" t="n"/>
      <c r="H605" s="220" t="n"/>
      <c r="I605" s="221" t="n"/>
    </row>
    <row r="606" ht="15" customHeight="1" s="131">
      <c r="A606" s="220" t="n"/>
      <c r="B606" s="222" t="n"/>
      <c r="C606" s="222" t="n"/>
      <c r="D606" s="220" t="n"/>
      <c r="E606" s="220" t="n"/>
      <c r="F606" s="181" t="n"/>
      <c r="G606" s="219" t="n"/>
      <c r="H606" s="220" t="n"/>
      <c r="I606" s="221" t="n"/>
    </row>
    <row r="607" ht="15" customHeight="1" s="131">
      <c r="A607" s="220" t="n"/>
      <c r="B607" s="222" t="n"/>
      <c r="C607" s="222" t="n"/>
      <c r="D607" s="220" t="n"/>
      <c r="E607" s="220" t="n"/>
      <c r="F607" s="181" t="n"/>
      <c r="G607" s="219" t="n"/>
      <c r="H607" s="220" t="n"/>
      <c r="I607" s="221" t="n"/>
    </row>
    <row r="608" ht="15" customHeight="1" s="131">
      <c r="A608" s="220" t="n"/>
      <c r="B608" s="222" t="n"/>
      <c r="C608" s="222" t="n"/>
      <c r="D608" s="220" t="n"/>
      <c r="E608" s="220" t="n"/>
      <c r="F608" s="181" t="n"/>
      <c r="G608" s="219" t="n"/>
      <c r="H608" s="220" t="n"/>
      <c r="I608" s="221" t="n"/>
    </row>
    <row r="609" ht="15" customHeight="1" s="131">
      <c r="A609" s="220" t="n"/>
      <c r="B609" s="222" t="n"/>
      <c r="C609" s="222" t="n"/>
      <c r="D609" s="220" t="n"/>
      <c r="E609" s="220" t="n"/>
      <c r="F609" s="181" t="n"/>
      <c r="G609" s="219" t="n"/>
      <c r="H609" s="220" t="n"/>
      <c r="I609" s="221" t="n"/>
    </row>
    <row r="610" ht="15" customHeight="1" s="131">
      <c r="A610" s="220" t="n"/>
      <c r="B610" s="222" t="n"/>
      <c r="C610" s="222" t="n"/>
      <c r="D610" s="220" t="n"/>
      <c r="E610" s="220" t="n"/>
      <c r="F610" s="181" t="n"/>
      <c r="G610" s="219" t="n"/>
      <c r="H610" s="220" t="n"/>
      <c r="I610" s="221" t="n"/>
    </row>
    <row r="611" ht="15" customHeight="1" s="131">
      <c r="A611" s="220" t="n"/>
      <c r="B611" s="222" t="n"/>
      <c r="C611" s="222" t="n"/>
      <c r="D611" s="220" t="n"/>
      <c r="E611" s="220" t="n"/>
      <c r="F611" s="181" t="n"/>
      <c r="G611" s="219" t="n"/>
      <c r="H611" s="220" t="n"/>
      <c r="I611" s="221" t="n"/>
    </row>
    <row r="612" ht="15" customHeight="1" s="131">
      <c r="A612" s="220" t="n"/>
      <c r="B612" s="222" t="n"/>
      <c r="C612" s="222" t="n"/>
      <c r="D612" s="220" t="n"/>
      <c r="E612" s="220" t="n"/>
      <c r="F612" s="181" t="n"/>
      <c r="G612" s="219" t="n"/>
      <c r="H612" s="220" t="n"/>
      <c r="I612" s="221" t="n"/>
    </row>
    <row r="613" ht="15" customHeight="1" s="131">
      <c r="A613" s="220" t="n"/>
      <c r="B613" s="222" t="n"/>
      <c r="C613" s="222" t="n"/>
      <c r="D613" s="220" t="n"/>
      <c r="E613" s="220" t="n"/>
      <c r="F613" s="181" t="n"/>
      <c r="G613" s="219" t="n"/>
      <c r="H613" s="220" t="n"/>
      <c r="I613" s="221" t="n"/>
    </row>
    <row r="614" ht="15" customHeight="1" s="131">
      <c r="A614" s="220" t="n"/>
      <c r="B614" s="222" t="n"/>
      <c r="C614" s="222" t="n"/>
      <c r="D614" s="220" t="n"/>
      <c r="E614" s="220" t="n"/>
      <c r="F614" s="181" t="n"/>
      <c r="G614" s="219" t="n"/>
      <c r="H614" s="220" t="n"/>
      <c r="I614" s="221" t="n"/>
    </row>
    <row r="615" ht="15" customHeight="1" s="131">
      <c r="A615" s="220" t="n"/>
      <c r="B615" s="222" t="n"/>
      <c r="C615" s="222" t="n"/>
      <c r="D615" s="220" t="n"/>
      <c r="E615" s="220" t="n"/>
      <c r="F615" s="181" t="n"/>
      <c r="G615" s="219" t="n"/>
      <c r="H615" s="220" t="n"/>
      <c r="I615" s="221" t="n"/>
    </row>
    <row r="616" ht="15" customHeight="1" s="131">
      <c r="A616" s="220" t="n"/>
      <c r="B616" s="222" t="n"/>
      <c r="C616" s="222" t="n"/>
      <c r="D616" s="220" t="n"/>
      <c r="E616" s="220" t="n"/>
      <c r="F616" s="181" t="n"/>
      <c r="G616" s="219" t="n"/>
      <c r="H616" s="220" t="n"/>
      <c r="I616" s="221" t="n"/>
    </row>
    <row r="617" ht="15" customHeight="1" s="131">
      <c r="A617" s="220" t="n"/>
      <c r="B617" s="222" t="n"/>
      <c r="C617" s="222" t="n"/>
      <c r="D617" s="220" t="n"/>
      <c r="E617" s="220" t="n"/>
      <c r="F617" s="181" t="n"/>
      <c r="G617" s="219" t="n"/>
      <c r="H617" s="220" t="n"/>
      <c r="I617" s="221" t="n"/>
    </row>
    <row r="618" ht="15" customHeight="1" s="131">
      <c r="A618" s="220" t="n"/>
      <c r="B618" s="222" t="n"/>
      <c r="C618" s="222" t="n"/>
      <c r="D618" s="220" t="n"/>
      <c r="E618" s="220" t="n"/>
      <c r="F618" s="181" t="n"/>
      <c r="G618" s="219" t="n"/>
      <c r="H618" s="220" t="n"/>
      <c r="I618" s="221" t="n"/>
    </row>
    <row r="619" ht="15" customHeight="1" s="131">
      <c r="A619" s="220" t="n"/>
      <c r="B619" s="222" t="n"/>
      <c r="C619" s="222" t="n"/>
      <c r="D619" s="220" t="n"/>
      <c r="E619" s="220" t="n"/>
      <c r="F619" s="181" t="n"/>
      <c r="G619" s="219" t="n"/>
      <c r="H619" s="220" t="n"/>
      <c r="I619" s="221" t="n"/>
    </row>
    <row r="620" ht="15" customHeight="1" s="131">
      <c r="A620" s="220" t="n"/>
      <c r="B620" s="222" t="n"/>
      <c r="C620" s="222" t="n"/>
      <c r="D620" s="220" t="n"/>
      <c r="E620" s="220" t="n"/>
      <c r="F620" s="181" t="n"/>
      <c r="G620" s="219" t="n"/>
      <c r="H620" s="220" t="n"/>
      <c r="I620" s="221" t="n"/>
    </row>
    <row r="621" ht="15" customHeight="1" s="131">
      <c r="A621" s="220" t="n"/>
      <c r="B621" s="222" t="n"/>
      <c r="C621" s="222" t="n"/>
      <c r="D621" s="220" t="n"/>
      <c r="E621" s="220" t="n"/>
      <c r="F621" s="181" t="n"/>
      <c r="G621" s="219" t="n"/>
      <c r="H621" s="220" t="n"/>
      <c r="I621" s="221" t="n"/>
    </row>
    <row r="622" ht="15" customHeight="1" s="131">
      <c r="A622" s="220" t="n"/>
      <c r="B622" s="222" t="n"/>
      <c r="C622" s="222" t="n"/>
      <c r="D622" s="220" t="n"/>
      <c r="E622" s="220" t="n"/>
      <c r="F622" s="181" t="n"/>
      <c r="G622" s="219" t="n"/>
      <c r="H622" s="220" t="n"/>
      <c r="I622" s="221" t="n"/>
    </row>
    <row r="623" ht="15" customHeight="1" s="131">
      <c r="A623" s="220" t="n"/>
      <c r="B623" s="222" t="n"/>
      <c r="C623" s="222" t="n"/>
      <c r="D623" s="220" t="n"/>
      <c r="E623" s="220" t="n"/>
      <c r="F623" s="181" t="n"/>
      <c r="G623" s="219" t="n"/>
      <c r="H623" s="220" t="n"/>
      <c r="I623" s="221" t="n"/>
    </row>
    <row r="624" ht="15" customHeight="1" s="131">
      <c r="A624" s="220" t="n"/>
      <c r="B624" s="222" t="n"/>
      <c r="C624" s="222" t="n"/>
      <c r="D624" s="220" t="n"/>
      <c r="E624" s="220" t="n"/>
      <c r="F624" s="181" t="n"/>
      <c r="G624" s="219" t="n"/>
      <c r="H624" s="220" t="n"/>
      <c r="I624" s="221" t="n"/>
    </row>
    <row r="625" ht="15" customHeight="1" s="131">
      <c r="A625" s="220" t="n"/>
      <c r="B625" s="222" t="n"/>
      <c r="C625" s="222" t="n"/>
      <c r="D625" s="220" t="n"/>
      <c r="E625" s="220" t="n"/>
      <c r="F625" s="181" t="n"/>
      <c r="G625" s="219" t="n"/>
      <c r="H625" s="220" t="n"/>
      <c r="I625" s="221" t="n"/>
    </row>
    <row r="626" ht="15" customHeight="1" s="131">
      <c r="A626" s="220" t="n"/>
      <c r="B626" s="222" t="n"/>
      <c r="C626" s="222" t="n"/>
      <c r="D626" s="220" t="n"/>
      <c r="E626" s="220" t="n"/>
      <c r="F626" s="181" t="n"/>
      <c r="G626" s="219" t="n"/>
      <c r="H626" s="220" t="n"/>
      <c r="I626" s="221" t="n"/>
    </row>
    <row r="627" ht="15" customHeight="1" s="131">
      <c r="A627" s="220" t="n"/>
      <c r="B627" s="222" t="n"/>
      <c r="C627" s="222" t="n"/>
      <c r="D627" s="220" t="n"/>
      <c r="E627" s="220" t="n"/>
      <c r="F627" s="181" t="n"/>
      <c r="G627" s="219" t="n"/>
      <c r="H627" s="220" t="n"/>
      <c r="I627" s="221" t="n"/>
    </row>
    <row r="628" ht="15" customHeight="1" s="131">
      <c r="A628" s="220" t="n"/>
      <c r="B628" s="222" t="n"/>
      <c r="C628" s="222" t="n"/>
      <c r="D628" s="220" t="n"/>
      <c r="E628" s="220" t="n"/>
      <c r="F628" s="181" t="n"/>
      <c r="G628" s="219" t="n"/>
      <c r="H628" s="220" t="n"/>
      <c r="I628" s="221" t="n"/>
    </row>
    <row r="629" ht="15" customHeight="1" s="131">
      <c r="A629" s="220" t="n"/>
      <c r="B629" s="222" t="n"/>
      <c r="C629" s="222" t="n"/>
      <c r="D629" s="220" t="n"/>
      <c r="E629" s="220" t="n"/>
      <c r="F629" s="181" t="n"/>
      <c r="G629" s="219" t="n"/>
      <c r="H629" s="220" t="n"/>
      <c r="I629" s="221" t="n"/>
    </row>
    <row r="630" ht="15" customHeight="1" s="131">
      <c r="A630" s="220" t="n"/>
      <c r="B630" s="222" t="n"/>
      <c r="C630" s="222" t="n"/>
      <c r="D630" s="220" t="n"/>
      <c r="E630" s="220" t="n"/>
      <c r="F630" s="181" t="n"/>
      <c r="G630" s="219" t="n"/>
      <c r="H630" s="220" t="n"/>
      <c r="I630" s="221" t="n"/>
    </row>
    <row r="631" ht="15" customHeight="1" s="131">
      <c r="A631" s="220" t="n"/>
      <c r="B631" s="222" t="n"/>
      <c r="C631" s="222" t="n"/>
      <c r="D631" s="220" t="n"/>
      <c r="E631" s="220" t="n"/>
      <c r="F631" s="181" t="n"/>
      <c r="G631" s="219" t="n"/>
      <c r="H631" s="220" t="n"/>
      <c r="I631" s="221" t="n"/>
    </row>
    <row r="632" ht="15" customHeight="1" s="131">
      <c r="A632" s="220" t="n"/>
      <c r="B632" s="222" t="n"/>
      <c r="C632" s="222" t="n"/>
      <c r="D632" s="220" t="n"/>
      <c r="E632" s="220" t="n"/>
      <c r="F632" s="181" t="n"/>
      <c r="G632" s="219" t="n"/>
      <c r="H632" s="220" t="n"/>
      <c r="I632" s="221" t="n"/>
    </row>
    <row r="633" ht="15" customHeight="1" s="131">
      <c r="A633" s="220" t="n"/>
      <c r="B633" s="222" t="n"/>
      <c r="C633" s="222" t="n"/>
      <c r="D633" s="220" t="n"/>
      <c r="E633" s="220" t="n"/>
      <c r="F633" s="181" t="n"/>
      <c r="G633" s="219" t="n"/>
      <c r="H633" s="220" t="n"/>
      <c r="I633" s="221" t="n"/>
    </row>
    <row r="634" ht="15" customHeight="1" s="131">
      <c r="A634" s="220" t="n"/>
      <c r="B634" s="222" t="n"/>
      <c r="C634" s="222" t="n"/>
      <c r="D634" s="220" t="n"/>
      <c r="E634" s="220" t="n"/>
      <c r="F634" s="181" t="n"/>
      <c r="G634" s="219" t="n"/>
      <c r="H634" s="220" t="n"/>
      <c r="I634" s="221" t="n"/>
    </row>
    <row r="635" ht="15" customHeight="1" s="131">
      <c r="A635" s="220" t="n"/>
      <c r="B635" s="222" t="n"/>
      <c r="C635" s="222" t="n"/>
      <c r="D635" s="220" t="n"/>
      <c r="E635" s="220" t="n"/>
      <c r="F635" s="181" t="n"/>
      <c r="G635" s="219" t="n"/>
      <c r="H635" s="220" t="n"/>
      <c r="I635" s="221" t="n"/>
    </row>
    <row r="636" ht="15" customHeight="1" s="131">
      <c r="A636" s="220" t="n"/>
      <c r="B636" s="222" t="n"/>
      <c r="C636" s="222" t="n"/>
      <c r="D636" s="220" t="n"/>
      <c r="E636" s="220" t="n"/>
      <c r="F636" s="181" t="n"/>
      <c r="G636" s="219" t="n"/>
      <c r="H636" s="220" t="n"/>
      <c r="I636" s="221" t="n"/>
    </row>
    <row r="637" ht="15" customHeight="1" s="131">
      <c r="A637" s="220" t="n"/>
      <c r="B637" s="222" t="n"/>
      <c r="C637" s="222" t="n"/>
      <c r="D637" s="220" t="n"/>
      <c r="E637" s="220" t="n"/>
      <c r="F637" s="181" t="n"/>
      <c r="G637" s="219" t="n"/>
      <c r="H637" s="220" t="n"/>
      <c r="I637" s="221" t="n"/>
    </row>
    <row r="638" ht="15" customHeight="1" s="131">
      <c r="A638" s="220" t="n"/>
      <c r="B638" s="222" t="n"/>
      <c r="C638" s="222" t="n"/>
      <c r="D638" s="220" t="n"/>
      <c r="E638" s="220" t="n"/>
      <c r="F638" s="181" t="n"/>
      <c r="G638" s="219" t="n"/>
      <c r="H638" s="220" t="n"/>
      <c r="I638" s="221" t="n"/>
    </row>
    <row r="639" ht="15" customHeight="1" s="131">
      <c r="A639" s="220" t="n"/>
      <c r="B639" s="222" t="n"/>
      <c r="C639" s="222" t="n"/>
      <c r="D639" s="220" t="n"/>
      <c r="E639" s="220" t="n"/>
      <c r="F639" s="181" t="n"/>
      <c r="G639" s="219" t="n"/>
      <c r="H639" s="220" t="n"/>
      <c r="I639" s="221" t="n"/>
    </row>
    <row r="640" ht="15" customHeight="1" s="131">
      <c r="A640" s="220" t="n"/>
      <c r="B640" s="222" t="n"/>
      <c r="C640" s="222" t="n"/>
      <c r="D640" s="220" t="n"/>
      <c r="E640" s="220" t="n"/>
      <c r="F640" s="181" t="n"/>
      <c r="G640" s="219" t="n"/>
      <c r="H640" s="220" t="n"/>
      <c r="I640" s="221" t="n"/>
    </row>
    <row r="641" ht="15" customHeight="1" s="131">
      <c r="A641" s="220" t="n"/>
      <c r="B641" s="222" t="n"/>
      <c r="C641" s="222" t="n"/>
      <c r="D641" s="220" t="n"/>
      <c r="E641" s="220" t="n"/>
      <c r="F641" s="181" t="n"/>
      <c r="G641" s="219" t="n"/>
      <c r="H641" s="220" t="n"/>
      <c r="I641" s="221" t="n"/>
    </row>
    <row r="642" ht="15" customHeight="1" s="131">
      <c r="A642" s="220" t="n"/>
      <c r="B642" s="222" t="n"/>
      <c r="C642" s="222" t="n"/>
      <c r="D642" s="220" t="n"/>
      <c r="E642" s="220" t="n"/>
      <c r="F642" s="181" t="n"/>
      <c r="G642" s="219" t="n"/>
      <c r="H642" s="220" t="n"/>
      <c r="I642" s="221" t="n"/>
    </row>
    <row r="643" ht="15" customHeight="1" s="131">
      <c r="A643" s="220" t="n"/>
      <c r="B643" s="222" t="n"/>
      <c r="C643" s="222" t="n"/>
      <c r="D643" s="220" t="n"/>
      <c r="E643" s="220" t="n"/>
      <c r="F643" s="181" t="n"/>
      <c r="G643" s="219" t="n"/>
      <c r="H643" s="220" t="n"/>
      <c r="I643" s="221" t="n"/>
    </row>
    <row r="644" ht="15" customHeight="1" s="131">
      <c r="A644" s="220" t="n"/>
      <c r="B644" s="222" t="n"/>
      <c r="C644" s="222" t="n"/>
      <c r="D644" s="220" t="n"/>
      <c r="E644" s="220" t="n"/>
      <c r="F644" s="181" t="n"/>
      <c r="G644" s="219" t="n"/>
      <c r="H644" s="220" t="n"/>
      <c r="I644" s="221" t="n"/>
    </row>
    <row r="645" ht="15" customHeight="1" s="131">
      <c r="A645" s="220" t="n"/>
      <c r="B645" s="222" t="n"/>
      <c r="C645" s="222" t="n"/>
      <c r="D645" s="220" t="n"/>
      <c r="E645" s="220" t="n"/>
      <c r="F645" s="181" t="n"/>
      <c r="G645" s="219" t="n"/>
      <c r="H645" s="220" t="n"/>
      <c r="I645" s="221" t="n"/>
    </row>
    <row r="646" ht="15" customHeight="1" s="131">
      <c r="A646" s="220" t="n"/>
      <c r="B646" s="222" t="n"/>
      <c r="C646" s="222" t="n"/>
      <c r="D646" s="220" t="n"/>
      <c r="E646" s="220" t="n"/>
      <c r="F646" s="181" t="n"/>
      <c r="G646" s="219" t="n"/>
      <c r="H646" s="220" t="n"/>
      <c r="I646" s="221" t="n"/>
    </row>
    <row r="647" ht="15" customHeight="1" s="131">
      <c r="A647" s="220" t="n"/>
      <c r="B647" s="222" t="n"/>
      <c r="C647" s="222" t="n"/>
      <c r="D647" s="220" t="n"/>
      <c r="E647" s="220" t="n"/>
      <c r="F647" s="181" t="n"/>
      <c r="G647" s="219" t="n"/>
      <c r="H647" s="220" t="n"/>
      <c r="I647" s="221" t="n"/>
    </row>
    <row r="648" ht="15" customHeight="1" s="131">
      <c r="A648" s="220" t="n"/>
      <c r="B648" s="222" t="n"/>
      <c r="C648" s="222" t="n"/>
      <c r="D648" s="220" t="n"/>
      <c r="E648" s="220" t="n"/>
      <c r="F648" s="181" t="n"/>
      <c r="G648" s="219" t="n"/>
      <c r="H648" s="220" t="n"/>
      <c r="I648" s="221" t="n"/>
    </row>
    <row r="649" ht="15" customHeight="1" s="131">
      <c r="A649" s="220" t="n"/>
      <c r="B649" s="222" t="n"/>
      <c r="C649" s="222" t="n"/>
      <c r="D649" s="220" t="n"/>
      <c r="E649" s="220" t="n"/>
      <c r="F649" s="181" t="n"/>
      <c r="G649" s="219" t="n"/>
      <c r="H649" s="220" t="n"/>
      <c r="I649" s="221" t="n"/>
    </row>
    <row r="650" ht="15" customHeight="1" s="131">
      <c r="A650" s="220" t="n"/>
      <c r="B650" s="222" t="n"/>
      <c r="C650" s="222" t="n"/>
      <c r="D650" s="220" t="n"/>
      <c r="E650" s="220" t="n"/>
      <c r="F650" s="181" t="n"/>
      <c r="G650" s="219" t="n"/>
      <c r="H650" s="220" t="n"/>
      <c r="I650" s="221" t="n"/>
    </row>
    <row r="651" ht="15" customHeight="1" s="131">
      <c r="A651" s="220" t="n"/>
      <c r="B651" s="222" t="n"/>
      <c r="C651" s="222" t="n"/>
      <c r="D651" s="220" t="n"/>
      <c r="E651" s="220" t="n"/>
      <c r="F651" s="181" t="n"/>
      <c r="G651" s="219" t="n"/>
      <c r="H651" s="220" t="n"/>
      <c r="I651" s="221" t="n"/>
    </row>
    <row r="652" ht="15" customHeight="1" s="131">
      <c r="A652" s="220" t="n"/>
      <c r="B652" s="222" t="n"/>
      <c r="C652" s="222" t="n"/>
      <c r="D652" s="220" t="n"/>
      <c r="E652" s="220" t="n"/>
      <c r="F652" s="181" t="n"/>
      <c r="G652" s="219" t="n"/>
      <c r="H652" s="220" t="n"/>
      <c r="I652" s="221" t="n"/>
    </row>
    <row r="653" ht="15" customHeight="1" s="131">
      <c r="A653" s="220" t="n"/>
      <c r="B653" s="222" t="n"/>
      <c r="C653" s="222" t="n"/>
      <c r="D653" s="220" t="n"/>
      <c r="E653" s="220" t="n"/>
      <c r="F653" s="181" t="n"/>
      <c r="G653" s="219" t="n"/>
      <c r="H653" s="220" t="n"/>
      <c r="I653" s="221" t="n"/>
    </row>
    <row r="654" ht="15" customHeight="1" s="131">
      <c r="A654" s="220" t="n"/>
      <c r="B654" s="222" t="n"/>
      <c r="C654" s="222" t="n"/>
      <c r="D654" s="220" t="n"/>
      <c r="E654" s="220" t="n"/>
      <c r="F654" s="181" t="n"/>
      <c r="G654" s="219" t="n"/>
      <c r="H654" s="220" t="n"/>
      <c r="I654" s="221" t="n"/>
    </row>
    <row r="655" ht="15" customHeight="1" s="131">
      <c r="A655" s="220" t="n"/>
      <c r="B655" s="222" t="n"/>
      <c r="C655" s="222" t="n"/>
      <c r="D655" s="220" t="n"/>
      <c r="E655" s="220" t="n"/>
      <c r="F655" s="181" t="n"/>
      <c r="G655" s="219" t="n"/>
      <c r="H655" s="220" t="n"/>
      <c r="I655" s="221" t="n"/>
    </row>
    <row r="656" ht="15" customHeight="1" s="131">
      <c r="A656" s="220" t="n"/>
      <c r="B656" s="222" t="n"/>
      <c r="C656" s="222" t="n"/>
      <c r="D656" s="220" t="n"/>
      <c r="E656" s="220" t="n"/>
      <c r="F656" s="181" t="n"/>
      <c r="G656" s="219" t="n"/>
      <c r="H656" s="220" t="n"/>
      <c r="I656" s="221" t="n"/>
    </row>
    <row r="657" ht="15" customHeight="1" s="131">
      <c r="A657" s="220" t="n"/>
      <c r="B657" s="222" t="n"/>
      <c r="C657" s="222" t="n"/>
      <c r="D657" s="220" t="n"/>
      <c r="E657" s="220" t="n"/>
      <c r="F657" s="181" t="n"/>
      <c r="G657" s="219" t="n"/>
      <c r="H657" s="220" t="n"/>
      <c r="I657" s="221" t="n"/>
    </row>
    <row r="658" ht="15" customHeight="1" s="131">
      <c r="A658" s="220" t="n"/>
      <c r="B658" s="222" t="n"/>
      <c r="C658" s="222" t="n"/>
      <c r="D658" s="220" t="n"/>
      <c r="E658" s="220" t="n"/>
      <c r="F658" s="181" t="n"/>
      <c r="G658" s="219" t="n"/>
      <c r="H658" s="220" t="n"/>
      <c r="I658" s="221" t="n"/>
    </row>
    <row r="659" ht="15" customHeight="1" s="131">
      <c r="A659" s="220" t="n"/>
      <c r="B659" s="222" t="n"/>
      <c r="C659" s="222" t="n"/>
      <c r="D659" s="220" t="n"/>
      <c r="E659" s="220" t="n"/>
      <c r="F659" s="181" t="n"/>
      <c r="G659" s="219" t="n"/>
      <c r="H659" s="220" t="n"/>
      <c r="I659" s="221" t="n"/>
    </row>
    <row r="660" ht="15" customHeight="1" s="131">
      <c r="A660" s="220" t="n"/>
      <c r="B660" s="222" t="n"/>
      <c r="C660" s="222" t="n"/>
      <c r="D660" s="220" t="n"/>
      <c r="E660" s="220" t="n"/>
      <c r="F660" s="181" t="n"/>
      <c r="G660" s="219" t="n"/>
      <c r="H660" s="220" t="n"/>
      <c r="I660" s="221" t="n"/>
    </row>
    <row r="661" ht="15" customHeight="1" s="131">
      <c r="A661" s="220" t="n"/>
      <c r="B661" s="222" t="n"/>
      <c r="C661" s="222" t="n"/>
      <c r="D661" s="220" t="n"/>
      <c r="E661" s="220" t="n"/>
      <c r="F661" s="181" t="n"/>
      <c r="G661" s="219" t="n"/>
      <c r="H661" s="220" t="n"/>
      <c r="I661" s="221" t="n"/>
    </row>
    <row r="662" ht="15" customHeight="1" s="131">
      <c r="A662" s="220" t="n"/>
      <c r="B662" s="222" t="n"/>
      <c r="C662" s="222" t="n"/>
      <c r="D662" s="220" t="n"/>
      <c r="E662" s="220" t="n"/>
      <c r="F662" s="181" t="n"/>
      <c r="G662" s="219" t="n"/>
      <c r="H662" s="220" t="n"/>
      <c r="I662" s="221" t="n"/>
    </row>
    <row r="663" ht="15" customHeight="1" s="131">
      <c r="A663" s="220" t="n"/>
      <c r="B663" s="222" t="n"/>
      <c r="C663" s="222" t="n"/>
      <c r="D663" s="220" t="n"/>
      <c r="E663" s="220" t="n"/>
      <c r="F663" s="181" t="n"/>
      <c r="G663" s="219" t="n"/>
      <c r="H663" s="220" t="n"/>
      <c r="I663" s="221" t="n"/>
    </row>
    <row r="664" ht="15" customHeight="1" s="131">
      <c r="A664" s="220" t="n"/>
      <c r="B664" s="222" t="n"/>
      <c r="C664" s="222" t="n"/>
      <c r="D664" s="220" t="n"/>
      <c r="E664" s="220" t="n"/>
      <c r="F664" s="181" t="n"/>
      <c r="G664" s="219" t="n"/>
      <c r="H664" s="220" t="n"/>
      <c r="I664" s="221" t="n"/>
    </row>
    <row r="665" ht="15" customHeight="1" s="131">
      <c r="A665" s="220" t="n"/>
      <c r="B665" s="222" t="n"/>
      <c r="C665" s="222" t="n"/>
      <c r="D665" s="220" t="n"/>
      <c r="E665" s="220" t="n"/>
      <c r="F665" s="181" t="n"/>
      <c r="G665" s="219" t="n"/>
      <c r="H665" s="220" t="n"/>
      <c r="I665" s="221" t="n"/>
    </row>
    <row r="666" ht="15" customHeight="1" s="131">
      <c r="A666" s="220" t="n"/>
      <c r="B666" s="222" t="n"/>
      <c r="C666" s="222" t="n"/>
      <c r="D666" s="220" t="n"/>
      <c r="E666" s="220" t="n"/>
      <c r="F666" s="181" t="n"/>
      <c r="G666" s="219" t="n"/>
      <c r="H666" s="220" t="n"/>
      <c r="I666" s="221" t="n"/>
    </row>
    <row r="667" ht="15" customHeight="1" s="131">
      <c r="A667" s="220" t="n"/>
      <c r="B667" s="222" t="n"/>
      <c r="C667" s="222" t="n"/>
      <c r="D667" s="220" t="n"/>
      <c r="E667" s="220" t="n"/>
      <c r="F667" s="181" t="n"/>
      <c r="G667" s="219" t="n"/>
      <c r="H667" s="220" t="n"/>
      <c r="I667" s="221" t="n"/>
    </row>
    <row r="668" ht="15" customHeight="1" s="131">
      <c r="A668" s="220" t="n"/>
      <c r="B668" s="222" t="n"/>
      <c r="C668" s="222" t="n"/>
      <c r="D668" s="220" t="n"/>
      <c r="E668" s="220" t="n"/>
      <c r="F668" s="181" t="n"/>
      <c r="G668" s="219" t="n"/>
      <c r="H668" s="220" t="n"/>
      <c r="I668" s="221" t="n"/>
    </row>
    <row r="669" ht="15" customHeight="1" s="131">
      <c r="A669" s="220" t="n"/>
      <c r="B669" s="222" t="n"/>
      <c r="C669" s="222" t="n"/>
      <c r="D669" s="220" t="n"/>
      <c r="E669" s="220" t="n"/>
      <c r="F669" s="181" t="n"/>
      <c r="G669" s="219" t="n"/>
      <c r="H669" s="220" t="n"/>
      <c r="I669" s="221" t="n"/>
    </row>
    <row r="670" ht="15" customHeight="1" s="131">
      <c r="A670" s="220" t="n"/>
      <c r="B670" s="222" t="n"/>
      <c r="C670" s="222" t="n"/>
      <c r="D670" s="220" t="n"/>
      <c r="E670" s="220" t="n"/>
      <c r="F670" s="181" t="n"/>
      <c r="G670" s="219" t="n"/>
      <c r="H670" s="220" t="n"/>
      <c r="I670" s="221" t="n"/>
    </row>
    <row r="671" ht="15" customHeight="1" s="131">
      <c r="A671" s="220" t="n"/>
      <c r="B671" s="222" t="n"/>
      <c r="C671" s="222" t="n"/>
      <c r="D671" s="220" t="n"/>
      <c r="E671" s="220" t="n"/>
      <c r="F671" s="181" t="n"/>
      <c r="G671" s="219" t="n"/>
      <c r="H671" s="220" t="n"/>
      <c r="I671" s="221" t="n"/>
    </row>
    <row r="672" ht="15" customHeight="1" s="131">
      <c r="A672" s="220" t="n"/>
      <c r="B672" s="222" t="n"/>
      <c r="C672" s="222" t="n"/>
      <c r="D672" s="220" t="n"/>
      <c r="E672" s="220" t="n"/>
      <c r="F672" s="181" t="n"/>
      <c r="G672" s="219" t="n"/>
      <c r="H672" s="220" t="n"/>
      <c r="I672" s="221" t="n"/>
    </row>
    <row r="673" ht="15" customHeight="1" s="131">
      <c r="A673" s="220" t="n"/>
      <c r="B673" s="222" t="n"/>
      <c r="C673" s="222" t="n"/>
      <c r="D673" s="220" t="n"/>
      <c r="E673" s="220" t="n"/>
      <c r="F673" s="181" t="n"/>
      <c r="G673" s="219" t="n"/>
      <c r="H673" s="220" t="n"/>
      <c r="I673" s="221" t="n"/>
    </row>
    <row r="674" ht="15" customHeight="1" s="131">
      <c r="A674" s="220" t="n"/>
      <c r="B674" s="222" t="n"/>
      <c r="C674" s="222" t="n"/>
      <c r="D674" s="220" t="n"/>
      <c r="E674" s="220" t="n"/>
      <c r="F674" s="181" t="n"/>
      <c r="G674" s="219" t="n"/>
      <c r="H674" s="220" t="n"/>
      <c r="I674" s="221" t="n"/>
    </row>
    <row r="675" ht="15" customHeight="1" s="131">
      <c r="A675" s="220" t="n"/>
      <c r="B675" s="222" t="n"/>
      <c r="C675" s="222" t="n"/>
      <c r="D675" s="220" t="n"/>
      <c r="E675" s="220" t="n"/>
      <c r="F675" s="181" t="n"/>
      <c r="G675" s="219" t="n"/>
      <c r="H675" s="220" t="n"/>
      <c r="I675" s="221" t="n"/>
    </row>
    <row r="676" ht="15" customHeight="1" s="131">
      <c r="A676" s="220" t="n"/>
      <c r="B676" s="222" t="n"/>
      <c r="C676" s="222" t="n"/>
      <c r="D676" s="220" t="n"/>
      <c r="E676" s="220" t="n"/>
      <c r="F676" s="181" t="n"/>
      <c r="G676" s="219" t="n"/>
      <c r="H676" s="220" t="n"/>
      <c r="I676" s="221" t="n"/>
    </row>
    <row r="677" ht="15" customHeight="1" s="131">
      <c r="A677" s="220" t="n"/>
      <c r="B677" s="222" t="n"/>
      <c r="C677" s="222" t="n"/>
      <c r="D677" s="220" t="n"/>
      <c r="E677" s="220" t="n"/>
      <c r="F677" s="181" t="n"/>
      <c r="G677" s="219" t="n"/>
      <c r="H677" s="220" t="n"/>
      <c r="I677" s="221" t="n"/>
    </row>
    <row r="678" ht="15" customHeight="1" s="131">
      <c r="A678" s="220" t="n"/>
      <c r="B678" s="222" t="n"/>
      <c r="C678" s="222" t="n"/>
      <c r="D678" s="220" t="n"/>
      <c r="E678" s="220" t="n"/>
      <c r="F678" s="181" t="n"/>
      <c r="G678" s="219" t="n"/>
      <c r="H678" s="220" t="n"/>
      <c r="I678" s="221" t="n"/>
    </row>
    <row r="679" ht="15" customHeight="1" s="131">
      <c r="A679" s="220" t="n"/>
      <c r="B679" s="222" t="n"/>
      <c r="C679" s="222" t="n"/>
      <c r="D679" s="220" t="n"/>
      <c r="E679" s="220" t="n"/>
      <c r="F679" s="181" t="n"/>
      <c r="G679" s="219" t="n"/>
      <c r="H679" s="220" t="n"/>
      <c r="I679" s="221" t="n"/>
    </row>
    <row r="680" ht="15" customHeight="1" s="131">
      <c r="A680" s="220" t="n"/>
      <c r="B680" s="222" t="n"/>
      <c r="C680" s="222" t="n"/>
      <c r="D680" s="220" t="n"/>
      <c r="E680" s="220" t="n"/>
      <c r="F680" s="181" t="n"/>
      <c r="G680" s="219" t="n"/>
      <c r="H680" s="220" t="n"/>
      <c r="I680" s="221" t="n"/>
    </row>
    <row r="681" ht="15" customHeight="1" s="131">
      <c r="A681" s="220" t="n"/>
      <c r="B681" s="222" t="n"/>
      <c r="C681" s="222" t="n"/>
      <c r="D681" s="220" t="n"/>
      <c r="E681" s="220" t="n"/>
      <c r="F681" s="181" t="n"/>
      <c r="G681" s="219" t="n"/>
      <c r="H681" s="220" t="n"/>
      <c r="I681" s="221" t="n"/>
    </row>
    <row r="682" ht="15" customHeight="1" s="131">
      <c r="A682" s="220" t="n"/>
      <c r="B682" s="222" t="n"/>
      <c r="C682" s="222" t="n"/>
      <c r="D682" s="220" t="n"/>
      <c r="E682" s="220" t="n"/>
      <c r="F682" s="181" t="n"/>
      <c r="G682" s="219" t="n"/>
      <c r="H682" s="220" t="n"/>
      <c r="I682" s="221" t="n"/>
    </row>
    <row r="683" ht="15" customHeight="1" s="131">
      <c r="A683" s="220" t="n"/>
      <c r="B683" s="222" t="n"/>
      <c r="C683" s="222" t="n"/>
      <c r="D683" s="220" t="n"/>
      <c r="E683" s="220" t="n"/>
      <c r="F683" s="181" t="n"/>
      <c r="G683" s="219" t="n"/>
      <c r="H683" s="220" t="n"/>
      <c r="I683" s="221" t="n"/>
    </row>
    <row r="684" ht="15" customHeight="1" s="131">
      <c r="A684" s="220" t="n"/>
      <c r="B684" s="222" t="n"/>
      <c r="C684" s="222" t="n"/>
      <c r="D684" s="220" t="n"/>
      <c r="E684" s="220" t="n"/>
      <c r="F684" s="181" t="n"/>
      <c r="G684" s="219" t="n"/>
      <c r="H684" s="220" t="n"/>
      <c r="I684" s="221" t="n"/>
    </row>
    <row r="685" ht="15" customHeight="1" s="131">
      <c r="A685" s="220" t="n"/>
      <c r="B685" s="222" t="n"/>
      <c r="C685" s="222" t="n"/>
      <c r="D685" s="220" t="n"/>
      <c r="E685" s="220" t="n"/>
      <c r="F685" s="181" t="n"/>
      <c r="G685" s="219" t="n"/>
      <c r="H685" s="220" t="n"/>
      <c r="I685" s="221" t="n"/>
    </row>
    <row r="686" ht="15" customHeight="1" s="131">
      <c r="A686" s="220" t="n"/>
      <c r="B686" s="222" t="n"/>
      <c r="C686" s="222" t="n"/>
      <c r="D686" s="220" t="n"/>
      <c r="E686" s="220" t="n"/>
      <c r="F686" s="181" t="n"/>
      <c r="G686" s="219" t="n"/>
      <c r="H686" s="220" t="n"/>
      <c r="I686" s="221" t="n"/>
    </row>
    <row r="687" ht="15" customHeight="1" s="131">
      <c r="A687" s="220" t="n"/>
      <c r="B687" s="222" t="n"/>
      <c r="C687" s="222" t="n"/>
      <c r="D687" s="220" t="n"/>
      <c r="E687" s="220" t="n"/>
      <c r="F687" s="181" t="n"/>
      <c r="G687" s="219" t="n"/>
      <c r="H687" s="220" t="n"/>
      <c r="I687" s="221" t="n"/>
    </row>
    <row r="688" ht="15" customHeight="1" s="131">
      <c r="A688" s="220" t="n"/>
      <c r="B688" s="222" t="n"/>
      <c r="C688" s="222" t="n"/>
      <c r="D688" s="220" t="n"/>
      <c r="E688" s="220" t="n"/>
      <c r="F688" s="181" t="n"/>
      <c r="G688" s="219" t="n"/>
      <c r="H688" s="220" t="n"/>
      <c r="I688" s="221" t="n"/>
    </row>
    <row r="689" ht="15" customHeight="1" s="131">
      <c r="A689" s="220" t="n"/>
      <c r="B689" s="222" t="n"/>
      <c r="C689" s="222" t="n"/>
      <c r="D689" s="220" t="n"/>
      <c r="E689" s="220" t="n"/>
      <c r="F689" s="181" t="n"/>
      <c r="G689" s="219" t="n"/>
      <c r="H689" s="220" t="n"/>
      <c r="I689" s="221" t="n"/>
    </row>
    <row r="690" ht="15" customHeight="1" s="131">
      <c r="A690" s="220" t="n"/>
      <c r="B690" s="222" t="n"/>
      <c r="C690" s="222" t="n"/>
      <c r="D690" s="220" t="n"/>
      <c r="E690" s="220" t="n"/>
      <c r="F690" s="181" t="n"/>
      <c r="G690" s="219" t="n"/>
      <c r="H690" s="220" t="n"/>
      <c r="I690" s="221" t="n"/>
    </row>
    <row r="691" ht="15" customHeight="1" s="131">
      <c r="A691" s="220" t="n"/>
      <c r="B691" s="222" t="n"/>
      <c r="C691" s="222" t="n"/>
      <c r="D691" s="220" t="n"/>
      <c r="E691" s="220" t="n"/>
      <c r="F691" s="181" t="n"/>
      <c r="G691" s="219" t="n"/>
      <c r="H691" s="220" t="n"/>
      <c r="I691" s="221" t="n"/>
    </row>
    <row r="692" ht="15" customHeight="1" s="131">
      <c r="A692" s="220" t="n"/>
      <c r="B692" s="222" t="n"/>
      <c r="C692" s="222" t="n"/>
      <c r="D692" s="220" t="n"/>
      <c r="E692" s="220" t="n"/>
      <c r="F692" s="181" t="n"/>
      <c r="G692" s="219" t="n"/>
      <c r="H692" s="220" t="n"/>
      <c r="I692" s="221" t="n"/>
    </row>
    <row r="693" ht="15" customHeight="1" s="131">
      <c r="A693" s="220" t="n"/>
      <c r="B693" s="222" t="n"/>
      <c r="C693" s="222" t="n"/>
      <c r="D693" s="220" t="n"/>
      <c r="E693" s="220" t="n"/>
      <c r="F693" s="181" t="n"/>
      <c r="G693" s="219" t="n"/>
      <c r="H693" s="220" t="n"/>
      <c r="I693" s="221" t="n"/>
    </row>
    <row r="694" ht="15" customHeight="1" s="131">
      <c r="A694" s="220" t="n"/>
      <c r="B694" s="222" t="n"/>
      <c r="C694" s="222" t="n"/>
      <c r="D694" s="220" t="n"/>
      <c r="E694" s="220" t="n"/>
      <c r="F694" s="181" t="n"/>
      <c r="G694" s="219" t="n"/>
      <c r="H694" s="220" t="n"/>
      <c r="I694" s="221" t="n"/>
    </row>
    <row r="695" ht="15" customHeight="1" s="131">
      <c r="A695" s="220" t="n"/>
      <c r="B695" s="222" t="n"/>
      <c r="C695" s="222" t="n"/>
      <c r="D695" s="220" t="n"/>
      <c r="E695" s="220" t="n"/>
      <c r="F695" s="181" t="n"/>
      <c r="G695" s="219" t="n"/>
      <c r="H695" s="220" t="n"/>
      <c r="I695" s="221" t="n"/>
    </row>
    <row r="696" ht="15" customHeight="1" s="131">
      <c r="A696" s="220" t="n"/>
      <c r="B696" s="222" t="n"/>
      <c r="C696" s="222" t="n"/>
      <c r="D696" s="220" t="n"/>
      <c r="E696" s="220" t="n"/>
      <c r="F696" s="181" t="n"/>
      <c r="G696" s="219" t="n"/>
      <c r="H696" s="220" t="n"/>
      <c r="I696" s="221" t="n"/>
    </row>
    <row r="697" ht="15" customHeight="1" s="131">
      <c r="A697" s="220" t="n"/>
      <c r="B697" s="222" t="n"/>
      <c r="C697" s="222" t="n"/>
      <c r="D697" s="220" t="n"/>
      <c r="E697" s="220" t="n"/>
      <c r="F697" s="181" t="n"/>
      <c r="G697" s="219" t="n"/>
      <c r="H697" s="220" t="n"/>
      <c r="I697" s="221" t="n"/>
    </row>
    <row r="698" ht="15" customHeight="1" s="131">
      <c r="A698" s="220" t="n"/>
      <c r="B698" s="222" t="n"/>
      <c r="C698" s="222" t="n"/>
      <c r="D698" s="220" t="n"/>
      <c r="E698" s="220" t="n"/>
      <c r="F698" s="181" t="n"/>
      <c r="G698" s="219" t="n"/>
      <c r="H698" s="220" t="n"/>
      <c r="I698" s="221" t="n"/>
    </row>
    <row r="699" ht="15" customHeight="1" s="131">
      <c r="A699" s="220" t="n"/>
      <c r="B699" s="222" t="n"/>
      <c r="C699" s="222" t="n"/>
      <c r="D699" s="220" t="n"/>
      <c r="E699" s="220" t="n"/>
      <c r="F699" s="181" t="n"/>
      <c r="G699" s="219" t="n"/>
      <c r="H699" s="220" t="n"/>
      <c r="I699" s="221" t="n"/>
    </row>
    <row r="700" ht="15" customHeight="1" s="131">
      <c r="A700" s="220" t="n"/>
      <c r="B700" s="222" t="n"/>
      <c r="C700" s="222" t="n"/>
      <c r="D700" s="220" t="n"/>
      <c r="E700" s="220" t="n"/>
      <c r="F700" s="181" t="n"/>
      <c r="G700" s="219" t="n"/>
      <c r="H700" s="220" t="n"/>
      <c r="I700" s="221" t="n"/>
    </row>
    <row r="701" ht="15" customHeight="1" s="131">
      <c r="A701" s="220" t="n"/>
      <c r="B701" s="222" t="n"/>
      <c r="C701" s="222" t="n"/>
      <c r="D701" s="220" t="n"/>
      <c r="E701" s="220" t="n"/>
      <c r="F701" s="181" t="n"/>
      <c r="G701" s="219" t="n"/>
      <c r="H701" s="220" t="n"/>
      <c r="I701" s="221" t="n"/>
    </row>
    <row r="702" ht="15" customHeight="1" s="131">
      <c r="A702" s="220" t="n"/>
      <c r="B702" s="222" t="n"/>
      <c r="C702" s="222" t="n"/>
      <c r="D702" s="220" t="n"/>
      <c r="E702" s="220" t="n"/>
      <c r="F702" s="181" t="n"/>
      <c r="G702" s="219" t="n"/>
      <c r="H702" s="220" t="n"/>
      <c r="I702" s="221" t="n"/>
    </row>
    <row r="703" ht="15" customHeight="1" s="131">
      <c r="A703" s="220" t="n"/>
      <c r="B703" s="222" t="n"/>
      <c r="C703" s="222" t="n"/>
      <c r="D703" s="220" t="n"/>
      <c r="E703" s="220" t="n"/>
      <c r="F703" s="181" t="n"/>
      <c r="G703" s="219" t="n"/>
      <c r="H703" s="220" t="n"/>
      <c r="I703" s="221" t="n"/>
    </row>
    <row r="704" ht="15" customHeight="1" s="131">
      <c r="A704" s="220" t="n"/>
      <c r="B704" s="222" t="n"/>
      <c r="C704" s="222" t="n"/>
      <c r="D704" s="220" t="n"/>
      <c r="E704" s="220" t="n"/>
      <c r="F704" s="181" t="n"/>
      <c r="G704" s="219" t="n"/>
      <c r="H704" s="220" t="n"/>
      <c r="I704" s="221" t="n"/>
    </row>
    <row r="705" ht="15" customHeight="1" s="131">
      <c r="A705" s="220" t="n"/>
      <c r="B705" s="222" t="n"/>
      <c r="C705" s="222" t="n"/>
      <c r="D705" s="220" t="n"/>
      <c r="E705" s="220" t="n"/>
      <c r="F705" s="181" t="n"/>
      <c r="G705" s="219" t="n"/>
      <c r="H705" s="220" t="n"/>
      <c r="I705" s="221" t="n"/>
    </row>
    <row r="706" ht="15" customHeight="1" s="131">
      <c r="A706" s="220" t="n"/>
      <c r="B706" s="222" t="n"/>
      <c r="C706" s="222" t="n"/>
      <c r="D706" s="220" t="n"/>
      <c r="E706" s="220" t="n"/>
      <c r="F706" s="181" t="n"/>
      <c r="G706" s="219" t="n"/>
      <c r="H706" s="220" t="n"/>
      <c r="I706" s="221" t="n"/>
    </row>
    <row r="707" ht="15" customHeight="1" s="131">
      <c r="A707" s="220" t="n"/>
      <c r="B707" s="222" t="n"/>
      <c r="C707" s="222" t="n"/>
      <c r="D707" s="220" t="n"/>
      <c r="E707" s="220" t="n"/>
      <c r="F707" s="181" t="n"/>
      <c r="G707" s="219" t="n"/>
      <c r="H707" s="220" t="n"/>
      <c r="I707" s="221" t="n"/>
    </row>
    <row r="708" ht="15" customHeight="1" s="131">
      <c r="A708" s="220" t="n"/>
      <c r="B708" s="222" t="n"/>
      <c r="C708" s="222" t="n"/>
      <c r="D708" s="220" t="n"/>
      <c r="E708" s="220" t="n"/>
      <c r="F708" s="181" t="n"/>
      <c r="G708" s="219" t="n"/>
      <c r="H708" s="220" t="n"/>
      <c r="I708" s="221" t="n"/>
    </row>
    <row r="709" ht="15" customHeight="1" s="131">
      <c r="A709" s="220" t="n"/>
      <c r="B709" s="222" t="n"/>
      <c r="C709" s="222" t="n"/>
      <c r="D709" s="220" t="n"/>
      <c r="E709" s="220" t="n"/>
      <c r="F709" s="181" t="n"/>
      <c r="G709" s="219" t="n"/>
      <c r="H709" s="220" t="n"/>
      <c r="I709" s="221" t="n"/>
    </row>
    <row r="710" ht="15" customHeight="1" s="131">
      <c r="A710" s="220" t="n"/>
      <c r="B710" s="222" t="n"/>
      <c r="C710" s="222" t="n"/>
      <c r="D710" s="220" t="n"/>
      <c r="E710" s="220" t="n"/>
      <c r="F710" s="181" t="n"/>
      <c r="G710" s="219" t="n"/>
      <c r="H710" s="220" t="n"/>
      <c r="I710" s="221" t="n"/>
    </row>
    <row r="711" ht="15" customHeight="1" s="131">
      <c r="A711" s="220" t="n"/>
      <c r="B711" s="222" t="n"/>
      <c r="C711" s="222" t="n"/>
      <c r="D711" s="220" t="n"/>
      <c r="E711" s="220" t="n"/>
      <c r="F711" s="181" t="n"/>
      <c r="G711" s="219" t="n"/>
      <c r="H711" s="220" t="n"/>
      <c r="I711" s="221" t="n"/>
    </row>
    <row r="712" ht="15" customHeight="1" s="131">
      <c r="A712" s="220" t="n"/>
      <c r="B712" s="222" t="n"/>
      <c r="C712" s="222" t="n"/>
      <c r="D712" s="220" t="n"/>
      <c r="E712" s="220" t="n"/>
      <c r="F712" s="181" t="n"/>
      <c r="G712" s="219" t="n"/>
      <c r="H712" s="220" t="n"/>
      <c r="I712" s="221" t="n"/>
    </row>
    <row r="713" ht="15" customHeight="1" s="131">
      <c r="A713" s="220" t="n"/>
      <c r="B713" s="222" t="n"/>
      <c r="C713" s="222" t="n"/>
      <c r="D713" s="220" t="n"/>
      <c r="E713" s="220" t="n"/>
      <c r="F713" s="181" t="n"/>
      <c r="G713" s="219" t="n"/>
      <c r="H713" s="220" t="n"/>
      <c r="I713" s="221" t="n"/>
    </row>
    <row r="714" ht="15" customHeight="1" s="131">
      <c r="A714" s="220" t="n"/>
      <c r="B714" s="222" t="n"/>
      <c r="C714" s="222" t="n"/>
      <c r="D714" s="220" t="n"/>
      <c r="E714" s="220" t="n"/>
      <c r="F714" s="181" t="n"/>
      <c r="G714" s="219" t="n"/>
      <c r="H714" s="220" t="n"/>
      <c r="I714" s="221" t="n"/>
    </row>
    <row r="715" ht="15" customHeight="1" s="131">
      <c r="A715" s="220" t="n"/>
      <c r="B715" s="222" t="n"/>
      <c r="C715" s="222" t="n"/>
      <c r="D715" s="220" t="n"/>
      <c r="E715" s="220" t="n"/>
      <c r="F715" s="181" t="n"/>
      <c r="G715" s="219" t="n"/>
      <c r="H715" s="220" t="n"/>
      <c r="I715" s="221" t="n"/>
    </row>
    <row r="716" ht="15" customHeight="1" s="131">
      <c r="A716" s="220" t="n"/>
      <c r="B716" s="222" t="n"/>
      <c r="C716" s="222" t="n"/>
      <c r="D716" s="220" t="n"/>
      <c r="E716" s="220" t="n"/>
      <c r="F716" s="181" t="n"/>
      <c r="G716" s="219" t="n"/>
      <c r="H716" s="220" t="n"/>
      <c r="I716" s="221" t="n"/>
    </row>
    <row r="717" ht="15" customHeight="1" s="131">
      <c r="A717" s="220" t="n"/>
      <c r="B717" s="222" t="n"/>
      <c r="C717" s="222" t="n"/>
      <c r="D717" s="220" t="n"/>
      <c r="E717" s="220" t="n"/>
      <c r="F717" s="181" t="n"/>
      <c r="G717" s="219" t="n"/>
      <c r="H717" s="220" t="n"/>
      <c r="I717" s="221" t="n"/>
    </row>
    <row r="718" ht="15" customHeight="1" s="131">
      <c r="A718" s="220" t="n"/>
      <c r="B718" s="222" t="n"/>
      <c r="C718" s="222" t="n"/>
      <c r="D718" s="220" t="n"/>
      <c r="E718" s="220" t="n"/>
      <c r="F718" s="181" t="n"/>
      <c r="G718" s="219" t="n"/>
      <c r="H718" s="220" t="n"/>
      <c r="I718" s="221" t="n"/>
    </row>
    <row r="719" ht="15" customHeight="1" s="131">
      <c r="A719" s="220" t="n"/>
      <c r="B719" s="222" t="n"/>
      <c r="C719" s="222" t="n"/>
      <c r="D719" s="220" t="n"/>
      <c r="E719" s="220" t="n"/>
      <c r="F719" s="181" t="n"/>
      <c r="G719" s="219" t="n"/>
      <c r="H719" s="220" t="n"/>
      <c r="I719" s="221" t="n"/>
    </row>
    <row r="720" ht="15" customHeight="1" s="131">
      <c r="A720" s="220" t="n"/>
      <c r="B720" s="222" t="n"/>
      <c r="C720" s="222" t="n"/>
      <c r="D720" s="220" t="n"/>
      <c r="E720" s="220" t="n"/>
      <c r="F720" s="181" t="n"/>
      <c r="G720" s="219" t="n"/>
      <c r="H720" s="220" t="n"/>
      <c r="I720" s="221" t="n"/>
    </row>
    <row r="721" ht="15" customHeight="1" s="131">
      <c r="A721" s="220" t="n"/>
      <c r="B721" s="222" t="n"/>
      <c r="C721" s="222" t="n"/>
      <c r="D721" s="220" t="n"/>
      <c r="E721" s="220" t="n"/>
      <c r="F721" s="181" t="n"/>
      <c r="G721" s="219" t="n"/>
      <c r="H721" s="220" t="n"/>
      <c r="I721" s="221" t="n"/>
    </row>
    <row r="722" ht="15" customHeight="1" s="131">
      <c r="A722" s="220" t="n"/>
      <c r="B722" s="222" t="n"/>
      <c r="C722" s="222" t="n"/>
      <c r="D722" s="220" t="n"/>
      <c r="E722" s="220" t="n"/>
      <c r="F722" s="181" t="n"/>
      <c r="G722" s="219" t="n"/>
      <c r="H722" s="220" t="n"/>
      <c r="I722" s="221" t="n"/>
    </row>
    <row r="723" ht="15" customHeight="1" s="131">
      <c r="A723" s="220" t="n"/>
      <c r="B723" s="222" t="n"/>
      <c r="C723" s="222" t="n"/>
      <c r="D723" s="220" t="n"/>
      <c r="E723" s="220" t="n"/>
      <c r="F723" s="181" t="n"/>
      <c r="G723" s="219" t="n"/>
      <c r="H723" s="220" t="n"/>
      <c r="I723" s="221" t="n"/>
    </row>
    <row r="724" ht="15" customHeight="1" s="131">
      <c r="A724" s="220" t="n"/>
      <c r="B724" s="222" t="n"/>
      <c r="C724" s="222" t="n"/>
      <c r="D724" s="220" t="n"/>
      <c r="E724" s="220" t="n"/>
      <c r="F724" s="181" t="n"/>
      <c r="G724" s="219" t="n"/>
      <c r="H724" s="220" t="n"/>
      <c r="I724" s="221" t="n"/>
    </row>
    <row r="725" ht="15" customHeight="1" s="131">
      <c r="A725" s="220" t="n"/>
      <c r="B725" s="222" t="n"/>
      <c r="C725" s="222" t="n"/>
      <c r="D725" s="220" t="n"/>
      <c r="E725" s="220" t="n"/>
      <c r="F725" s="181" t="n"/>
      <c r="G725" s="219" t="n"/>
      <c r="H725" s="220" t="n"/>
      <c r="I725" s="221" t="n"/>
    </row>
    <row r="726" ht="15" customHeight="1" s="131">
      <c r="A726" s="220" t="n"/>
      <c r="B726" s="222" t="n"/>
      <c r="C726" s="222" t="n"/>
      <c r="D726" s="220" t="n"/>
      <c r="E726" s="220" t="n"/>
      <c r="F726" s="181" t="n"/>
      <c r="G726" s="219" t="n"/>
      <c r="H726" s="220" t="n"/>
      <c r="I726" s="221" t="n"/>
    </row>
    <row r="727" ht="15" customHeight="1" s="131">
      <c r="A727" s="220" t="n"/>
      <c r="B727" s="222" t="n"/>
      <c r="C727" s="222" t="n"/>
      <c r="D727" s="220" t="n"/>
      <c r="E727" s="220" t="n"/>
      <c r="F727" s="181" t="n"/>
      <c r="G727" s="219" t="n"/>
      <c r="H727" s="220" t="n"/>
      <c r="I727" s="221" t="n"/>
    </row>
    <row r="728" ht="15" customHeight="1" s="131">
      <c r="A728" s="220" t="n"/>
      <c r="B728" s="222" t="n"/>
      <c r="C728" s="222" t="n"/>
      <c r="D728" s="220" t="n"/>
      <c r="E728" s="220" t="n"/>
      <c r="F728" s="181" t="n"/>
      <c r="G728" s="219" t="n"/>
      <c r="H728" s="220" t="n"/>
      <c r="I728" s="221" t="n"/>
    </row>
    <row r="729" ht="15" customHeight="1" s="131">
      <c r="A729" s="220" t="n"/>
      <c r="B729" s="222" t="n"/>
      <c r="C729" s="222" t="n"/>
      <c r="D729" s="220" t="n"/>
      <c r="E729" s="220" t="n"/>
      <c r="F729" s="181" t="n"/>
      <c r="G729" s="219" t="n"/>
      <c r="H729" s="220" t="n"/>
      <c r="I729" s="221" t="n"/>
    </row>
    <row r="730" ht="15" customHeight="1" s="131">
      <c r="A730" s="220" t="n"/>
      <c r="B730" s="222" t="n"/>
      <c r="C730" s="222" t="n"/>
      <c r="D730" s="220" t="n"/>
      <c r="E730" s="220" t="n"/>
      <c r="F730" s="181" t="n"/>
      <c r="G730" s="219" t="n"/>
      <c r="H730" s="220" t="n"/>
      <c r="I730" s="221" t="n"/>
    </row>
    <row r="731" ht="15" customHeight="1" s="131">
      <c r="A731" s="220" t="n"/>
      <c r="B731" s="222" t="n"/>
      <c r="C731" s="222" t="n"/>
      <c r="D731" s="220" t="n"/>
      <c r="E731" s="220" t="n"/>
      <c r="F731" s="181" t="n"/>
      <c r="G731" s="219" t="n"/>
      <c r="H731" s="220" t="n"/>
      <c r="I731" s="221" t="n"/>
    </row>
    <row r="732" ht="15" customHeight="1" s="131">
      <c r="A732" s="220" t="n"/>
      <c r="B732" s="222" t="n"/>
      <c r="C732" s="222" t="n"/>
      <c r="D732" s="220" t="n"/>
      <c r="E732" s="220" t="n"/>
      <c r="F732" s="181" t="n"/>
      <c r="G732" s="219" t="n"/>
      <c r="H732" s="220" t="n"/>
      <c r="I732" s="221" t="n"/>
    </row>
    <row r="733" ht="15" customHeight="1" s="131">
      <c r="A733" s="220" t="n"/>
      <c r="B733" s="222" t="n"/>
      <c r="C733" s="222" t="n"/>
      <c r="D733" s="220" t="n"/>
      <c r="E733" s="220" t="n"/>
      <c r="F733" s="181" t="n"/>
      <c r="G733" s="219" t="n"/>
      <c r="H733" s="220" t="n"/>
      <c r="I733" s="221" t="n"/>
    </row>
    <row r="734" ht="15" customHeight="1" s="131">
      <c r="A734" s="220" t="n"/>
      <c r="B734" s="222" t="n"/>
      <c r="C734" s="222" t="n"/>
      <c r="D734" s="220" t="n"/>
      <c r="E734" s="220" t="n"/>
      <c r="F734" s="181" t="n"/>
      <c r="G734" s="219" t="n"/>
      <c r="H734" s="220" t="n"/>
      <c r="I734" s="221" t="n"/>
    </row>
    <row r="735" ht="15" customHeight="1" s="131">
      <c r="A735" s="220" t="n"/>
      <c r="B735" s="222" t="n"/>
      <c r="C735" s="222" t="n"/>
      <c r="D735" s="220" t="n"/>
      <c r="E735" s="220" t="n"/>
      <c r="F735" s="181" t="n"/>
      <c r="G735" s="219" t="n"/>
      <c r="H735" s="220" t="n"/>
      <c r="I735" s="221" t="n"/>
    </row>
    <row r="736" ht="15" customHeight="1" s="131">
      <c r="A736" s="220" t="n"/>
      <c r="B736" s="222" t="n"/>
      <c r="C736" s="222" t="n"/>
      <c r="D736" s="220" t="n"/>
      <c r="E736" s="220" t="n"/>
      <c r="F736" s="181" t="n"/>
      <c r="G736" s="219" t="n"/>
      <c r="H736" s="220" t="n"/>
      <c r="I736" s="221" t="n"/>
    </row>
    <row r="737" ht="15" customHeight="1" s="131">
      <c r="A737" s="220" t="n"/>
      <c r="B737" s="222" t="n"/>
      <c r="C737" s="222" t="n"/>
      <c r="D737" s="220" t="n"/>
      <c r="E737" s="220" t="n"/>
      <c r="F737" s="181" t="n"/>
      <c r="G737" s="219" t="n"/>
      <c r="H737" s="220" t="n"/>
      <c r="I737" s="221" t="n"/>
    </row>
    <row r="738" ht="15" customHeight="1" s="131">
      <c r="A738" s="220" t="n"/>
      <c r="B738" s="222" t="n"/>
      <c r="C738" s="222" t="n"/>
      <c r="D738" s="220" t="n"/>
      <c r="E738" s="220" t="n"/>
      <c r="F738" s="181" t="n"/>
      <c r="G738" s="219" t="n"/>
      <c r="H738" s="220" t="n"/>
      <c r="I738" s="221" t="n"/>
    </row>
    <row r="739" ht="15" customHeight="1" s="131">
      <c r="A739" s="220" t="n"/>
      <c r="B739" s="222" t="n"/>
      <c r="C739" s="222" t="n"/>
      <c r="D739" s="220" t="n"/>
      <c r="E739" s="220" t="n"/>
      <c r="F739" s="181" t="n"/>
      <c r="G739" s="219" t="n"/>
      <c r="H739" s="220" t="n"/>
      <c r="I739" s="221" t="n"/>
    </row>
    <row r="740" ht="15" customHeight="1" s="131">
      <c r="A740" s="220" t="n"/>
      <c r="B740" s="222" t="n"/>
      <c r="C740" s="222" t="n"/>
      <c r="D740" s="220" t="n"/>
      <c r="E740" s="220" t="n"/>
      <c r="F740" s="181" t="n"/>
      <c r="G740" s="219" t="n"/>
      <c r="H740" s="220" t="n"/>
      <c r="I740" s="221" t="n"/>
    </row>
    <row r="741" ht="15" customHeight="1" s="131">
      <c r="A741" s="220" t="n"/>
      <c r="B741" s="222" t="n"/>
      <c r="C741" s="222" t="n"/>
      <c r="D741" s="220" t="n"/>
      <c r="E741" s="220" t="n"/>
      <c r="F741" s="181" t="n"/>
      <c r="G741" s="219" t="n"/>
      <c r="H741" s="220" t="n"/>
      <c r="I741" s="221" t="n"/>
    </row>
    <row r="742" ht="15" customHeight="1" s="131">
      <c r="A742" s="220" t="n"/>
      <c r="B742" s="222" t="n"/>
      <c r="C742" s="222" t="n"/>
      <c r="D742" s="220" t="n"/>
      <c r="E742" s="220" t="n"/>
      <c r="F742" s="181" t="n"/>
      <c r="G742" s="219" t="n"/>
      <c r="H742" s="220" t="n"/>
      <c r="I742" s="221" t="n"/>
    </row>
    <row r="743" ht="15" customHeight="1" s="131">
      <c r="A743" s="220" t="n"/>
      <c r="B743" s="222" t="n"/>
      <c r="C743" s="222" t="n"/>
      <c r="D743" s="220" t="n"/>
      <c r="E743" s="220" t="n"/>
      <c r="F743" s="181" t="n"/>
      <c r="G743" s="219" t="n"/>
      <c r="H743" s="220" t="n"/>
      <c r="I743" s="221" t="n"/>
    </row>
    <row r="744" ht="15" customHeight="1" s="131">
      <c r="A744" s="220" t="n"/>
      <c r="B744" s="222" t="n"/>
      <c r="C744" s="222" t="n"/>
      <c r="D744" s="220" t="n"/>
      <c r="E744" s="220" t="n"/>
      <c r="F744" s="181" t="n"/>
      <c r="G744" s="219" t="n"/>
      <c r="H744" s="220" t="n"/>
      <c r="I744" s="221" t="n"/>
    </row>
    <row r="745" ht="15" customHeight="1" s="131">
      <c r="A745" s="220" t="n"/>
      <c r="B745" s="222" t="n"/>
      <c r="C745" s="222" t="n"/>
      <c r="D745" s="220" t="n"/>
      <c r="E745" s="220" t="n"/>
      <c r="F745" s="181" t="n"/>
      <c r="G745" s="219" t="n"/>
      <c r="H745" s="220" t="n"/>
      <c r="I745" s="221" t="n"/>
    </row>
    <row r="746" ht="15" customHeight="1" s="131">
      <c r="A746" s="220" t="n"/>
      <c r="B746" s="222" t="n"/>
      <c r="C746" s="222" t="n"/>
      <c r="D746" s="220" t="n"/>
      <c r="E746" s="220" t="n"/>
      <c r="F746" s="181" t="n"/>
      <c r="G746" s="219" t="n"/>
      <c r="H746" s="220" t="n"/>
      <c r="I746" s="221" t="n"/>
    </row>
    <row r="747" ht="15" customHeight="1" s="131">
      <c r="A747" s="220" t="n"/>
      <c r="B747" s="222" t="n"/>
      <c r="C747" s="222" t="n"/>
      <c r="D747" s="220" t="n"/>
      <c r="E747" s="220" t="n"/>
      <c r="F747" s="181" t="n"/>
      <c r="G747" s="219" t="n"/>
      <c r="H747" s="220" t="n"/>
      <c r="I747" s="221" t="n"/>
    </row>
    <row r="748" ht="15" customHeight="1" s="131">
      <c r="A748" s="220" t="n"/>
      <c r="B748" s="222" t="n"/>
      <c r="C748" s="222" t="n"/>
      <c r="D748" s="220" t="n"/>
      <c r="E748" s="220" t="n"/>
      <c r="F748" s="181" t="n"/>
      <c r="G748" s="219" t="n"/>
      <c r="H748" s="220" t="n"/>
      <c r="I748" s="221" t="n"/>
    </row>
    <row r="749" ht="15" customHeight="1" s="131">
      <c r="A749" s="220" t="n"/>
      <c r="B749" s="222" t="n"/>
      <c r="C749" s="222" t="n"/>
      <c r="D749" s="220" t="n"/>
      <c r="E749" s="220" t="n"/>
      <c r="F749" s="181" t="n"/>
      <c r="G749" s="219" t="n"/>
      <c r="H749" s="220" t="n"/>
      <c r="I749" s="221" t="n"/>
    </row>
    <row r="750" ht="15" customHeight="1" s="131">
      <c r="A750" s="220" t="n"/>
      <c r="B750" s="222" t="n"/>
      <c r="C750" s="222" t="n"/>
      <c r="D750" s="220" t="n"/>
      <c r="E750" s="220" t="n"/>
      <c r="F750" s="181" t="n"/>
      <c r="G750" s="219" t="n"/>
      <c r="H750" s="220" t="n"/>
      <c r="I750" s="221" t="n"/>
    </row>
    <row r="751" ht="15" customHeight="1" s="131">
      <c r="A751" s="220" t="n"/>
      <c r="B751" s="222" t="n"/>
      <c r="C751" s="222" t="n"/>
      <c r="D751" s="220" t="n"/>
      <c r="E751" s="220" t="n"/>
      <c r="F751" s="181" t="n"/>
      <c r="G751" s="219" t="n"/>
      <c r="H751" s="220" t="n"/>
      <c r="I751" s="221" t="n"/>
    </row>
    <row r="752" ht="15" customHeight="1" s="131">
      <c r="A752" s="220" t="n"/>
      <c r="B752" s="222" t="n"/>
      <c r="C752" s="222" t="n"/>
      <c r="D752" s="220" t="n"/>
      <c r="E752" s="220" t="n"/>
      <c r="F752" s="181" t="n"/>
      <c r="G752" s="219" t="n"/>
      <c r="H752" s="220" t="n"/>
      <c r="I752" s="221" t="n"/>
    </row>
    <row r="753" ht="15" customHeight="1" s="131">
      <c r="A753" s="220" t="n"/>
      <c r="B753" s="222" t="n"/>
      <c r="C753" s="222" t="n"/>
      <c r="D753" s="220" t="n"/>
      <c r="E753" s="220" t="n"/>
      <c r="F753" s="181" t="n"/>
      <c r="G753" s="219" t="n"/>
      <c r="H753" s="220" t="n"/>
      <c r="I753" s="221" t="n"/>
    </row>
    <row r="754" ht="15" customHeight="1" s="131">
      <c r="A754" s="220" t="n"/>
      <c r="B754" s="222" t="n"/>
      <c r="C754" s="222" t="n"/>
      <c r="D754" s="220" t="n"/>
      <c r="E754" s="220" t="n"/>
      <c r="F754" s="181" t="n"/>
      <c r="G754" s="219" t="n"/>
      <c r="H754" s="220" t="n"/>
      <c r="I754" s="221" t="n"/>
    </row>
    <row r="755" ht="15" customHeight="1" s="131">
      <c r="A755" s="220" t="n"/>
      <c r="B755" s="222" t="n"/>
      <c r="C755" s="222" t="n"/>
      <c r="D755" s="220" t="n"/>
      <c r="E755" s="220" t="n"/>
      <c r="F755" s="181" t="n"/>
      <c r="G755" s="219" t="n"/>
      <c r="H755" s="220" t="n"/>
      <c r="I755" s="221" t="n"/>
    </row>
    <row r="756" ht="15" customHeight="1" s="131">
      <c r="A756" s="220" t="n"/>
      <c r="B756" s="222" t="n"/>
      <c r="C756" s="222" t="n"/>
      <c r="D756" s="220" t="n"/>
      <c r="E756" s="220" t="n"/>
      <c r="F756" s="181" t="n"/>
      <c r="G756" s="219" t="n"/>
      <c r="H756" s="220" t="n"/>
      <c r="I756" s="221" t="n"/>
    </row>
    <row r="757" ht="15" customHeight="1" s="131">
      <c r="A757" s="220" t="n"/>
      <c r="B757" s="222" t="n"/>
      <c r="C757" s="222" t="n"/>
      <c r="D757" s="220" t="n"/>
      <c r="E757" s="220" t="n"/>
      <c r="F757" s="181" t="n"/>
      <c r="G757" s="219" t="n"/>
      <c r="H757" s="220" t="n"/>
      <c r="I757" s="221" t="n"/>
    </row>
    <row r="758" ht="15" customHeight="1" s="131">
      <c r="A758" s="220" t="n"/>
      <c r="B758" s="222" t="n"/>
      <c r="C758" s="222" t="n"/>
      <c r="D758" s="220" t="n"/>
      <c r="E758" s="220" t="n"/>
      <c r="F758" s="181" t="n"/>
      <c r="G758" s="219" t="n"/>
      <c r="H758" s="220" t="n"/>
      <c r="I758" s="221" t="n"/>
    </row>
    <row r="759" ht="15" customHeight="1" s="131">
      <c r="A759" s="220" t="n"/>
      <c r="B759" s="222" t="n"/>
      <c r="C759" s="222" t="n"/>
      <c r="D759" s="220" t="n"/>
      <c r="E759" s="220" t="n"/>
      <c r="F759" s="181" t="n"/>
      <c r="G759" s="219" t="n"/>
      <c r="H759" s="220" t="n"/>
      <c r="I759" s="221" t="n"/>
    </row>
    <row r="760" ht="15" customHeight="1" s="131">
      <c r="A760" s="220" t="n"/>
      <c r="B760" s="222" t="n"/>
      <c r="C760" s="222" t="n"/>
      <c r="D760" s="220" t="n"/>
      <c r="E760" s="220" t="n"/>
      <c r="F760" s="181" t="n"/>
      <c r="G760" s="219" t="n"/>
      <c r="H760" s="220" t="n"/>
      <c r="I760" s="221" t="n"/>
    </row>
    <row r="761" ht="15" customHeight="1" s="131">
      <c r="A761" s="220" t="n"/>
      <c r="B761" s="222" t="n"/>
      <c r="C761" s="222" t="n"/>
      <c r="D761" s="220" t="n"/>
      <c r="E761" s="220" t="n"/>
      <c r="F761" s="181" t="n"/>
      <c r="G761" s="219" t="n"/>
      <c r="H761" s="220" t="n"/>
      <c r="I761" s="221" t="n"/>
    </row>
    <row r="762" ht="15" customHeight="1" s="131">
      <c r="A762" s="220" t="n"/>
      <c r="B762" s="222" t="n"/>
      <c r="C762" s="222" t="n"/>
      <c r="D762" s="220" t="n"/>
      <c r="E762" s="220" t="n"/>
      <c r="F762" s="181" t="n"/>
      <c r="G762" s="219" t="n"/>
      <c r="H762" s="220" t="n"/>
      <c r="I762" s="221" t="n"/>
    </row>
    <row r="763" ht="15" customHeight="1" s="131">
      <c r="A763" s="220" t="n"/>
      <c r="B763" s="222" t="n"/>
      <c r="C763" s="222" t="n"/>
      <c r="D763" s="220" t="n"/>
      <c r="E763" s="220" t="n"/>
      <c r="F763" s="181" t="n"/>
      <c r="G763" s="219" t="n"/>
      <c r="H763" s="220" t="n"/>
      <c r="I763" s="221" t="n"/>
    </row>
    <row r="764" ht="15" customHeight="1" s="131">
      <c r="A764" s="220" t="n"/>
      <c r="B764" s="222" t="n"/>
      <c r="C764" s="222" t="n"/>
      <c r="D764" s="220" t="n"/>
      <c r="E764" s="220" t="n"/>
      <c r="F764" s="181" t="n"/>
      <c r="G764" s="219" t="n"/>
      <c r="H764" s="220" t="n"/>
      <c r="I764" s="221" t="n"/>
    </row>
    <row r="765" ht="15" customHeight="1" s="131">
      <c r="A765" s="220" t="n"/>
      <c r="B765" s="222" t="n"/>
      <c r="C765" s="222" t="n"/>
      <c r="D765" s="220" t="n"/>
      <c r="E765" s="220" t="n"/>
      <c r="F765" s="181" t="n"/>
      <c r="G765" s="219" t="n"/>
      <c r="H765" s="220" t="n"/>
      <c r="I765" s="221" t="n"/>
    </row>
    <row r="766" ht="15" customHeight="1" s="131">
      <c r="A766" s="220" t="n"/>
      <c r="B766" s="222" t="n"/>
      <c r="C766" s="222" t="n"/>
      <c r="D766" s="220" t="n"/>
      <c r="E766" s="220" t="n"/>
      <c r="F766" s="181" t="n"/>
      <c r="G766" s="219" t="n"/>
      <c r="H766" s="220" t="n"/>
      <c r="I766" s="221" t="n"/>
    </row>
    <row r="767" ht="15" customHeight="1" s="131">
      <c r="A767" s="220" t="n"/>
      <c r="B767" s="222" t="n"/>
      <c r="C767" s="222" t="n"/>
      <c r="D767" s="220" t="n"/>
      <c r="E767" s="220" t="n"/>
      <c r="F767" s="181" t="n"/>
      <c r="G767" s="219" t="n"/>
      <c r="H767" s="220" t="n"/>
      <c r="I767" s="221" t="n"/>
    </row>
    <row r="768" ht="15" customHeight="1" s="131">
      <c r="A768" s="220" t="n"/>
      <c r="B768" s="222" t="n"/>
      <c r="C768" s="222" t="n"/>
      <c r="D768" s="220" t="n"/>
      <c r="E768" s="220" t="n"/>
      <c r="F768" s="181" t="n"/>
      <c r="G768" s="219" t="n"/>
      <c r="H768" s="220" t="n"/>
      <c r="I768" s="221" t="n"/>
    </row>
    <row r="769" ht="15" customHeight="1" s="131">
      <c r="A769" s="220" t="n"/>
      <c r="B769" s="222" t="n"/>
      <c r="C769" s="222" t="n"/>
      <c r="D769" s="220" t="n"/>
      <c r="E769" s="220" t="n"/>
      <c r="F769" s="181" t="n"/>
      <c r="G769" s="219" t="n"/>
      <c r="H769" s="220" t="n"/>
      <c r="I769" s="221" t="n"/>
    </row>
    <row r="770" ht="15" customHeight="1" s="131">
      <c r="A770" s="220" t="n"/>
      <c r="B770" s="222" t="n"/>
      <c r="C770" s="222" t="n"/>
      <c r="D770" s="220" t="n"/>
      <c r="E770" s="220" t="n"/>
      <c r="F770" s="181" t="n"/>
      <c r="G770" s="219" t="n"/>
      <c r="H770" s="220" t="n"/>
      <c r="I770" s="221" t="n"/>
    </row>
    <row r="771" ht="15" customHeight="1" s="131">
      <c r="A771" s="220" t="n"/>
      <c r="B771" s="222" t="n"/>
      <c r="C771" s="222" t="n"/>
      <c r="D771" s="220" t="n"/>
      <c r="E771" s="220" t="n"/>
      <c r="F771" s="181" t="n"/>
      <c r="G771" s="219" t="n"/>
      <c r="H771" s="220" t="n"/>
      <c r="I771" s="221" t="n"/>
    </row>
    <row r="772" ht="15" customHeight="1" s="131">
      <c r="A772" s="220" t="n"/>
      <c r="B772" s="222" t="n"/>
      <c r="C772" s="222" t="n"/>
      <c r="D772" s="220" t="n"/>
      <c r="E772" s="220" t="n"/>
      <c r="F772" s="181" t="n"/>
      <c r="G772" s="219" t="n"/>
      <c r="H772" s="220" t="n"/>
      <c r="I772" s="221" t="n"/>
    </row>
    <row r="773" ht="15" customHeight="1" s="131">
      <c r="A773" s="220" t="n"/>
      <c r="B773" s="222" t="n"/>
      <c r="C773" s="222" t="n"/>
      <c r="D773" s="220" t="n"/>
      <c r="E773" s="220" t="n"/>
      <c r="F773" s="181" t="n"/>
      <c r="G773" s="219" t="n"/>
      <c r="H773" s="220" t="n"/>
      <c r="I773" s="221" t="n"/>
    </row>
    <row r="774" ht="15" customHeight="1" s="131">
      <c r="A774" s="220" t="n"/>
      <c r="B774" s="222" t="n"/>
      <c r="C774" s="222" t="n"/>
      <c r="D774" s="220" t="n"/>
      <c r="E774" s="220" t="n"/>
      <c r="F774" s="181" t="n"/>
      <c r="G774" s="219" t="n"/>
      <c r="H774" s="220" t="n"/>
      <c r="I774" s="221" t="n"/>
    </row>
    <row r="775" ht="15" customHeight="1" s="131">
      <c r="A775" s="220" t="n"/>
      <c r="B775" s="222" t="n"/>
      <c r="C775" s="222" t="n"/>
      <c r="D775" s="220" t="n"/>
      <c r="E775" s="220" t="n"/>
      <c r="F775" s="181" t="n"/>
      <c r="G775" s="219" t="n"/>
      <c r="H775" s="220" t="n"/>
      <c r="I775" s="221" t="n"/>
    </row>
    <row r="776" ht="15" customHeight="1" s="131">
      <c r="A776" s="220" t="n"/>
      <c r="B776" s="222" t="n"/>
      <c r="C776" s="222" t="n"/>
      <c r="D776" s="220" t="n"/>
      <c r="E776" s="220" t="n"/>
      <c r="F776" s="181" t="n"/>
      <c r="G776" s="219" t="n"/>
      <c r="H776" s="220" t="n"/>
      <c r="I776" s="221" t="n"/>
    </row>
    <row r="777" ht="15" customHeight="1" s="131">
      <c r="A777" s="220" t="n"/>
      <c r="B777" s="222" t="n"/>
      <c r="C777" s="222" t="n"/>
      <c r="D777" s="220" t="n"/>
      <c r="E777" s="220" t="n"/>
      <c r="F777" s="181" t="n"/>
      <c r="G777" s="219" t="n"/>
      <c r="H777" s="220" t="n"/>
      <c r="I777" s="221" t="n"/>
    </row>
    <row r="778" ht="15" customHeight="1" s="131">
      <c r="A778" s="220" t="n"/>
      <c r="B778" s="222" t="n"/>
      <c r="C778" s="222" t="n"/>
      <c r="D778" s="220" t="n"/>
      <c r="E778" s="220" t="n"/>
      <c r="F778" s="181" t="n"/>
      <c r="G778" s="219" t="n"/>
      <c r="H778" s="220" t="n"/>
      <c r="I778" s="221" t="n"/>
    </row>
    <row r="779" ht="15" customHeight="1" s="131">
      <c r="A779" s="220" t="n"/>
      <c r="B779" s="222" t="n"/>
      <c r="C779" s="222" t="n"/>
      <c r="D779" s="220" t="n"/>
      <c r="E779" s="220" t="n"/>
      <c r="F779" s="181" t="n"/>
      <c r="G779" s="219" t="n"/>
      <c r="H779" s="220" t="n"/>
      <c r="I779" s="221" t="n"/>
    </row>
    <row r="780" ht="15" customHeight="1" s="131">
      <c r="A780" s="220" t="n"/>
      <c r="B780" s="222" t="n"/>
      <c r="C780" s="222" t="n"/>
      <c r="D780" s="220" t="n"/>
      <c r="E780" s="220" t="n"/>
      <c r="F780" s="181" t="n"/>
      <c r="G780" s="219" t="n"/>
      <c r="H780" s="220" t="n"/>
      <c r="I780" s="221" t="n"/>
    </row>
    <row r="781" ht="15" customHeight="1" s="131">
      <c r="A781" s="220" t="n"/>
      <c r="B781" s="222" t="n"/>
      <c r="C781" s="222" t="n"/>
      <c r="D781" s="220" t="n"/>
      <c r="E781" s="220" t="n"/>
      <c r="F781" s="181" t="n"/>
      <c r="G781" s="219" t="n"/>
      <c r="H781" s="220" t="n"/>
      <c r="I781" s="221" t="n"/>
    </row>
    <row r="782" ht="15" customHeight="1" s="131">
      <c r="A782" s="220" t="n"/>
      <c r="B782" s="222" t="n"/>
      <c r="C782" s="222" t="n"/>
      <c r="D782" s="220" t="n"/>
      <c r="E782" s="220" t="n"/>
      <c r="F782" s="181" t="n"/>
      <c r="G782" s="219" t="n"/>
      <c r="H782" s="220" t="n"/>
      <c r="I782" s="221" t="n"/>
    </row>
    <row r="783" ht="15" customHeight="1" s="131">
      <c r="A783" s="220" t="n"/>
      <c r="B783" s="222" t="n"/>
      <c r="C783" s="222" t="n"/>
      <c r="D783" s="220" t="n"/>
      <c r="E783" s="220" t="n"/>
      <c r="F783" s="181" t="n"/>
      <c r="G783" s="219" t="n"/>
      <c r="H783" s="220" t="n"/>
      <c r="I783" s="221" t="n"/>
    </row>
    <row r="784" ht="15" customHeight="1" s="131">
      <c r="A784" s="220" t="n"/>
      <c r="B784" s="222" t="n"/>
      <c r="C784" s="222" t="n"/>
      <c r="D784" s="220" t="n"/>
      <c r="E784" s="220" t="n"/>
      <c r="F784" s="181" t="n"/>
      <c r="G784" s="219" t="n"/>
      <c r="H784" s="220" t="n"/>
      <c r="I784" s="221" t="n"/>
    </row>
    <row r="785" ht="15" customHeight="1" s="131">
      <c r="A785" s="220" t="n"/>
      <c r="B785" s="222" t="n"/>
      <c r="C785" s="222" t="n"/>
      <c r="D785" s="220" t="n"/>
      <c r="E785" s="220" t="n"/>
      <c r="F785" s="181" t="n"/>
      <c r="G785" s="219" t="n"/>
      <c r="H785" s="220" t="n"/>
      <c r="I785" s="221" t="n"/>
    </row>
    <row r="786" ht="15" customHeight="1" s="131">
      <c r="A786" s="220" t="n"/>
      <c r="B786" s="222" t="n"/>
      <c r="C786" s="222" t="n"/>
      <c r="D786" s="220" t="n"/>
      <c r="E786" s="220" t="n"/>
      <c r="F786" s="181" t="n"/>
      <c r="G786" s="219" t="n"/>
      <c r="H786" s="220" t="n"/>
      <c r="I786" s="221" t="n"/>
    </row>
    <row r="787" ht="15" customHeight="1" s="131">
      <c r="A787" s="220" t="n"/>
      <c r="B787" s="222" t="n"/>
      <c r="C787" s="222" t="n"/>
      <c r="D787" s="220" t="n"/>
      <c r="E787" s="220" t="n"/>
      <c r="F787" s="181" t="n"/>
      <c r="G787" s="219" t="n"/>
      <c r="H787" s="220" t="n"/>
      <c r="I787" s="221" t="n"/>
    </row>
    <row r="788" ht="15" customHeight="1" s="131">
      <c r="A788" s="220" t="n"/>
      <c r="B788" s="222" t="n"/>
      <c r="C788" s="222" t="n"/>
      <c r="D788" s="220" t="n"/>
      <c r="E788" s="220" t="n"/>
      <c r="F788" s="181" t="n"/>
      <c r="G788" s="219" t="n"/>
      <c r="H788" s="220" t="n"/>
      <c r="I788" s="221" t="n"/>
    </row>
    <row r="789" ht="15" customHeight="1" s="131">
      <c r="A789" s="220" t="n"/>
      <c r="B789" s="222" t="n"/>
      <c r="C789" s="222" t="n"/>
      <c r="D789" s="220" t="n"/>
      <c r="E789" s="220" t="n"/>
      <c r="F789" s="181" t="n"/>
      <c r="G789" s="219" t="n"/>
      <c r="H789" s="220" t="n"/>
      <c r="I789" s="221" t="n"/>
    </row>
    <row r="790" ht="15" customHeight="1" s="131">
      <c r="A790" s="220" t="n"/>
      <c r="B790" s="222" t="n"/>
      <c r="C790" s="222" t="n"/>
      <c r="D790" s="220" t="n"/>
      <c r="E790" s="220" t="n"/>
      <c r="F790" s="181" t="n"/>
      <c r="G790" s="219" t="n"/>
      <c r="H790" s="220" t="n"/>
      <c r="I790" s="221" t="n"/>
    </row>
    <row r="791" ht="15" customHeight="1" s="131">
      <c r="A791" s="220" t="n"/>
      <c r="B791" s="222" t="n"/>
      <c r="C791" s="222" t="n"/>
      <c r="D791" s="220" t="n"/>
      <c r="E791" s="220" t="n"/>
      <c r="F791" s="181" t="n"/>
      <c r="G791" s="219" t="n"/>
      <c r="H791" s="220" t="n"/>
      <c r="I791" s="221" t="n"/>
    </row>
    <row r="792" ht="15" customHeight="1" s="131">
      <c r="A792" s="220" t="n"/>
      <c r="B792" s="222" t="n"/>
      <c r="C792" s="222" t="n"/>
      <c r="D792" s="220" t="n"/>
      <c r="E792" s="220" t="n"/>
      <c r="F792" s="181" t="n"/>
      <c r="G792" s="219" t="n"/>
      <c r="H792" s="220" t="n"/>
      <c r="I792" s="221" t="n"/>
    </row>
    <row r="793" ht="15" customHeight="1" s="131">
      <c r="A793" s="220" t="n"/>
      <c r="B793" s="222" t="n"/>
      <c r="C793" s="222" t="n"/>
      <c r="D793" s="220" t="n"/>
      <c r="E793" s="220" t="n"/>
      <c r="F793" s="181" t="n"/>
      <c r="G793" s="219" t="n"/>
      <c r="H793" s="220" t="n"/>
      <c r="I793" s="221" t="n"/>
    </row>
    <row r="794" ht="15" customHeight="1" s="131">
      <c r="A794" s="220" t="n"/>
      <c r="B794" s="222" t="n"/>
      <c r="C794" s="222" t="n"/>
      <c r="D794" s="220" t="n"/>
      <c r="E794" s="220" t="n"/>
      <c r="F794" s="181" t="n"/>
      <c r="G794" s="219" t="n"/>
      <c r="H794" s="220" t="n"/>
      <c r="I794" s="221" t="n"/>
    </row>
    <row r="795" ht="15" customHeight="1" s="131">
      <c r="A795" s="220" t="n"/>
      <c r="B795" s="222" t="n"/>
      <c r="C795" s="222" t="n"/>
      <c r="D795" s="220" t="n"/>
      <c r="E795" s="220" t="n"/>
      <c r="F795" s="181" t="n"/>
      <c r="G795" s="219" t="n"/>
      <c r="H795" s="220" t="n"/>
      <c r="I795" s="221" t="n"/>
    </row>
    <row r="796" ht="15" customHeight="1" s="131">
      <c r="A796" s="220" t="n"/>
      <c r="B796" s="222" t="n"/>
      <c r="C796" s="222" t="n"/>
      <c r="D796" s="220" t="n"/>
      <c r="E796" s="220" t="n"/>
      <c r="F796" s="181" t="n"/>
      <c r="G796" s="219" t="n"/>
      <c r="H796" s="220" t="n"/>
      <c r="I796" s="221" t="n"/>
    </row>
    <row r="797" ht="15" customHeight="1" s="131">
      <c r="A797" s="220" t="n"/>
      <c r="B797" s="222" t="n"/>
      <c r="C797" s="222" t="n"/>
      <c r="D797" s="220" t="n"/>
      <c r="E797" s="220" t="n"/>
      <c r="F797" s="181" t="n"/>
      <c r="G797" s="219" t="n"/>
      <c r="H797" s="220" t="n"/>
      <c r="I797" s="221" t="n"/>
    </row>
    <row r="798" ht="15" customHeight="1" s="131">
      <c r="A798" s="220" t="n"/>
      <c r="B798" s="222" t="n"/>
      <c r="C798" s="222" t="n"/>
      <c r="D798" s="220" t="n"/>
      <c r="E798" s="220" t="n"/>
      <c r="F798" s="181" t="n"/>
      <c r="G798" s="219" t="n"/>
      <c r="H798" s="220" t="n"/>
      <c r="I798" s="221" t="n"/>
    </row>
    <row r="799" ht="15" customHeight="1" s="131">
      <c r="A799" s="220" t="n"/>
      <c r="B799" s="222" t="n"/>
      <c r="C799" s="222" t="n"/>
      <c r="D799" s="220" t="n"/>
      <c r="E799" s="220" t="n"/>
      <c r="F799" s="181" t="n"/>
      <c r="G799" s="219" t="n"/>
      <c r="H799" s="220" t="n"/>
      <c r="I799" s="221" t="n"/>
    </row>
    <row r="800" ht="15" customHeight="1" s="131">
      <c r="A800" s="220" t="n"/>
      <c r="B800" s="222" t="n"/>
      <c r="C800" s="222" t="n"/>
      <c r="D800" s="220" t="n"/>
      <c r="E800" s="220" t="n"/>
      <c r="F800" s="181" t="n"/>
      <c r="G800" s="219" t="n"/>
      <c r="H800" s="220" t="n"/>
      <c r="I800" s="221" t="n"/>
    </row>
    <row r="801" ht="15" customHeight="1" s="131">
      <c r="A801" s="220" t="n"/>
      <c r="B801" s="222" t="n"/>
      <c r="C801" s="222" t="n"/>
      <c r="D801" s="220" t="n"/>
      <c r="E801" s="220" t="n"/>
      <c r="F801" s="181" t="n"/>
      <c r="G801" s="219" t="n"/>
      <c r="H801" s="220" t="n"/>
      <c r="I801" s="221" t="n"/>
    </row>
    <row r="802" ht="15" customHeight="1" s="131">
      <c r="A802" s="220" t="n"/>
      <c r="B802" s="222" t="n"/>
      <c r="C802" s="222" t="n"/>
      <c r="D802" s="220" t="n"/>
      <c r="E802" s="220" t="n"/>
      <c r="F802" s="181" t="n"/>
      <c r="G802" s="219" t="n"/>
      <c r="H802" s="220" t="n"/>
      <c r="I802" s="221" t="n"/>
    </row>
    <row r="803" ht="15" customHeight="1" s="131">
      <c r="A803" s="220" t="n"/>
      <c r="B803" s="222" t="n"/>
      <c r="C803" s="222" t="n"/>
      <c r="D803" s="220" t="n"/>
      <c r="E803" s="220" t="n"/>
      <c r="F803" s="181" t="n"/>
      <c r="G803" s="219" t="n"/>
      <c r="H803" s="220" t="n"/>
      <c r="I803" s="221" t="n"/>
    </row>
    <row r="804" ht="15" customHeight="1" s="131">
      <c r="A804" s="220" t="n"/>
      <c r="B804" s="222" t="n"/>
      <c r="C804" s="222" t="n"/>
      <c r="D804" s="220" t="n"/>
      <c r="E804" s="220" t="n"/>
      <c r="F804" s="181" t="n"/>
      <c r="G804" s="219" t="n"/>
      <c r="H804" s="220" t="n"/>
      <c r="I804" s="221" t="n"/>
    </row>
    <row r="805" ht="15" customHeight="1" s="131">
      <c r="A805" s="220" t="n"/>
      <c r="B805" s="222" t="n"/>
      <c r="C805" s="222" t="n"/>
      <c r="D805" s="220" t="n"/>
      <c r="E805" s="220" t="n"/>
      <c r="F805" s="181" t="n"/>
      <c r="G805" s="219" t="n"/>
      <c r="H805" s="220" t="n"/>
      <c r="I805" s="221" t="n"/>
    </row>
    <row r="806" ht="15" customHeight="1" s="131">
      <c r="A806" s="220" t="n"/>
      <c r="B806" s="222" t="n"/>
      <c r="C806" s="222" t="n"/>
      <c r="D806" s="220" t="n"/>
      <c r="E806" s="220" t="n"/>
      <c r="F806" s="181" t="n"/>
      <c r="G806" s="219" t="n"/>
      <c r="H806" s="220" t="n"/>
      <c r="I806" s="221" t="n"/>
    </row>
    <row r="807" ht="15" customHeight="1" s="131">
      <c r="A807" s="220" t="n"/>
      <c r="B807" s="222" t="n"/>
      <c r="C807" s="222" t="n"/>
      <c r="D807" s="220" t="n"/>
      <c r="E807" s="220" t="n"/>
      <c r="F807" s="181" t="n"/>
      <c r="G807" s="219" t="n"/>
      <c r="H807" s="220" t="n"/>
      <c r="I807" s="221" t="n"/>
    </row>
    <row r="808" ht="15" customHeight="1" s="131">
      <c r="A808" s="220" t="n"/>
      <c r="B808" s="222" t="n"/>
      <c r="C808" s="222" t="n"/>
      <c r="D808" s="220" t="n"/>
      <c r="E808" s="220" t="n"/>
      <c r="F808" s="181" t="n"/>
      <c r="G808" s="219" t="n"/>
      <c r="H808" s="220" t="n"/>
      <c r="I808" s="221" t="n"/>
    </row>
    <row r="809" ht="15" customHeight="1" s="131">
      <c r="A809" s="220" t="n"/>
      <c r="B809" s="222" t="n"/>
      <c r="C809" s="222" t="n"/>
      <c r="D809" s="220" t="n"/>
      <c r="E809" s="220" t="n"/>
      <c r="F809" s="181" t="n"/>
      <c r="G809" s="219" t="n"/>
      <c r="H809" s="220" t="n"/>
      <c r="I809" s="221" t="n"/>
    </row>
    <row r="810" ht="15" customHeight="1" s="131">
      <c r="A810" s="220" t="n"/>
      <c r="B810" s="222" t="n"/>
      <c r="C810" s="222" t="n"/>
      <c r="D810" s="220" t="n"/>
      <c r="E810" s="220" t="n"/>
      <c r="F810" s="181" t="n"/>
      <c r="G810" s="219" t="n"/>
      <c r="H810" s="220" t="n"/>
      <c r="I810" s="221" t="n"/>
    </row>
    <row r="811" ht="15" customHeight="1" s="131">
      <c r="A811" s="220" t="n"/>
      <c r="B811" s="222" t="n"/>
      <c r="C811" s="222" t="n"/>
      <c r="D811" s="220" t="n"/>
      <c r="E811" s="220" t="n"/>
      <c r="F811" s="181" t="n"/>
      <c r="G811" s="219" t="n"/>
      <c r="H811" s="220" t="n"/>
      <c r="I811" s="221" t="n"/>
    </row>
    <row r="812" ht="15" customHeight="1" s="131">
      <c r="A812" s="220" t="n"/>
      <c r="B812" s="222" t="n"/>
      <c r="C812" s="222" t="n"/>
      <c r="D812" s="220" t="n"/>
      <c r="E812" s="220" t="n"/>
      <c r="F812" s="181" t="n"/>
      <c r="G812" s="219" t="n"/>
      <c r="H812" s="220" t="n"/>
      <c r="I812" s="221" t="n"/>
    </row>
    <row r="813" ht="15" customHeight="1" s="131">
      <c r="A813" s="220" t="n"/>
      <c r="B813" s="222" t="n"/>
      <c r="C813" s="222" t="n"/>
      <c r="D813" s="220" t="n"/>
      <c r="E813" s="220" t="n"/>
      <c r="F813" s="181" t="n"/>
      <c r="G813" s="219" t="n"/>
      <c r="H813" s="220" t="n"/>
      <c r="I813" s="221" t="n"/>
    </row>
    <row r="814" ht="15" customHeight="1" s="131">
      <c r="A814" s="220" t="n"/>
      <c r="B814" s="222" t="n"/>
      <c r="C814" s="222" t="n"/>
      <c r="D814" s="220" t="n"/>
      <c r="E814" s="220" t="n"/>
      <c r="F814" s="181" t="n"/>
      <c r="G814" s="219" t="n"/>
      <c r="H814" s="220" t="n"/>
      <c r="I814" s="221" t="n"/>
    </row>
    <row r="815" ht="15" customHeight="1" s="131">
      <c r="A815" s="220" t="n"/>
      <c r="B815" s="222" t="n"/>
      <c r="C815" s="222" t="n"/>
      <c r="D815" s="220" t="n"/>
      <c r="E815" s="220" t="n"/>
      <c r="F815" s="181" t="n"/>
      <c r="G815" s="219" t="n"/>
      <c r="H815" s="220" t="n"/>
      <c r="I815" s="221" t="n"/>
    </row>
    <row r="816" ht="15" customHeight="1" s="131">
      <c r="A816" s="220" t="n"/>
      <c r="B816" s="222" t="n"/>
      <c r="C816" s="222" t="n"/>
      <c r="D816" s="220" t="n"/>
      <c r="E816" s="220" t="n"/>
      <c r="F816" s="181" t="n"/>
      <c r="G816" s="219" t="n"/>
      <c r="H816" s="220" t="n"/>
      <c r="I816" s="221" t="n"/>
    </row>
    <row r="817" ht="15" customHeight="1" s="131">
      <c r="A817" s="220" t="n"/>
      <c r="B817" s="222" t="n"/>
      <c r="C817" s="222" t="n"/>
      <c r="D817" s="220" t="n"/>
      <c r="E817" s="220" t="n"/>
      <c r="F817" s="181" t="n"/>
      <c r="G817" s="219" t="n"/>
      <c r="H817" s="220" t="n"/>
      <c r="I817" s="221" t="n"/>
    </row>
    <row r="818" ht="15" customHeight="1" s="131">
      <c r="A818" s="220" t="n"/>
      <c r="B818" s="222" t="n"/>
      <c r="C818" s="222" t="n"/>
      <c r="D818" s="220" t="n"/>
      <c r="E818" s="220" t="n"/>
      <c r="F818" s="181" t="n"/>
      <c r="G818" s="219" t="n"/>
      <c r="H818" s="220" t="n"/>
      <c r="I818" s="221" t="n"/>
    </row>
    <row r="819" ht="15" customHeight="1" s="131">
      <c r="A819" s="220" t="n"/>
      <c r="B819" s="222" t="n"/>
      <c r="C819" s="222" t="n"/>
      <c r="D819" s="220" t="n"/>
      <c r="E819" s="220" t="n"/>
      <c r="F819" s="181" t="n"/>
      <c r="G819" s="219" t="n"/>
      <c r="H819" s="220" t="n"/>
      <c r="I819" s="221" t="n"/>
    </row>
    <row r="820" ht="15" customHeight="1" s="131">
      <c r="A820" s="220" t="n"/>
      <c r="B820" s="222" t="n"/>
      <c r="C820" s="222" t="n"/>
      <c r="D820" s="220" t="n"/>
      <c r="E820" s="220" t="n"/>
      <c r="F820" s="181" t="n"/>
      <c r="G820" s="219" t="n"/>
      <c r="H820" s="220" t="n"/>
      <c r="I820" s="221" t="n"/>
    </row>
    <row r="821" ht="15" customHeight="1" s="131">
      <c r="A821" s="220" t="n"/>
      <c r="B821" s="222" t="n"/>
      <c r="C821" s="222" t="n"/>
      <c r="D821" s="220" t="n"/>
      <c r="E821" s="220" t="n"/>
      <c r="F821" s="181" t="n"/>
      <c r="G821" s="219" t="n"/>
      <c r="H821" s="220" t="n"/>
      <c r="I821" s="221" t="n"/>
    </row>
    <row r="822" ht="15" customHeight="1" s="131">
      <c r="A822" s="220" t="n"/>
      <c r="B822" s="222" t="n"/>
      <c r="C822" s="222" t="n"/>
      <c r="D822" s="220" t="n"/>
      <c r="E822" s="220" t="n"/>
      <c r="F822" s="181" t="n"/>
      <c r="G822" s="219" t="n"/>
      <c r="H822" s="220" t="n"/>
      <c r="I822" s="221" t="n"/>
    </row>
    <row r="823" ht="15" customHeight="1" s="131">
      <c r="A823" s="220" t="n"/>
      <c r="B823" s="222" t="n"/>
      <c r="C823" s="222" t="n"/>
      <c r="D823" s="220" t="n"/>
      <c r="E823" s="220" t="n"/>
      <c r="F823" s="181" t="n"/>
      <c r="G823" s="219" t="n"/>
      <c r="H823" s="220" t="n"/>
      <c r="I823" s="221" t="n"/>
    </row>
    <row r="824" ht="15" customHeight="1" s="131">
      <c r="A824" s="220" t="n"/>
      <c r="B824" s="222" t="n"/>
      <c r="C824" s="222" t="n"/>
      <c r="D824" s="220" t="n"/>
      <c r="E824" s="220" t="n"/>
      <c r="F824" s="181" t="n"/>
      <c r="G824" s="219" t="n"/>
      <c r="H824" s="220" t="n"/>
      <c r="I824" s="221" t="n"/>
    </row>
    <row r="825" ht="15" customHeight="1" s="131">
      <c r="A825" s="220" t="n"/>
      <c r="B825" s="222" t="n"/>
      <c r="C825" s="222" t="n"/>
      <c r="D825" s="220" t="n"/>
      <c r="E825" s="220" t="n"/>
      <c r="F825" s="181" t="n"/>
      <c r="G825" s="219" t="n"/>
      <c r="H825" s="220" t="n"/>
      <c r="I825" s="221" t="n"/>
    </row>
    <row r="826" ht="15" customHeight="1" s="131">
      <c r="A826" s="220" t="n"/>
      <c r="B826" s="222" t="n"/>
      <c r="C826" s="222" t="n"/>
      <c r="D826" s="220" t="n"/>
      <c r="E826" s="220" t="n"/>
      <c r="F826" s="181" t="n"/>
      <c r="G826" s="219" t="n"/>
      <c r="H826" s="220" t="n"/>
      <c r="I826" s="221" t="n"/>
    </row>
    <row r="827" ht="15" customHeight="1" s="131">
      <c r="A827" s="220" t="n"/>
      <c r="B827" s="222" t="n"/>
      <c r="C827" s="222" t="n"/>
      <c r="D827" s="220" t="n"/>
      <c r="E827" s="220" t="n"/>
      <c r="F827" s="181" t="n"/>
      <c r="G827" s="219" t="n"/>
      <c r="H827" s="220" t="n"/>
      <c r="I827" s="221" t="n"/>
    </row>
    <row r="828" ht="15" customHeight="1" s="131">
      <c r="A828" s="220" t="n"/>
      <c r="B828" s="222" t="n"/>
      <c r="C828" s="222" t="n"/>
      <c r="D828" s="220" t="n"/>
      <c r="E828" s="220" t="n"/>
      <c r="F828" s="181" t="n"/>
      <c r="G828" s="219" t="n"/>
      <c r="H828" s="220" t="n"/>
      <c r="I828" s="221" t="n"/>
    </row>
    <row r="829" ht="15" customHeight="1" s="131">
      <c r="A829" s="220" t="n"/>
      <c r="B829" s="222" t="n"/>
      <c r="C829" s="222" t="n"/>
      <c r="D829" s="220" t="n"/>
      <c r="E829" s="220" t="n"/>
      <c r="F829" s="181" t="n"/>
      <c r="G829" s="219" t="n"/>
      <c r="H829" s="220" t="n"/>
      <c r="I829" s="221" t="n"/>
    </row>
    <row r="830" ht="15" customHeight="1" s="131">
      <c r="A830" s="220" t="n"/>
      <c r="B830" s="222" t="n"/>
      <c r="C830" s="222" t="n"/>
      <c r="D830" s="220" t="n"/>
      <c r="E830" s="220" t="n"/>
      <c r="F830" s="181" t="n"/>
      <c r="G830" s="219" t="n"/>
      <c r="H830" s="220" t="n"/>
      <c r="I830" s="221" t="n"/>
    </row>
    <row r="831" ht="15" customHeight="1" s="131">
      <c r="A831" s="220" t="n"/>
      <c r="B831" s="222" t="n"/>
      <c r="C831" s="222" t="n"/>
      <c r="D831" s="220" t="n"/>
      <c r="E831" s="220" t="n"/>
      <c r="F831" s="181" t="n"/>
      <c r="G831" s="219" t="n"/>
      <c r="H831" s="220" t="n"/>
      <c r="I831" s="221" t="n"/>
    </row>
    <row r="832" ht="15" customHeight="1" s="131">
      <c r="A832" s="220" t="n"/>
      <c r="B832" s="222" t="n"/>
      <c r="C832" s="222" t="n"/>
      <c r="D832" s="220" t="n"/>
      <c r="E832" s="220" t="n"/>
      <c r="F832" s="181" t="n"/>
      <c r="G832" s="219" t="n"/>
      <c r="H832" s="220" t="n"/>
      <c r="I832" s="221" t="n"/>
    </row>
    <row r="833" ht="15" customHeight="1" s="131">
      <c r="A833" s="220" t="n"/>
      <c r="B833" s="222" t="n"/>
      <c r="C833" s="222" t="n"/>
      <c r="D833" s="220" t="n"/>
      <c r="E833" s="220" t="n"/>
      <c r="F833" s="181" t="n"/>
      <c r="G833" s="219" t="n"/>
      <c r="H833" s="220" t="n"/>
      <c r="I833" s="221" t="n"/>
    </row>
    <row r="834" ht="15" customHeight="1" s="131">
      <c r="A834" s="220" t="n"/>
      <c r="B834" s="222" t="n"/>
      <c r="C834" s="222" t="n"/>
      <c r="D834" s="220" t="n"/>
      <c r="E834" s="220" t="n"/>
      <c r="F834" s="181" t="n"/>
      <c r="G834" s="219" t="n"/>
      <c r="H834" s="220" t="n"/>
      <c r="I834" s="221" t="n"/>
    </row>
    <row r="835" ht="15" customHeight="1" s="131">
      <c r="A835" s="220" t="n"/>
      <c r="B835" s="222" t="n"/>
      <c r="C835" s="222" t="n"/>
      <c r="D835" s="220" t="n"/>
      <c r="E835" s="220" t="n"/>
      <c r="F835" s="181" t="n"/>
      <c r="G835" s="219" t="n"/>
      <c r="H835" s="220" t="n"/>
      <c r="I835" s="221" t="n"/>
    </row>
    <row r="836" ht="15" customHeight="1" s="131">
      <c r="A836" s="220" t="n"/>
      <c r="B836" s="222" t="n"/>
      <c r="C836" s="222" t="n"/>
      <c r="D836" s="220" t="n"/>
      <c r="E836" s="220" t="n"/>
      <c r="F836" s="181" t="n"/>
      <c r="G836" s="219" t="n"/>
      <c r="H836" s="220" t="n"/>
      <c r="I836" s="221" t="n"/>
    </row>
    <row r="837" ht="15" customHeight="1" s="131">
      <c r="A837" s="220" t="n"/>
      <c r="B837" s="222" t="n"/>
      <c r="C837" s="222" t="n"/>
      <c r="D837" s="220" t="n"/>
      <c r="E837" s="220" t="n"/>
      <c r="F837" s="181" t="n"/>
      <c r="G837" s="219" t="n"/>
      <c r="H837" s="220" t="n"/>
      <c r="I837" s="221" t="n"/>
    </row>
    <row r="838" ht="15" customHeight="1" s="131">
      <c r="A838" s="220" t="n"/>
      <c r="B838" s="222" t="n"/>
      <c r="C838" s="222" t="n"/>
      <c r="D838" s="220" t="n"/>
      <c r="E838" s="220" t="n"/>
      <c r="F838" s="181" t="n"/>
      <c r="G838" s="219" t="n"/>
      <c r="H838" s="220" t="n"/>
      <c r="I838" s="221" t="n"/>
    </row>
    <row r="839" ht="15" customHeight="1" s="131">
      <c r="A839" s="220" t="n"/>
      <c r="B839" s="222" t="n"/>
      <c r="C839" s="222" t="n"/>
      <c r="D839" s="220" t="n"/>
      <c r="E839" s="220" t="n"/>
      <c r="F839" s="181" t="n"/>
      <c r="G839" s="219" t="n"/>
      <c r="H839" s="220" t="n"/>
      <c r="I839" s="221" t="n"/>
    </row>
    <row r="840" ht="15" customHeight="1" s="131">
      <c r="A840" s="220" t="n"/>
      <c r="B840" s="222" t="n"/>
      <c r="C840" s="222" t="n"/>
      <c r="D840" s="220" t="n"/>
      <c r="E840" s="220" t="n"/>
      <c r="F840" s="181" t="n"/>
      <c r="G840" s="219" t="n"/>
      <c r="H840" s="220" t="n"/>
      <c r="I840" s="221" t="n"/>
    </row>
    <row r="841" ht="15" customHeight="1" s="131">
      <c r="A841" s="220" t="n"/>
      <c r="B841" s="222" t="n"/>
      <c r="C841" s="222" t="n"/>
      <c r="D841" s="220" t="n"/>
      <c r="E841" s="220" t="n"/>
      <c r="F841" s="181" t="n"/>
      <c r="G841" s="219" t="n"/>
      <c r="H841" s="220" t="n"/>
      <c r="I841" s="221" t="n"/>
    </row>
    <row r="842" ht="15" customHeight="1" s="131">
      <c r="A842" s="220" t="n"/>
      <c r="B842" s="222" t="n"/>
      <c r="C842" s="222" t="n"/>
      <c r="D842" s="220" t="n"/>
      <c r="E842" s="220" t="n"/>
      <c r="F842" s="181" t="n"/>
      <c r="G842" s="219" t="n"/>
      <c r="H842" s="220" t="n"/>
      <c r="I842" s="221" t="n"/>
    </row>
    <row r="843" ht="15" customHeight="1" s="131">
      <c r="A843" s="220" t="n"/>
      <c r="B843" s="222" t="n"/>
      <c r="C843" s="222" t="n"/>
      <c r="D843" s="220" t="n"/>
      <c r="E843" s="220" t="n"/>
      <c r="F843" s="181" t="n"/>
      <c r="G843" s="219" t="n"/>
      <c r="H843" s="220" t="n"/>
      <c r="I843" s="221" t="n"/>
    </row>
    <row r="844" ht="15" customHeight="1" s="131">
      <c r="A844" s="220" t="n"/>
      <c r="B844" s="222" t="n"/>
      <c r="C844" s="222" t="n"/>
      <c r="D844" s="220" t="n"/>
      <c r="E844" s="220" t="n"/>
      <c r="F844" s="181" t="n"/>
      <c r="G844" s="219" t="n"/>
      <c r="H844" s="220" t="n"/>
      <c r="I844" s="221" t="n"/>
    </row>
    <row r="845" ht="15" customHeight="1" s="131">
      <c r="A845" s="220" t="n"/>
      <c r="B845" s="222" t="n"/>
      <c r="C845" s="222" t="n"/>
      <c r="D845" s="220" t="n"/>
      <c r="E845" s="220" t="n"/>
      <c r="F845" s="181" t="n"/>
      <c r="G845" s="219" t="n"/>
      <c r="H845" s="220" t="n"/>
      <c r="I845" s="221" t="n"/>
    </row>
    <row r="846" ht="15" customHeight="1" s="131">
      <c r="A846" s="220" t="n"/>
      <c r="B846" s="222" t="n"/>
      <c r="C846" s="222" t="n"/>
      <c r="D846" s="220" t="n"/>
      <c r="E846" s="220" t="n"/>
      <c r="F846" s="181" t="n"/>
      <c r="G846" s="219" t="n"/>
      <c r="H846" s="220" t="n"/>
      <c r="I846" s="221" t="n"/>
    </row>
    <row r="847" ht="15" customHeight="1" s="131">
      <c r="A847" s="220" t="n"/>
      <c r="B847" s="222" t="n"/>
      <c r="C847" s="222" t="n"/>
      <c r="D847" s="220" t="n"/>
      <c r="E847" s="220" t="n"/>
      <c r="F847" s="181" t="n"/>
      <c r="G847" s="219" t="n"/>
      <c r="H847" s="220" t="n"/>
      <c r="I847" s="221" t="n"/>
    </row>
    <row r="848" ht="15" customHeight="1" s="131">
      <c r="A848" s="220" t="n"/>
      <c r="B848" s="222" t="n"/>
      <c r="C848" s="222" t="n"/>
      <c r="D848" s="220" t="n"/>
      <c r="E848" s="220" t="n"/>
      <c r="F848" s="181" t="n"/>
      <c r="G848" s="219" t="n"/>
      <c r="H848" s="220" t="n"/>
      <c r="I848" s="221" t="n"/>
    </row>
    <row r="849" ht="15" customHeight="1" s="131">
      <c r="A849" s="220" t="n"/>
      <c r="B849" s="222" t="n"/>
      <c r="C849" s="222" t="n"/>
      <c r="D849" s="220" t="n"/>
      <c r="E849" s="220" t="n"/>
      <c r="F849" s="181" t="n"/>
      <c r="G849" s="219" t="n"/>
      <c r="H849" s="220" t="n"/>
      <c r="I849" s="221" t="n"/>
    </row>
    <row r="850" ht="15" customHeight="1" s="131">
      <c r="A850" s="220" t="n"/>
      <c r="B850" s="222" t="n"/>
      <c r="C850" s="222" t="n"/>
      <c r="D850" s="220" t="n"/>
      <c r="E850" s="220" t="n"/>
      <c r="F850" s="181" t="n"/>
      <c r="G850" s="219" t="n"/>
      <c r="H850" s="220" t="n"/>
      <c r="I850" s="221" t="n"/>
    </row>
    <row r="851" ht="15" customHeight="1" s="131">
      <c r="A851" s="220" t="n"/>
      <c r="B851" s="222" t="n"/>
      <c r="C851" s="222" t="n"/>
      <c r="D851" s="220" t="n"/>
      <c r="E851" s="220" t="n"/>
      <c r="F851" s="181" t="n"/>
      <c r="G851" s="219" t="n"/>
      <c r="H851" s="220" t="n"/>
      <c r="I851" s="221" t="n"/>
    </row>
    <row r="852" ht="15" customHeight="1" s="131">
      <c r="A852" s="220" t="n"/>
      <c r="B852" s="222" t="n"/>
      <c r="C852" s="222" t="n"/>
      <c r="D852" s="220" t="n"/>
      <c r="E852" s="220" t="n"/>
      <c r="F852" s="181" t="n"/>
      <c r="G852" s="219" t="n"/>
      <c r="H852" s="220" t="n"/>
      <c r="I852" s="221" t="n"/>
    </row>
    <row r="853" ht="15" customHeight="1" s="131">
      <c r="A853" s="220" t="n"/>
      <c r="B853" s="222" t="n"/>
      <c r="C853" s="222" t="n"/>
      <c r="D853" s="220" t="n"/>
      <c r="E853" s="220" t="n"/>
      <c r="F853" s="181" t="n"/>
      <c r="G853" s="219" t="n"/>
      <c r="H853" s="220" t="n"/>
      <c r="I853" s="221" t="n"/>
    </row>
    <row r="854" ht="15" customHeight="1" s="131">
      <c r="A854" s="220" t="n"/>
      <c r="B854" s="222" t="n"/>
      <c r="C854" s="222" t="n"/>
      <c r="D854" s="220" t="n"/>
      <c r="E854" s="220" t="n"/>
      <c r="F854" s="181" t="n"/>
      <c r="G854" s="219" t="n"/>
      <c r="H854" s="220" t="n"/>
      <c r="I854" s="221" t="n"/>
    </row>
    <row r="855" ht="15" customHeight="1" s="131">
      <c r="A855" s="220" t="n"/>
      <c r="B855" s="222" t="n"/>
      <c r="C855" s="222" t="n"/>
      <c r="D855" s="220" t="n"/>
      <c r="E855" s="220" t="n"/>
      <c r="F855" s="181" t="n"/>
      <c r="G855" s="219" t="n"/>
      <c r="H855" s="220" t="n"/>
      <c r="I855" s="221" t="n"/>
    </row>
    <row r="856" ht="15" customHeight="1" s="131">
      <c r="A856" s="220" t="n"/>
      <c r="B856" s="222" t="n"/>
      <c r="C856" s="222" t="n"/>
      <c r="D856" s="220" t="n"/>
      <c r="E856" s="220" t="n"/>
      <c r="F856" s="181" t="n"/>
      <c r="G856" s="219" t="n"/>
      <c r="H856" s="220" t="n"/>
      <c r="I856" s="221" t="n"/>
    </row>
    <row r="857" ht="15" customHeight="1" s="131">
      <c r="A857" s="220" t="n"/>
      <c r="B857" s="222" t="n"/>
      <c r="C857" s="222" t="n"/>
      <c r="D857" s="220" t="n"/>
      <c r="E857" s="220" t="n"/>
      <c r="F857" s="181" t="n"/>
      <c r="G857" s="219" t="n"/>
      <c r="H857" s="220" t="n"/>
      <c r="I857" s="221" t="n"/>
    </row>
    <row r="858" ht="15" customHeight="1" s="131">
      <c r="A858" s="220" t="n"/>
      <c r="B858" s="222" t="n"/>
      <c r="C858" s="222" t="n"/>
      <c r="D858" s="220" t="n"/>
      <c r="E858" s="220" t="n"/>
      <c r="F858" s="181" t="n"/>
      <c r="G858" s="219" t="n"/>
      <c r="H858" s="220" t="n"/>
      <c r="I858" s="221" t="n"/>
    </row>
    <row r="859" ht="15" customHeight="1" s="131">
      <c r="A859" s="220" t="n"/>
      <c r="B859" s="222" t="n"/>
      <c r="C859" s="222" t="n"/>
      <c r="D859" s="220" t="n"/>
      <c r="E859" s="220" t="n"/>
      <c r="F859" s="181" t="n"/>
      <c r="G859" s="219" t="n"/>
      <c r="H859" s="220" t="n"/>
      <c r="I859" s="221" t="n"/>
    </row>
    <row r="860" ht="15" customHeight="1" s="131">
      <c r="A860" s="220" t="n"/>
      <c r="B860" s="222" t="n"/>
      <c r="C860" s="222" t="n"/>
      <c r="D860" s="220" t="n"/>
      <c r="E860" s="220" t="n"/>
      <c r="F860" s="181" t="n"/>
      <c r="G860" s="219" t="n"/>
      <c r="H860" s="220" t="n"/>
      <c r="I860" s="221" t="n"/>
    </row>
    <row r="861" ht="15" customHeight="1" s="131">
      <c r="A861" s="220" t="n"/>
      <c r="B861" s="222" t="n"/>
      <c r="C861" s="222" t="n"/>
      <c r="D861" s="220" t="n"/>
      <c r="E861" s="220" t="n"/>
      <c r="F861" s="181" t="n"/>
      <c r="G861" s="219" t="n"/>
      <c r="H861" s="220" t="n"/>
      <c r="I861" s="221" t="n"/>
    </row>
    <row r="862" ht="15" customHeight="1" s="131">
      <c r="A862" s="220" t="n"/>
      <c r="B862" s="222" t="n"/>
      <c r="C862" s="222" t="n"/>
      <c r="D862" s="220" t="n"/>
      <c r="E862" s="220" t="n"/>
      <c r="F862" s="181" t="n"/>
      <c r="G862" s="219" t="n"/>
      <c r="H862" s="220" t="n"/>
      <c r="I862" s="221" t="n"/>
    </row>
    <row r="863" ht="15" customHeight="1" s="131">
      <c r="A863" s="220" t="n"/>
      <c r="B863" s="222" t="n"/>
      <c r="C863" s="222" t="n"/>
      <c r="D863" s="220" t="n"/>
      <c r="E863" s="220" t="n"/>
      <c r="F863" s="181" t="n"/>
      <c r="G863" s="219" t="n"/>
      <c r="H863" s="220" t="n"/>
      <c r="I863" s="221" t="n"/>
    </row>
    <row r="864" ht="15" customHeight="1" s="131">
      <c r="A864" s="220" t="n"/>
      <c r="B864" s="222" t="n"/>
      <c r="C864" s="222" t="n"/>
      <c r="D864" s="220" t="n"/>
      <c r="E864" s="220" t="n"/>
      <c r="F864" s="181" t="n"/>
      <c r="G864" s="219" t="n"/>
      <c r="H864" s="220" t="n"/>
      <c r="I864" s="221" t="n"/>
    </row>
    <row r="865" ht="15" customHeight="1" s="131">
      <c r="A865" s="220" t="n"/>
      <c r="B865" s="222" t="n"/>
      <c r="C865" s="222" t="n"/>
      <c r="D865" s="220" t="n"/>
      <c r="E865" s="220" t="n"/>
      <c r="F865" s="181" t="n"/>
      <c r="G865" s="219" t="n"/>
      <c r="H865" s="220" t="n"/>
      <c r="I865" s="221" t="n"/>
    </row>
    <row r="866" ht="15" customHeight="1" s="131">
      <c r="A866" s="220" t="n"/>
      <c r="B866" s="222" t="n"/>
      <c r="C866" s="222" t="n"/>
      <c r="D866" s="220" t="n"/>
      <c r="E866" s="220" t="n"/>
      <c r="F866" s="181" t="n"/>
      <c r="G866" s="219" t="n"/>
      <c r="H866" s="220" t="n"/>
      <c r="I866" s="221" t="n"/>
    </row>
    <row r="867" ht="15" customHeight="1" s="131">
      <c r="A867" s="220" t="n"/>
      <c r="B867" s="222" t="n"/>
      <c r="C867" s="222" t="n"/>
      <c r="D867" s="220" t="n"/>
      <c r="E867" s="220" t="n"/>
      <c r="F867" s="181" t="n"/>
      <c r="G867" s="219" t="n"/>
      <c r="H867" s="220" t="n"/>
      <c r="I867" s="221" t="n"/>
    </row>
    <row r="868" ht="15" customHeight="1" s="131">
      <c r="A868" s="220" t="n"/>
      <c r="B868" s="222" t="n"/>
      <c r="C868" s="222" t="n"/>
      <c r="D868" s="220" t="n"/>
      <c r="E868" s="220" t="n"/>
      <c r="F868" s="181" t="n"/>
      <c r="G868" s="219" t="n"/>
      <c r="H868" s="220" t="n"/>
      <c r="I868" s="221" t="n"/>
    </row>
    <row r="869" ht="15" customHeight="1" s="131">
      <c r="A869" s="220" t="n"/>
      <c r="B869" s="222" t="n"/>
      <c r="C869" s="222" t="n"/>
      <c r="D869" s="220" t="n"/>
      <c r="E869" s="220" t="n"/>
      <c r="F869" s="181" t="n"/>
      <c r="G869" s="219" t="n"/>
      <c r="H869" s="220" t="n"/>
      <c r="I869" s="221" t="n"/>
    </row>
    <row r="870" ht="15" customHeight="1" s="131">
      <c r="A870" s="220" t="n"/>
      <c r="B870" s="222" t="n"/>
      <c r="C870" s="222" t="n"/>
      <c r="D870" s="220" t="n"/>
      <c r="E870" s="220" t="n"/>
      <c r="F870" s="181" t="n"/>
      <c r="G870" s="219" t="n"/>
      <c r="H870" s="220" t="n"/>
      <c r="I870" s="221" t="n"/>
    </row>
    <row r="871" ht="15" customHeight="1" s="131">
      <c r="A871" s="220" t="n"/>
      <c r="B871" s="222" t="n"/>
      <c r="C871" s="222" t="n"/>
      <c r="D871" s="220" t="n"/>
      <c r="E871" s="220" t="n"/>
      <c r="F871" s="181" t="n"/>
      <c r="G871" s="219" t="n"/>
      <c r="H871" s="220" t="n"/>
      <c r="I871" s="221" t="n"/>
    </row>
    <row r="872" ht="15" customHeight="1" s="131">
      <c r="A872" s="220" t="n"/>
      <c r="B872" s="222" t="n"/>
      <c r="C872" s="222" t="n"/>
      <c r="D872" s="220" t="n"/>
      <c r="E872" s="220" t="n"/>
      <c r="F872" s="181" t="n"/>
      <c r="G872" s="219" t="n"/>
      <c r="H872" s="220" t="n"/>
      <c r="I872" s="221" t="n"/>
    </row>
    <row r="873" ht="15" customHeight="1" s="131">
      <c r="A873" s="220" t="n"/>
      <c r="B873" s="222" t="n"/>
      <c r="C873" s="222" t="n"/>
      <c r="D873" s="220" t="n"/>
      <c r="E873" s="220" t="n"/>
      <c r="F873" s="181" t="n"/>
      <c r="G873" s="219" t="n"/>
      <c r="H873" s="220" t="n"/>
      <c r="I873" s="221" t="n"/>
    </row>
    <row r="874" ht="15" customHeight="1" s="131">
      <c r="A874" s="220" t="n"/>
      <c r="B874" s="222" t="n"/>
      <c r="C874" s="222" t="n"/>
      <c r="D874" s="220" t="n"/>
      <c r="E874" s="220" t="n"/>
      <c r="F874" s="181" t="n"/>
      <c r="G874" s="219" t="n"/>
      <c r="H874" s="220" t="n"/>
      <c r="I874" s="221" t="n"/>
    </row>
    <row r="875" ht="15" customHeight="1" s="131">
      <c r="A875" s="220" t="n"/>
      <c r="B875" s="222" t="n"/>
      <c r="C875" s="222" t="n"/>
      <c r="D875" s="220" t="n"/>
      <c r="E875" s="220" t="n"/>
      <c r="F875" s="181" t="n"/>
      <c r="G875" s="219" t="n"/>
      <c r="H875" s="220" t="n"/>
      <c r="I875" s="221" t="n"/>
    </row>
    <row r="876" ht="15" customHeight="1" s="131">
      <c r="A876" s="220" t="n"/>
      <c r="B876" s="222" t="n"/>
      <c r="C876" s="222" t="n"/>
      <c r="D876" s="220" t="n"/>
      <c r="E876" s="220" t="n"/>
      <c r="F876" s="181" t="n"/>
      <c r="G876" s="219" t="n"/>
      <c r="H876" s="220" t="n"/>
      <c r="I876" s="221" t="n"/>
    </row>
    <row r="877" ht="15" customHeight="1" s="131">
      <c r="A877" s="220" t="n"/>
      <c r="B877" s="222" t="n"/>
      <c r="C877" s="222" t="n"/>
      <c r="D877" s="220" t="n"/>
      <c r="E877" s="220" t="n"/>
      <c r="F877" s="181" t="n"/>
      <c r="G877" s="219" t="n"/>
      <c r="H877" s="220" t="n"/>
      <c r="I877" s="221" t="n"/>
    </row>
    <row r="878" ht="15" customHeight="1" s="131">
      <c r="A878" s="220" t="n"/>
      <c r="B878" s="222" t="n"/>
      <c r="C878" s="222" t="n"/>
      <c r="D878" s="220" t="n"/>
      <c r="E878" s="220" t="n"/>
      <c r="F878" s="181" t="n"/>
      <c r="G878" s="219" t="n"/>
      <c r="H878" s="220" t="n"/>
      <c r="I878" s="221" t="n"/>
    </row>
    <row r="879" ht="15" customHeight="1" s="131">
      <c r="A879" s="220" t="n"/>
      <c r="B879" s="222" t="n"/>
      <c r="C879" s="222" t="n"/>
      <c r="D879" s="220" t="n"/>
      <c r="E879" s="220" t="n"/>
      <c r="F879" s="181" t="n"/>
      <c r="G879" s="219" t="n"/>
      <c r="H879" s="220" t="n"/>
      <c r="I879" s="221" t="n"/>
    </row>
    <row r="880" ht="15" customHeight="1" s="131">
      <c r="A880" s="220" t="n"/>
      <c r="B880" s="222" t="n"/>
      <c r="C880" s="222" t="n"/>
      <c r="D880" s="220" t="n"/>
      <c r="E880" s="220" t="n"/>
      <c r="F880" s="181" t="n"/>
      <c r="G880" s="219" t="n"/>
      <c r="H880" s="220" t="n"/>
      <c r="I880" s="221" t="n"/>
    </row>
    <row r="881" ht="15" customHeight="1" s="131">
      <c r="A881" s="220" t="n"/>
      <c r="B881" s="222" t="n"/>
      <c r="C881" s="222" t="n"/>
      <c r="D881" s="220" t="n"/>
      <c r="E881" s="220" t="n"/>
      <c r="F881" s="181" t="n"/>
      <c r="G881" s="219" t="n"/>
      <c r="H881" s="220" t="n"/>
      <c r="I881" s="221" t="n"/>
    </row>
    <row r="882" ht="15" customHeight="1" s="131">
      <c r="A882" s="220" t="n"/>
      <c r="B882" s="222" t="n"/>
      <c r="C882" s="222" t="n"/>
      <c r="D882" s="220" t="n"/>
      <c r="E882" s="220" t="n"/>
      <c r="F882" s="181" t="n"/>
      <c r="G882" s="219" t="n"/>
      <c r="H882" s="220" t="n"/>
      <c r="I882" s="221" t="n"/>
    </row>
    <row r="883" ht="15" customHeight="1" s="131">
      <c r="A883" s="220" t="n"/>
      <c r="B883" s="222" t="n"/>
      <c r="C883" s="222" t="n"/>
      <c r="D883" s="220" t="n"/>
      <c r="E883" s="220" t="n"/>
      <c r="F883" s="181" t="n"/>
      <c r="G883" s="219" t="n"/>
      <c r="H883" s="220" t="n"/>
      <c r="I883" s="221" t="n"/>
    </row>
    <row r="884" ht="15" customHeight="1" s="131">
      <c r="A884" s="220" t="n"/>
      <c r="B884" s="222" t="n"/>
      <c r="C884" s="222" t="n"/>
      <c r="D884" s="220" t="n"/>
      <c r="E884" s="220" t="n"/>
      <c r="F884" s="181" t="n"/>
      <c r="G884" s="219" t="n"/>
      <c r="H884" s="220" t="n"/>
      <c r="I884" s="221" t="n"/>
    </row>
    <row r="885" ht="15" customHeight="1" s="131">
      <c r="A885" s="220" t="n"/>
      <c r="B885" s="222" t="n"/>
      <c r="C885" s="222" t="n"/>
      <c r="D885" s="220" t="n"/>
      <c r="E885" s="220" t="n"/>
      <c r="F885" s="181" t="n"/>
      <c r="G885" s="219" t="n"/>
      <c r="H885" s="220" t="n"/>
      <c r="I885" s="221" t="n"/>
    </row>
    <row r="886" ht="15" customHeight="1" s="131">
      <c r="A886" s="220" t="n"/>
      <c r="B886" s="222" t="n"/>
      <c r="C886" s="222" t="n"/>
      <c r="D886" s="220" t="n"/>
      <c r="E886" s="220" t="n"/>
      <c r="F886" s="181" t="n"/>
      <c r="G886" s="219" t="n"/>
      <c r="H886" s="220" t="n"/>
      <c r="I886" s="221" t="n"/>
    </row>
    <row r="887" ht="15" customHeight="1" s="131">
      <c r="A887" s="220" t="n"/>
      <c r="B887" s="222" t="n"/>
      <c r="C887" s="222" t="n"/>
      <c r="D887" s="220" t="n"/>
      <c r="E887" s="220" t="n"/>
      <c r="F887" s="181" t="n"/>
      <c r="G887" s="219" t="n"/>
      <c r="H887" s="220" t="n"/>
      <c r="I887" s="221" t="n"/>
    </row>
    <row r="888" ht="15" customHeight="1" s="131">
      <c r="A888" s="220" t="n"/>
      <c r="B888" s="222" t="n"/>
      <c r="C888" s="222" t="n"/>
      <c r="D888" s="220" t="n"/>
      <c r="E888" s="220" t="n"/>
      <c r="F888" s="181" t="n"/>
      <c r="G888" s="219" t="n"/>
      <c r="H888" s="220" t="n"/>
      <c r="I888" s="221" t="n"/>
    </row>
    <row r="889" ht="15" customHeight="1" s="131">
      <c r="A889" s="220" t="n"/>
      <c r="B889" s="222" t="n"/>
      <c r="C889" s="222" t="n"/>
      <c r="D889" s="220" t="n"/>
      <c r="E889" s="220" t="n"/>
      <c r="F889" s="181" t="n"/>
      <c r="G889" s="219" t="n"/>
      <c r="H889" s="220" t="n"/>
      <c r="I889" s="221" t="n"/>
    </row>
    <row r="890" ht="15" customHeight="1" s="131">
      <c r="A890" s="220" t="n"/>
      <c r="B890" s="222" t="n"/>
      <c r="C890" s="222" t="n"/>
      <c r="D890" s="220" t="n"/>
      <c r="E890" s="220" t="n"/>
      <c r="F890" s="181" t="n"/>
      <c r="G890" s="219" t="n"/>
      <c r="H890" s="220" t="n"/>
      <c r="I890" s="221" t="n"/>
    </row>
    <row r="891" ht="15" customHeight="1" s="131">
      <c r="A891" s="220" t="n"/>
      <c r="B891" s="222" t="n"/>
      <c r="C891" s="222" t="n"/>
      <c r="D891" s="220" t="n"/>
      <c r="E891" s="220" t="n"/>
      <c r="F891" s="181" t="n"/>
      <c r="G891" s="219" t="n"/>
      <c r="H891" s="220" t="n"/>
      <c r="I891" s="221" t="n"/>
    </row>
    <row r="892" ht="15" customHeight="1" s="131">
      <c r="A892" s="220" t="n"/>
      <c r="B892" s="222" t="n"/>
      <c r="C892" s="222" t="n"/>
      <c r="D892" s="220" t="n"/>
      <c r="E892" s="220" t="n"/>
      <c r="F892" s="181" t="n"/>
      <c r="G892" s="219" t="n"/>
      <c r="H892" s="220" t="n"/>
      <c r="I892" s="221" t="n"/>
    </row>
    <row r="893" ht="15" customHeight="1" s="131">
      <c r="A893" s="220" t="n"/>
      <c r="B893" s="222" t="n"/>
      <c r="C893" s="222" t="n"/>
      <c r="D893" s="220" t="n"/>
      <c r="E893" s="220" t="n"/>
      <c r="F893" s="181" t="n"/>
      <c r="G893" s="219" t="n"/>
      <c r="H893" s="220" t="n"/>
      <c r="I893" s="221" t="n"/>
    </row>
    <row r="894" ht="15" customHeight="1" s="131">
      <c r="A894" s="220" t="n"/>
      <c r="B894" s="222" t="n"/>
      <c r="C894" s="222" t="n"/>
      <c r="D894" s="220" t="n"/>
      <c r="E894" s="220" t="n"/>
      <c r="F894" s="181" t="n"/>
      <c r="G894" s="219" t="n"/>
      <c r="H894" s="220" t="n"/>
      <c r="I894" s="221" t="n"/>
    </row>
    <row r="895" ht="15" customHeight="1" s="131">
      <c r="A895" s="220" t="n"/>
      <c r="B895" s="222" t="n"/>
      <c r="C895" s="222" t="n"/>
      <c r="D895" s="220" t="n"/>
      <c r="E895" s="220" t="n"/>
      <c r="F895" s="181" t="n"/>
      <c r="G895" s="219" t="n"/>
      <c r="H895" s="220" t="n"/>
      <c r="I895" s="221" t="n"/>
    </row>
    <row r="896" ht="15" customHeight="1" s="131">
      <c r="A896" s="220" t="n"/>
      <c r="B896" s="222" t="n"/>
      <c r="C896" s="222" t="n"/>
      <c r="D896" s="220" t="n"/>
      <c r="E896" s="220" t="n"/>
      <c r="F896" s="181" t="n"/>
      <c r="G896" s="219" t="n"/>
      <c r="H896" s="220" t="n"/>
      <c r="I896" s="221" t="n"/>
    </row>
    <row r="897" ht="15" customHeight="1" s="131">
      <c r="A897" s="220" t="n"/>
      <c r="B897" s="222" t="n"/>
      <c r="C897" s="222" t="n"/>
      <c r="D897" s="220" t="n"/>
      <c r="E897" s="220" t="n"/>
      <c r="F897" s="181" t="n"/>
      <c r="G897" s="219" t="n"/>
      <c r="H897" s="220" t="n"/>
      <c r="I897" s="221" t="n"/>
    </row>
    <row r="898" ht="15" customHeight="1" s="131">
      <c r="A898" s="220" t="n"/>
      <c r="B898" s="222" t="n"/>
      <c r="C898" s="222" t="n"/>
      <c r="D898" s="220" t="n"/>
      <c r="E898" s="220" t="n"/>
      <c r="F898" s="181" t="n"/>
      <c r="G898" s="219" t="n"/>
      <c r="H898" s="220" t="n"/>
      <c r="I898" s="221" t="n"/>
    </row>
    <row r="899" ht="15" customHeight="1" s="131">
      <c r="A899" s="220" t="n"/>
      <c r="B899" s="222" t="n"/>
      <c r="C899" s="222" t="n"/>
      <c r="D899" s="220" t="n"/>
      <c r="E899" s="220" t="n"/>
      <c r="F899" s="181" t="n"/>
      <c r="G899" s="219" t="n"/>
      <c r="H899" s="220" t="n"/>
      <c r="I899" s="221" t="n"/>
    </row>
    <row r="900" ht="15" customHeight="1" s="131">
      <c r="A900" s="220" t="n"/>
      <c r="B900" s="222" t="n"/>
      <c r="C900" s="222" t="n"/>
      <c r="D900" s="220" t="n"/>
      <c r="E900" s="220" t="n"/>
      <c r="F900" s="181" t="n"/>
      <c r="G900" s="219" t="n"/>
      <c r="H900" s="220" t="n"/>
      <c r="I900" s="221" t="n"/>
    </row>
    <row r="901" ht="15" customHeight="1" s="131">
      <c r="A901" s="220" t="n"/>
      <c r="B901" s="222" t="n"/>
      <c r="C901" s="222" t="n"/>
      <c r="D901" s="220" t="n"/>
      <c r="E901" s="220" t="n"/>
      <c r="F901" s="181" t="n"/>
      <c r="G901" s="219" t="n"/>
      <c r="H901" s="220" t="n"/>
      <c r="I901" s="221" t="n"/>
    </row>
    <row r="902" ht="15" customHeight="1" s="131">
      <c r="A902" s="220" t="n"/>
      <c r="B902" s="222" t="n"/>
      <c r="C902" s="222" t="n"/>
      <c r="D902" s="220" t="n"/>
      <c r="E902" s="220" t="n"/>
      <c r="F902" s="181" t="n"/>
      <c r="G902" s="219" t="n"/>
      <c r="H902" s="220" t="n"/>
      <c r="I902" s="221" t="n"/>
    </row>
    <row r="903" ht="15" customHeight="1" s="131">
      <c r="A903" s="220" t="n"/>
      <c r="B903" s="222" t="n"/>
      <c r="C903" s="222" t="n"/>
      <c r="D903" s="220" t="n"/>
      <c r="E903" s="220" t="n"/>
      <c r="F903" s="181" t="n"/>
      <c r="G903" s="219" t="n"/>
      <c r="H903" s="220" t="n"/>
      <c r="I903" s="221" t="n"/>
    </row>
    <row r="904" ht="15" customHeight="1" s="131">
      <c r="A904" s="220" t="n"/>
      <c r="B904" s="222" t="n"/>
      <c r="C904" s="222" t="n"/>
      <c r="D904" s="220" t="n"/>
      <c r="E904" s="220" t="n"/>
      <c r="F904" s="181" t="n"/>
      <c r="G904" s="219" t="n"/>
      <c r="H904" s="220" t="n"/>
      <c r="I904" s="221" t="n"/>
    </row>
    <row r="905" ht="15" customHeight="1" s="131">
      <c r="A905" s="220" t="n"/>
      <c r="B905" s="222" t="n"/>
      <c r="C905" s="222" t="n"/>
      <c r="D905" s="220" t="n"/>
      <c r="E905" s="220" t="n"/>
      <c r="F905" s="181" t="n"/>
      <c r="G905" s="219" t="n"/>
      <c r="H905" s="220" t="n"/>
      <c r="I905" s="221" t="n"/>
    </row>
    <row r="906" ht="15" customHeight="1" s="131">
      <c r="A906" s="220" t="n"/>
      <c r="B906" s="222" t="n"/>
      <c r="C906" s="222" t="n"/>
      <c r="D906" s="220" t="n"/>
      <c r="E906" s="220" t="n"/>
      <c r="F906" s="181" t="n"/>
      <c r="G906" s="219" t="n"/>
      <c r="H906" s="220" t="n"/>
      <c r="I906" s="221" t="n"/>
    </row>
    <row r="907" ht="15" customHeight="1" s="131">
      <c r="A907" s="220" t="n"/>
      <c r="B907" s="222" t="n"/>
      <c r="C907" s="222" t="n"/>
      <c r="D907" s="220" t="n"/>
      <c r="E907" s="220" t="n"/>
      <c r="F907" s="181" t="n"/>
      <c r="G907" s="219" t="n"/>
      <c r="H907" s="220" t="n"/>
      <c r="I907" s="221" t="n"/>
    </row>
    <row r="908" ht="15" customHeight="1" s="131">
      <c r="A908" s="220" t="n"/>
      <c r="B908" s="222" t="n"/>
      <c r="C908" s="222" t="n"/>
      <c r="D908" s="220" t="n"/>
      <c r="E908" s="220" t="n"/>
      <c r="F908" s="181" t="n"/>
      <c r="G908" s="219" t="n"/>
      <c r="H908" s="220" t="n"/>
      <c r="I908" s="221" t="n"/>
    </row>
    <row r="909" ht="15" customHeight="1" s="131">
      <c r="A909" s="220" t="n"/>
      <c r="B909" s="222" t="n"/>
      <c r="C909" s="222" t="n"/>
      <c r="D909" s="220" t="n"/>
      <c r="E909" s="220" t="n"/>
      <c r="F909" s="181" t="n"/>
      <c r="G909" s="219" t="n"/>
      <c r="H909" s="220" t="n"/>
      <c r="I909" s="221" t="n"/>
    </row>
    <row r="910" ht="15" customHeight="1" s="131">
      <c r="A910" s="220" t="n"/>
      <c r="B910" s="222" t="n"/>
      <c r="C910" s="222" t="n"/>
      <c r="D910" s="220" t="n"/>
      <c r="E910" s="220" t="n"/>
      <c r="F910" s="181" t="n"/>
      <c r="G910" s="219" t="n"/>
      <c r="H910" s="220" t="n"/>
      <c r="I910" s="221" t="n"/>
    </row>
    <row r="911" ht="15" customHeight="1" s="131">
      <c r="A911" s="220" t="n"/>
      <c r="B911" s="222" t="n"/>
      <c r="C911" s="222" t="n"/>
      <c r="D911" s="220" t="n"/>
      <c r="E911" s="220" t="n"/>
      <c r="F911" s="181" t="n"/>
      <c r="G911" s="219" t="n"/>
      <c r="H911" s="220" t="n"/>
      <c r="I911" s="221" t="n"/>
    </row>
    <row r="912" ht="15" customHeight="1" s="131">
      <c r="A912" s="220" t="n"/>
      <c r="B912" s="222" t="n"/>
      <c r="C912" s="222" t="n"/>
      <c r="D912" s="220" t="n"/>
      <c r="E912" s="220" t="n"/>
      <c r="F912" s="181" t="n"/>
      <c r="G912" s="219" t="n"/>
      <c r="H912" s="220" t="n"/>
      <c r="I912" s="221" t="n"/>
    </row>
    <row r="913" ht="15" customHeight="1" s="131">
      <c r="A913" s="220" t="n"/>
      <c r="B913" s="222" t="n"/>
      <c r="C913" s="222" t="n"/>
      <c r="D913" s="220" t="n"/>
      <c r="E913" s="220" t="n"/>
      <c r="F913" s="181" t="n"/>
      <c r="G913" s="219" t="n"/>
      <c r="H913" s="220" t="n"/>
      <c r="I913" s="221" t="n"/>
    </row>
    <row r="914" ht="15" customHeight="1" s="131">
      <c r="A914" s="220" t="n"/>
      <c r="B914" s="222" t="n"/>
      <c r="C914" s="222" t="n"/>
      <c r="D914" s="220" t="n"/>
      <c r="E914" s="220" t="n"/>
      <c r="F914" s="181" t="n"/>
      <c r="G914" s="219" t="n"/>
      <c r="H914" s="220" t="n"/>
      <c r="I914" s="221" t="n"/>
    </row>
    <row r="915" ht="15" customHeight="1" s="131">
      <c r="A915" s="220" t="n"/>
      <c r="B915" s="222" t="n"/>
      <c r="C915" s="222" t="n"/>
      <c r="D915" s="220" t="n"/>
      <c r="E915" s="220" t="n"/>
      <c r="F915" s="181" t="n"/>
      <c r="G915" s="219" t="n"/>
      <c r="H915" s="220" t="n"/>
      <c r="I915" s="221" t="n"/>
    </row>
    <row r="916" ht="15" customHeight="1" s="131">
      <c r="A916" s="220" t="n"/>
      <c r="B916" s="222" t="n"/>
      <c r="C916" s="222" t="n"/>
      <c r="D916" s="220" t="n"/>
      <c r="E916" s="220" t="n"/>
      <c r="F916" s="181" t="n"/>
      <c r="G916" s="219" t="n"/>
      <c r="H916" s="220" t="n"/>
      <c r="I916" s="221" t="n"/>
    </row>
    <row r="917" ht="15" customHeight="1" s="131">
      <c r="A917" s="220" t="n"/>
      <c r="B917" s="222" t="n"/>
      <c r="C917" s="222" t="n"/>
      <c r="D917" s="220" t="n"/>
      <c r="E917" s="220" t="n"/>
      <c r="F917" s="181" t="n"/>
      <c r="G917" s="219" t="n"/>
      <c r="H917" s="220" t="n"/>
      <c r="I917" s="221" t="n"/>
    </row>
    <row r="918" ht="15" customHeight="1" s="131">
      <c r="A918" s="220" t="n"/>
      <c r="B918" s="222" t="n"/>
      <c r="C918" s="222" t="n"/>
      <c r="D918" s="220" t="n"/>
      <c r="E918" s="220" t="n"/>
      <c r="F918" s="181" t="n"/>
      <c r="G918" s="219" t="n"/>
      <c r="H918" s="220" t="n"/>
      <c r="I918" s="221" t="n"/>
    </row>
    <row r="919" ht="15" customHeight="1" s="131">
      <c r="A919" s="220" t="n"/>
      <c r="B919" s="222" t="n"/>
      <c r="C919" s="222" t="n"/>
      <c r="D919" s="220" t="n"/>
      <c r="E919" s="220" t="n"/>
      <c r="F919" s="181" t="n"/>
      <c r="G919" s="219" t="n"/>
      <c r="H919" s="220" t="n"/>
      <c r="I919" s="221" t="n"/>
    </row>
    <row r="920" ht="15" customHeight="1" s="131">
      <c r="A920" s="220" t="n"/>
      <c r="B920" s="222" t="n"/>
      <c r="C920" s="222" t="n"/>
      <c r="D920" s="220" t="n"/>
      <c r="E920" s="220" t="n"/>
      <c r="F920" s="181" t="n"/>
      <c r="G920" s="219" t="n"/>
      <c r="H920" s="220" t="n"/>
      <c r="I920" s="221" t="n"/>
    </row>
    <row r="921" ht="15" customHeight="1" s="131">
      <c r="A921" s="220" t="n"/>
      <c r="B921" s="222" t="n"/>
      <c r="C921" s="222" t="n"/>
      <c r="D921" s="220" t="n"/>
      <c r="E921" s="220" t="n"/>
      <c r="F921" s="181" t="n"/>
      <c r="G921" s="219" t="n"/>
      <c r="H921" s="220" t="n"/>
      <c r="I921" s="221" t="n"/>
    </row>
    <row r="922" ht="15" customHeight="1" s="131">
      <c r="A922" s="220" t="n"/>
      <c r="B922" s="222" t="n"/>
      <c r="C922" s="222" t="n"/>
      <c r="D922" s="220" t="n"/>
      <c r="E922" s="220" t="n"/>
      <c r="F922" s="181" t="n"/>
      <c r="G922" s="219" t="n"/>
      <c r="H922" s="220" t="n"/>
      <c r="I922" s="221" t="n"/>
    </row>
    <row r="923" ht="15" customHeight="1" s="131">
      <c r="A923" s="220" t="n"/>
      <c r="B923" s="222" t="n"/>
      <c r="C923" s="222" t="n"/>
      <c r="D923" s="220" t="n"/>
      <c r="E923" s="220" t="n"/>
      <c r="F923" s="181" t="n"/>
      <c r="G923" s="219" t="n"/>
      <c r="H923" s="220" t="n"/>
      <c r="I923" s="221" t="n"/>
    </row>
    <row r="924" ht="15" customHeight="1" s="131">
      <c r="A924" s="220" t="n"/>
      <c r="B924" s="222" t="n"/>
      <c r="C924" s="222" t="n"/>
      <c r="D924" s="220" t="n"/>
      <c r="E924" s="220" t="n"/>
      <c r="F924" s="181" t="n"/>
      <c r="G924" s="219" t="n"/>
      <c r="H924" s="220" t="n"/>
      <c r="I924" s="221" t="n"/>
    </row>
    <row r="925" ht="15" customHeight="1" s="131">
      <c r="A925" s="220" t="n"/>
      <c r="B925" s="222" t="n"/>
      <c r="C925" s="222" t="n"/>
      <c r="D925" s="220" t="n"/>
      <c r="E925" s="220" t="n"/>
      <c r="F925" s="181" t="n"/>
      <c r="G925" s="219" t="n"/>
      <c r="H925" s="220" t="n"/>
      <c r="I925" s="221" t="n"/>
    </row>
    <row r="926" ht="15" customHeight="1" s="131">
      <c r="A926" s="220" t="n"/>
      <c r="B926" s="222" t="n"/>
      <c r="C926" s="222" t="n"/>
      <c r="D926" s="220" t="n"/>
      <c r="E926" s="220" t="n"/>
      <c r="F926" s="181" t="n"/>
      <c r="G926" s="219" t="n"/>
      <c r="H926" s="220" t="n"/>
      <c r="I926" s="221" t="n"/>
    </row>
    <row r="927" ht="15" customHeight="1" s="131">
      <c r="A927" s="220" t="n"/>
      <c r="B927" s="222" t="n"/>
      <c r="C927" s="222" t="n"/>
      <c r="D927" s="220" t="n"/>
      <c r="E927" s="220" t="n"/>
      <c r="F927" s="181" t="n"/>
      <c r="G927" s="219" t="n"/>
      <c r="H927" s="220" t="n"/>
      <c r="I927" s="221" t="n"/>
    </row>
    <row r="928" ht="15" customHeight="1" s="131">
      <c r="A928" s="220" t="n"/>
      <c r="B928" s="222" t="n"/>
      <c r="C928" s="222" t="n"/>
      <c r="D928" s="220" t="n"/>
      <c r="E928" s="220" t="n"/>
      <c r="F928" s="181" t="n"/>
      <c r="G928" s="219" t="n"/>
      <c r="H928" s="220" t="n"/>
      <c r="I928" s="221" t="n"/>
    </row>
    <row r="929" ht="15" customHeight="1" s="131">
      <c r="A929" s="220" t="n"/>
      <c r="B929" s="222" t="n"/>
      <c r="C929" s="222" t="n"/>
      <c r="D929" s="220" t="n"/>
      <c r="E929" s="220" t="n"/>
      <c r="F929" s="181" t="n"/>
      <c r="G929" s="219" t="n"/>
      <c r="H929" s="220" t="n"/>
      <c r="I929" s="221" t="n"/>
    </row>
    <row r="930" ht="15" customHeight="1" s="131">
      <c r="A930" s="220" t="n"/>
      <c r="B930" s="222" t="n"/>
      <c r="C930" s="222" t="n"/>
      <c r="D930" s="220" t="n"/>
      <c r="E930" s="220" t="n"/>
      <c r="F930" s="181" t="n"/>
      <c r="G930" s="219" t="n"/>
      <c r="H930" s="220" t="n"/>
      <c r="I930" s="221" t="n"/>
    </row>
    <row r="931" ht="15" customHeight="1" s="131">
      <c r="A931" s="220" t="n"/>
      <c r="B931" s="222" t="n"/>
      <c r="C931" s="222" t="n"/>
      <c r="D931" s="220" t="n"/>
      <c r="E931" s="220" t="n"/>
      <c r="F931" s="181" t="n"/>
      <c r="G931" s="219" t="n"/>
      <c r="H931" s="220" t="n"/>
      <c r="I931" s="221" t="n"/>
    </row>
    <row r="932" ht="15" customHeight="1" s="131">
      <c r="A932" s="220" t="n"/>
      <c r="B932" s="222" t="n"/>
      <c r="C932" s="222" t="n"/>
      <c r="D932" s="220" t="n"/>
      <c r="E932" s="220" t="n"/>
      <c r="F932" s="181" t="n"/>
      <c r="G932" s="219" t="n"/>
      <c r="H932" s="220" t="n"/>
      <c r="I932" s="221" t="n"/>
    </row>
    <row r="933" ht="15" customHeight="1" s="131">
      <c r="A933" s="220" t="n"/>
      <c r="B933" s="222" t="n"/>
      <c r="C933" s="222" t="n"/>
      <c r="D933" s="220" t="n"/>
      <c r="E933" s="220" t="n"/>
      <c r="F933" s="181" t="n"/>
      <c r="G933" s="219" t="n"/>
      <c r="H933" s="220" t="n"/>
      <c r="I933" s="221" t="n"/>
    </row>
    <row r="934" ht="15" customHeight="1" s="131">
      <c r="A934" s="220" t="n"/>
      <c r="B934" s="222" t="n"/>
      <c r="C934" s="222" t="n"/>
      <c r="D934" s="220" t="n"/>
      <c r="E934" s="220" t="n"/>
      <c r="F934" s="181" t="n"/>
      <c r="G934" s="219" t="n"/>
      <c r="H934" s="220" t="n"/>
      <c r="I934" s="221" t="n"/>
    </row>
    <row r="935" ht="15" customHeight="1" s="131">
      <c r="A935" s="220" t="n"/>
      <c r="B935" s="222" t="n"/>
      <c r="C935" s="222" t="n"/>
      <c r="D935" s="220" t="n"/>
      <c r="E935" s="220" t="n"/>
      <c r="F935" s="181" t="n"/>
      <c r="G935" s="219" t="n"/>
      <c r="H935" s="220" t="n"/>
      <c r="I935" s="221" t="n"/>
    </row>
    <row r="936" ht="15" customHeight="1" s="131">
      <c r="A936" s="220" t="n"/>
      <c r="B936" s="222" t="n"/>
      <c r="C936" s="222" t="n"/>
      <c r="D936" s="220" t="n"/>
      <c r="E936" s="220" t="n"/>
      <c r="F936" s="181" t="n"/>
      <c r="G936" s="219" t="n"/>
      <c r="H936" s="220" t="n"/>
      <c r="I936" s="221" t="n"/>
    </row>
    <row r="937" ht="15" customHeight="1" s="131">
      <c r="A937" s="220" t="n"/>
      <c r="B937" s="222" t="n"/>
      <c r="C937" s="222" t="n"/>
      <c r="D937" s="220" t="n"/>
      <c r="E937" s="220" t="n"/>
      <c r="F937" s="181" t="n"/>
      <c r="G937" s="219" t="n"/>
      <c r="H937" s="220" t="n"/>
      <c r="I937" s="221" t="n"/>
    </row>
    <row r="938" ht="15" customHeight="1" s="131">
      <c r="A938" s="220" t="n"/>
      <c r="B938" s="222" t="n"/>
      <c r="C938" s="222" t="n"/>
      <c r="D938" s="220" t="n"/>
      <c r="E938" s="220" t="n"/>
      <c r="F938" s="181" t="n"/>
      <c r="G938" s="219" t="n"/>
      <c r="H938" s="220" t="n"/>
      <c r="I938" s="221" t="n"/>
    </row>
    <row r="939" ht="15" customHeight="1" s="131">
      <c r="A939" s="220" t="n"/>
      <c r="B939" s="222" t="n"/>
      <c r="C939" s="222" t="n"/>
      <c r="D939" s="220" t="n"/>
      <c r="E939" s="220" t="n"/>
      <c r="F939" s="181" t="n"/>
      <c r="G939" s="219" t="n"/>
      <c r="H939" s="220" t="n"/>
      <c r="I939" s="221" t="n"/>
    </row>
    <row r="940" ht="15" customHeight="1" s="131">
      <c r="A940" s="220" t="n"/>
      <c r="B940" s="222" t="n"/>
      <c r="C940" s="222" t="n"/>
      <c r="D940" s="220" t="n"/>
      <c r="E940" s="220" t="n"/>
      <c r="F940" s="181" t="n"/>
      <c r="G940" s="219" t="n"/>
      <c r="H940" s="220" t="n"/>
      <c r="I940" s="221" t="n"/>
    </row>
    <row r="941" ht="15" customHeight="1" s="131">
      <c r="A941" s="220" t="n"/>
      <c r="B941" s="222" t="n"/>
      <c r="C941" s="222" t="n"/>
      <c r="D941" s="220" t="n"/>
      <c r="E941" s="220" t="n"/>
      <c r="F941" s="181" t="n"/>
      <c r="G941" s="219" t="n"/>
      <c r="H941" s="220" t="n"/>
      <c r="I941" s="221" t="n"/>
    </row>
    <row r="942" ht="15" customHeight="1" s="131">
      <c r="A942" s="220" t="n"/>
      <c r="B942" s="222" t="n"/>
      <c r="C942" s="222" t="n"/>
      <c r="D942" s="220" t="n"/>
      <c r="E942" s="220" t="n"/>
      <c r="F942" s="181" t="n"/>
      <c r="G942" s="219" t="n"/>
      <c r="H942" s="220" t="n"/>
      <c r="I942" s="221" t="n"/>
    </row>
    <row r="943" ht="15" customHeight="1" s="131">
      <c r="A943" s="220" t="n"/>
      <c r="B943" s="222" t="n"/>
      <c r="C943" s="222" t="n"/>
      <c r="D943" s="220" t="n"/>
      <c r="E943" s="220" t="n"/>
      <c r="F943" s="181" t="n"/>
      <c r="G943" s="219" t="n"/>
      <c r="H943" s="220" t="n"/>
      <c r="I943" s="221" t="n"/>
    </row>
    <row r="944" ht="15" customHeight="1" s="131">
      <c r="A944" s="220" t="n"/>
      <c r="B944" s="222" t="n"/>
      <c r="C944" s="222" t="n"/>
      <c r="D944" s="220" t="n"/>
      <c r="E944" s="220" t="n"/>
      <c r="F944" s="181" t="n"/>
      <c r="G944" s="219" t="n"/>
      <c r="H944" s="220" t="n"/>
      <c r="I944" s="221" t="n"/>
    </row>
    <row r="945" ht="15" customHeight="1" s="131">
      <c r="A945" s="220" t="n"/>
      <c r="B945" s="222" t="n"/>
      <c r="C945" s="222" t="n"/>
      <c r="D945" s="220" t="n"/>
      <c r="E945" s="220" t="n"/>
      <c r="F945" s="181" t="n"/>
      <c r="G945" s="219" t="n"/>
      <c r="H945" s="220" t="n"/>
      <c r="I945" s="221" t="n"/>
    </row>
    <row r="946" ht="15" customHeight="1" s="131">
      <c r="A946" s="220" t="n"/>
      <c r="B946" s="222" t="n"/>
      <c r="C946" s="222" t="n"/>
      <c r="D946" s="220" t="n"/>
      <c r="E946" s="220" t="n"/>
      <c r="F946" s="181" t="n"/>
      <c r="G946" s="219" t="n"/>
      <c r="H946" s="220" t="n"/>
      <c r="I946" s="221" t="n"/>
    </row>
    <row r="947" ht="15" customHeight="1" s="131">
      <c r="A947" s="220" t="n"/>
      <c r="B947" s="222" t="n"/>
      <c r="C947" s="222" t="n"/>
      <c r="D947" s="220" t="n"/>
      <c r="E947" s="220" t="n"/>
      <c r="F947" s="181" t="n"/>
      <c r="G947" s="219" t="n"/>
      <c r="H947" s="220" t="n"/>
      <c r="I947" s="221" t="n"/>
    </row>
    <row r="948" ht="15" customHeight="1" s="131">
      <c r="A948" s="220" t="n"/>
      <c r="B948" s="222" t="n"/>
      <c r="C948" s="222" t="n"/>
      <c r="D948" s="220" t="n"/>
      <c r="E948" s="220" t="n"/>
      <c r="F948" s="181" t="n"/>
      <c r="G948" s="219" t="n"/>
      <c r="H948" s="220" t="n"/>
      <c r="I948" s="221" t="n"/>
    </row>
    <row r="949" ht="15" customHeight="1" s="131">
      <c r="A949" s="220" t="n"/>
      <c r="B949" s="222" t="n"/>
      <c r="C949" s="222" t="n"/>
      <c r="D949" s="220" t="n"/>
      <c r="E949" s="220" t="n"/>
      <c r="F949" s="181" t="n"/>
      <c r="G949" s="219" t="n"/>
      <c r="H949" s="220" t="n"/>
      <c r="I949" s="221" t="n"/>
    </row>
    <row r="950" ht="15" customHeight="1" s="131">
      <c r="A950" s="220" t="n"/>
      <c r="B950" s="222" t="n"/>
      <c r="C950" s="222" t="n"/>
      <c r="D950" s="220" t="n"/>
      <c r="E950" s="220" t="n"/>
      <c r="F950" s="181" t="n"/>
      <c r="G950" s="219" t="n"/>
      <c r="H950" s="220" t="n"/>
      <c r="I950" s="221" t="n"/>
    </row>
    <row r="951" ht="15" customHeight="1" s="131">
      <c r="A951" s="220" t="n"/>
      <c r="B951" s="222" t="n"/>
      <c r="C951" s="222" t="n"/>
      <c r="D951" s="220" t="n"/>
      <c r="E951" s="220" t="n"/>
      <c r="F951" s="181" t="n"/>
      <c r="G951" s="219" t="n"/>
      <c r="H951" s="220" t="n"/>
      <c r="I951" s="221" t="n"/>
    </row>
    <row r="952" ht="15" customHeight="1" s="131">
      <c r="A952" s="220" t="n"/>
      <c r="B952" s="222" t="n"/>
      <c r="C952" s="222" t="n"/>
      <c r="D952" s="220" t="n"/>
      <c r="E952" s="220" t="n"/>
      <c r="F952" s="181" t="n"/>
      <c r="G952" s="219" t="n"/>
      <c r="H952" s="220" t="n"/>
      <c r="I952" s="221" t="n"/>
    </row>
    <row r="953" ht="15" customHeight="1" s="131">
      <c r="A953" s="220" t="n"/>
      <c r="B953" s="222" t="n"/>
      <c r="C953" s="222" t="n"/>
      <c r="D953" s="220" t="n"/>
      <c r="E953" s="220" t="n"/>
      <c r="F953" s="181" t="n"/>
      <c r="G953" s="219" t="n"/>
      <c r="H953" s="220" t="n"/>
      <c r="I953" s="221" t="n"/>
    </row>
    <row r="954" ht="15" customHeight="1" s="131">
      <c r="A954" s="220" t="n"/>
      <c r="B954" s="222" t="n"/>
      <c r="C954" s="222" t="n"/>
      <c r="D954" s="220" t="n"/>
      <c r="E954" s="220" t="n"/>
      <c r="F954" s="181" t="n"/>
      <c r="G954" s="219" t="n"/>
      <c r="H954" s="220" t="n"/>
      <c r="I954" s="221" t="n"/>
    </row>
    <row r="955" ht="15" customHeight="1" s="131">
      <c r="A955" s="220" t="n"/>
      <c r="B955" s="222" t="n"/>
      <c r="C955" s="222" t="n"/>
      <c r="D955" s="220" t="n"/>
      <c r="E955" s="220" t="n"/>
      <c r="F955" s="181" t="n"/>
      <c r="G955" s="219" t="n"/>
      <c r="H955" s="220" t="n"/>
      <c r="I955" s="221" t="n"/>
    </row>
    <row r="956" ht="15" customHeight="1" s="131">
      <c r="A956" s="220" t="n"/>
      <c r="B956" s="222" t="n"/>
      <c r="C956" s="222" t="n"/>
      <c r="D956" s="220" t="n"/>
      <c r="E956" s="220" t="n"/>
      <c r="F956" s="181" t="n"/>
      <c r="G956" s="219" t="n"/>
      <c r="H956" s="220" t="n"/>
      <c r="I956" s="221" t="n"/>
    </row>
    <row r="957" ht="15" customHeight="1" s="131">
      <c r="A957" s="220" t="n"/>
      <c r="B957" s="222" t="n"/>
      <c r="C957" s="222" t="n"/>
      <c r="D957" s="220" t="n"/>
      <c r="E957" s="220" t="n"/>
      <c r="F957" s="181" t="n"/>
      <c r="G957" s="219" t="n"/>
      <c r="H957" s="220" t="n"/>
      <c r="I957" s="221" t="n"/>
    </row>
    <row r="958" ht="15" customHeight="1" s="131">
      <c r="A958" s="220" t="n"/>
      <c r="B958" s="222" t="n"/>
      <c r="C958" s="222" t="n"/>
      <c r="D958" s="220" t="n"/>
      <c r="E958" s="220" t="n"/>
      <c r="F958" s="181" t="n"/>
      <c r="G958" s="219" t="n"/>
      <c r="H958" s="220" t="n"/>
      <c r="I958" s="221" t="n"/>
    </row>
    <row r="959" ht="15" customHeight="1" s="131">
      <c r="A959" s="220" t="n"/>
      <c r="B959" s="222" t="n"/>
      <c r="C959" s="222" t="n"/>
      <c r="D959" s="220" t="n"/>
      <c r="E959" s="220" t="n"/>
      <c r="F959" s="181" t="n"/>
      <c r="G959" s="219" t="n"/>
      <c r="H959" s="220" t="n"/>
      <c r="I959" s="221" t="n"/>
    </row>
    <row r="960" ht="15" customHeight="1" s="131">
      <c r="A960" s="220" t="n"/>
      <c r="B960" s="222" t="n"/>
      <c r="C960" s="222" t="n"/>
      <c r="D960" s="220" t="n"/>
      <c r="E960" s="220" t="n"/>
      <c r="F960" s="181" t="n"/>
      <c r="G960" s="219" t="n"/>
      <c r="H960" s="220" t="n"/>
      <c r="I960" s="221" t="n"/>
    </row>
    <row r="961" ht="15" customHeight="1" s="131">
      <c r="A961" s="220" t="n"/>
      <c r="B961" s="222" t="n"/>
      <c r="C961" s="222" t="n"/>
      <c r="D961" s="220" t="n"/>
      <c r="E961" s="220" t="n"/>
      <c r="F961" s="181" t="n"/>
      <c r="G961" s="219" t="n"/>
      <c r="H961" s="220" t="n"/>
      <c r="I961" s="221" t="n"/>
    </row>
    <row r="962" ht="15" customHeight="1" s="131">
      <c r="A962" s="220" t="n"/>
      <c r="B962" s="222" t="n"/>
      <c r="C962" s="222" t="n"/>
      <c r="D962" s="220" t="n"/>
      <c r="E962" s="220" t="n"/>
      <c r="F962" s="181" t="n"/>
      <c r="G962" s="219" t="n"/>
      <c r="H962" s="220" t="n"/>
      <c r="I962" s="221" t="n"/>
    </row>
    <row r="963" ht="15" customHeight="1" s="131">
      <c r="A963" s="220" t="n"/>
      <c r="B963" s="222" t="n"/>
      <c r="C963" s="222" t="n"/>
      <c r="D963" s="220" t="n"/>
      <c r="E963" s="220" t="n"/>
      <c r="F963" s="181" t="n"/>
      <c r="G963" s="219" t="n"/>
      <c r="H963" s="220" t="n"/>
      <c r="I963" s="221" t="n"/>
    </row>
    <row r="964" ht="15" customHeight="1" s="131">
      <c r="A964" s="220" t="n"/>
      <c r="B964" s="222" t="n"/>
      <c r="C964" s="222" t="n"/>
      <c r="D964" s="220" t="n"/>
      <c r="E964" s="220" t="n"/>
      <c r="F964" s="181" t="n"/>
      <c r="G964" s="219" t="n"/>
      <c r="H964" s="220" t="n"/>
      <c r="I964" s="221" t="n"/>
    </row>
    <row r="965" ht="15" customHeight="1" s="131">
      <c r="A965" s="220" t="n"/>
      <c r="B965" s="222" t="n"/>
      <c r="C965" s="222" t="n"/>
      <c r="D965" s="220" t="n"/>
      <c r="E965" s="220" t="n"/>
      <c r="F965" s="181" t="n"/>
      <c r="G965" s="219" t="n"/>
      <c r="H965" s="220" t="n"/>
      <c r="I965" s="221" t="n"/>
    </row>
    <row r="966" ht="15" customHeight="1" s="131">
      <c r="A966" s="220" t="n"/>
      <c r="B966" s="222" t="n"/>
      <c r="C966" s="222" t="n"/>
      <c r="D966" s="220" t="n"/>
      <c r="E966" s="220" t="n"/>
      <c r="F966" s="181" t="n"/>
      <c r="G966" s="219" t="n"/>
      <c r="H966" s="220" t="n"/>
      <c r="I966" s="221" t="n"/>
    </row>
    <row r="967" ht="15" customHeight="1" s="131">
      <c r="A967" s="220" t="n"/>
      <c r="B967" s="222" t="n"/>
      <c r="C967" s="222" t="n"/>
      <c r="D967" s="220" t="n"/>
      <c r="E967" s="220" t="n"/>
      <c r="F967" s="181" t="n"/>
      <c r="G967" s="219" t="n"/>
      <c r="H967" s="220" t="n"/>
      <c r="I967" s="221" t="n"/>
    </row>
    <row r="968" ht="15" customHeight="1" s="131">
      <c r="A968" s="220" t="n"/>
      <c r="B968" s="222" t="n"/>
      <c r="C968" s="222" t="n"/>
      <c r="D968" s="220" t="n"/>
      <c r="E968" s="220" t="n"/>
      <c r="F968" s="181" t="n"/>
      <c r="G968" s="219" t="n"/>
      <c r="H968" s="220" t="n"/>
      <c r="I968" s="221" t="n"/>
    </row>
    <row r="969" ht="15" customHeight="1" s="131">
      <c r="A969" s="220" t="n"/>
      <c r="B969" s="222" t="n"/>
      <c r="C969" s="222" t="n"/>
      <c r="D969" s="220" t="n"/>
      <c r="E969" s="220" t="n"/>
      <c r="F969" s="181" t="n"/>
      <c r="G969" s="219" t="n"/>
      <c r="H969" s="220" t="n"/>
      <c r="I969" s="221" t="n"/>
    </row>
    <row r="970" ht="15" customHeight="1" s="131">
      <c r="A970" s="220" t="n"/>
      <c r="B970" s="222" t="n"/>
      <c r="C970" s="222" t="n"/>
      <c r="D970" s="220" t="n"/>
      <c r="E970" s="220" t="n"/>
      <c r="F970" s="181" t="n"/>
      <c r="G970" s="219" t="n"/>
      <c r="H970" s="220" t="n"/>
      <c r="I970" s="221" t="n"/>
    </row>
    <row r="971" ht="15" customHeight="1" s="131">
      <c r="A971" s="220" t="n"/>
      <c r="B971" s="222" t="n"/>
      <c r="C971" s="222" t="n"/>
      <c r="D971" s="220" t="n"/>
      <c r="E971" s="220" t="n"/>
      <c r="F971" s="181" t="n"/>
      <c r="G971" s="219" t="n"/>
      <c r="H971" s="220" t="n"/>
      <c r="I971" s="221" t="n"/>
    </row>
    <row r="972" ht="15" customHeight="1" s="131">
      <c r="A972" s="220" t="n"/>
      <c r="B972" s="222" t="n"/>
      <c r="C972" s="222" t="n"/>
      <c r="D972" s="220" t="n"/>
      <c r="E972" s="220" t="n"/>
      <c r="F972" s="181" t="n"/>
      <c r="G972" s="219" t="n"/>
      <c r="H972" s="220" t="n"/>
      <c r="I972" s="221" t="n"/>
    </row>
    <row r="973" ht="15" customHeight="1" s="131">
      <c r="A973" s="220" t="n"/>
      <c r="B973" s="222" t="n"/>
      <c r="C973" s="222" t="n"/>
      <c r="D973" s="220" t="n"/>
      <c r="E973" s="220" t="n"/>
      <c r="F973" s="181" t="n"/>
      <c r="G973" s="219" t="n"/>
      <c r="H973" s="220" t="n"/>
      <c r="I973" s="221" t="n"/>
    </row>
    <row r="974" ht="15" customHeight="1" s="131">
      <c r="A974" s="220" t="n"/>
      <c r="B974" s="222" t="n"/>
      <c r="C974" s="222" t="n"/>
      <c r="D974" s="220" t="n"/>
      <c r="E974" s="220" t="n"/>
      <c r="F974" s="181" t="n"/>
      <c r="G974" s="219" t="n"/>
      <c r="H974" s="220" t="n"/>
      <c r="I974" s="221" t="n"/>
    </row>
    <row r="975" ht="15" customHeight="1" s="131">
      <c r="A975" s="220" t="n"/>
      <c r="B975" s="222" t="n"/>
      <c r="C975" s="222" t="n"/>
      <c r="D975" s="220" t="n"/>
      <c r="E975" s="220" t="n"/>
      <c r="F975" s="181" t="n"/>
      <c r="G975" s="219" t="n"/>
      <c r="H975" s="220" t="n"/>
      <c r="I975" s="221" t="n"/>
    </row>
    <row r="976" ht="15" customHeight="1" s="131">
      <c r="A976" s="220" t="n"/>
      <c r="B976" s="222" t="n"/>
      <c r="C976" s="222" t="n"/>
      <c r="D976" s="220" t="n"/>
      <c r="E976" s="220" t="n"/>
      <c r="F976" s="181" t="n"/>
      <c r="G976" s="219" t="n"/>
      <c r="H976" s="220" t="n"/>
      <c r="I976" s="221" t="n"/>
    </row>
    <row r="977" ht="15" customHeight="1" s="131">
      <c r="A977" s="220" t="n"/>
      <c r="B977" s="222" t="n"/>
      <c r="C977" s="222" t="n"/>
      <c r="D977" s="220" t="n"/>
      <c r="E977" s="220" t="n"/>
      <c r="F977" s="181" t="n"/>
      <c r="G977" s="219" t="n"/>
      <c r="H977" s="220" t="n"/>
      <c r="I977" s="221" t="n"/>
    </row>
    <row r="978" ht="15" customHeight="1" s="131">
      <c r="A978" s="220" t="n"/>
      <c r="B978" s="222" t="n"/>
      <c r="C978" s="222" t="n"/>
      <c r="D978" s="220" t="n"/>
      <c r="E978" s="220" t="n"/>
      <c r="F978" s="181" t="n"/>
      <c r="G978" s="219" t="n"/>
      <c r="H978" s="220" t="n"/>
      <c r="I978" s="221" t="n"/>
    </row>
    <row r="979" ht="15" customHeight="1" s="131">
      <c r="A979" s="220" t="n"/>
      <c r="B979" s="222" t="n"/>
      <c r="C979" s="222" t="n"/>
      <c r="D979" s="220" t="n"/>
      <c r="E979" s="220" t="n"/>
      <c r="F979" s="181" t="n"/>
      <c r="G979" s="219" t="n"/>
      <c r="H979" s="220" t="n"/>
      <c r="I979" s="221" t="n"/>
    </row>
    <row r="980" ht="15" customHeight="1" s="131">
      <c r="A980" s="220" t="n"/>
      <c r="B980" s="222" t="n"/>
      <c r="C980" s="222" t="n"/>
      <c r="D980" s="220" t="n"/>
      <c r="E980" s="220" t="n"/>
      <c r="F980" s="181" t="n"/>
      <c r="G980" s="219" t="n"/>
      <c r="H980" s="220" t="n"/>
      <c r="I980" s="221" t="n"/>
    </row>
    <row r="981" ht="15" customHeight="1" s="131">
      <c r="A981" s="220" t="n"/>
      <c r="B981" s="222" t="n"/>
      <c r="C981" s="222" t="n"/>
      <c r="D981" s="220" t="n"/>
      <c r="E981" s="220" t="n"/>
      <c r="F981" s="181" t="n"/>
      <c r="G981" s="219" t="n"/>
      <c r="H981" s="220" t="n"/>
      <c r="I981" s="221" t="n"/>
    </row>
    <row r="982" ht="15" customHeight="1" s="131">
      <c r="A982" s="220" t="n"/>
      <c r="B982" s="222" t="n"/>
      <c r="C982" s="222" t="n"/>
      <c r="D982" s="220" t="n"/>
      <c r="E982" s="220" t="n"/>
      <c r="F982" s="181" t="n"/>
      <c r="G982" s="219" t="n"/>
      <c r="H982" s="220" t="n"/>
      <c r="I982" s="221" t="n"/>
    </row>
    <row r="983" ht="15" customHeight="1" s="131">
      <c r="A983" s="220" t="n"/>
      <c r="B983" s="222" t="n"/>
      <c r="C983" s="222" t="n"/>
      <c r="D983" s="220" t="n"/>
      <c r="E983" s="220" t="n"/>
      <c r="F983" s="181" t="n"/>
      <c r="G983" s="219" t="n"/>
      <c r="H983" s="220" t="n"/>
      <c r="I983" s="221" t="n"/>
    </row>
    <row r="984" ht="15" customHeight="1" s="131">
      <c r="A984" s="220" t="n"/>
      <c r="B984" s="222" t="n"/>
      <c r="C984" s="222" t="n"/>
      <c r="D984" s="220" t="n"/>
      <c r="E984" s="220" t="n"/>
      <c r="F984" s="181" t="n"/>
      <c r="G984" s="219" t="n"/>
      <c r="H984" s="220" t="n"/>
      <c r="I984" s="221" t="n"/>
    </row>
    <row r="985" ht="15" customHeight="1" s="131">
      <c r="A985" s="220" t="n"/>
      <c r="B985" s="222" t="n"/>
      <c r="C985" s="222" t="n"/>
      <c r="D985" s="220" t="n"/>
      <c r="E985" s="220" t="n"/>
      <c r="F985" s="181" t="n"/>
      <c r="G985" s="219" t="n"/>
      <c r="H985" s="220" t="n"/>
      <c r="I985" s="221" t="n"/>
    </row>
    <row r="986" ht="15" customHeight="1" s="131">
      <c r="A986" s="220" t="n"/>
      <c r="B986" s="222" t="n"/>
      <c r="C986" s="222" t="n"/>
      <c r="D986" s="220" t="n"/>
      <c r="E986" s="220" t="n"/>
      <c r="F986" s="181" t="n"/>
      <c r="G986" s="219" t="n"/>
      <c r="H986" s="220" t="n"/>
      <c r="I986" s="221" t="n"/>
    </row>
    <row r="987" ht="15" customHeight="1" s="131">
      <c r="A987" s="220" t="n"/>
      <c r="B987" s="222" t="n"/>
      <c r="C987" s="222" t="n"/>
      <c r="D987" s="220" t="n"/>
      <c r="E987" s="220" t="n"/>
      <c r="F987" s="181" t="n"/>
      <c r="G987" s="219" t="n"/>
      <c r="H987" s="220" t="n"/>
      <c r="I987" s="221" t="n"/>
    </row>
    <row r="988" ht="15" customHeight="1" s="131">
      <c r="A988" s="220" t="n"/>
      <c r="B988" s="222" t="n"/>
      <c r="C988" s="222" t="n"/>
      <c r="D988" s="220" t="n"/>
      <c r="E988" s="220" t="n"/>
      <c r="F988" s="181" t="n"/>
      <c r="G988" s="219" t="n"/>
      <c r="H988" s="220" t="n"/>
      <c r="I988" s="221" t="n"/>
    </row>
    <row r="989" ht="15" customHeight="1" s="131">
      <c r="A989" s="220" t="n"/>
      <c r="B989" s="222" t="n"/>
      <c r="C989" s="222" t="n"/>
      <c r="D989" s="220" t="n"/>
      <c r="E989" s="220" t="n"/>
      <c r="F989" s="181" t="n"/>
      <c r="G989" s="219" t="n"/>
      <c r="H989" s="220" t="n"/>
      <c r="I989" s="221" t="n"/>
    </row>
    <row r="990" ht="15" customHeight="1" s="131">
      <c r="A990" s="220" t="n"/>
      <c r="B990" s="222" t="n"/>
      <c r="C990" s="222" t="n"/>
      <c r="D990" s="220" t="n"/>
      <c r="E990" s="220" t="n"/>
      <c r="F990" s="181" t="n"/>
      <c r="G990" s="219" t="n"/>
      <c r="H990" s="220" t="n"/>
      <c r="I990" s="221" t="n"/>
    </row>
    <row r="991" ht="15" customHeight="1" s="131">
      <c r="A991" s="220" t="n"/>
      <c r="B991" s="222" t="n"/>
      <c r="C991" s="222" t="n"/>
      <c r="D991" s="220" t="n"/>
      <c r="E991" s="220" t="n"/>
      <c r="F991" s="181" t="n"/>
      <c r="G991" s="219" t="n"/>
      <c r="H991" s="220" t="n"/>
      <c r="I991" s="221" t="n"/>
    </row>
    <row r="992" ht="15" customHeight="1" s="131">
      <c r="A992" s="220" t="n"/>
      <c r="B992" s="222" t="n"/>
      <c r="C992" s="222" t="n"/>
      <c r="D992" s="220" t="n"/>
      <c r="E992" s="220" t="n"/>
      <c r="F992" s="181" t="n"/>
      <c r="G992" s="219" t="n"/>
      <c r="H992" s="220" t="n"/>
      <c r="I992" s="221" t="n"/>
    </row>
    <row r="993" ht="15" customHeight="1" s="131">
      <c r="A993" s="220" t="n"/>
      <c r="B993" s="222" t="n"/>
      <c r="C993" s="222" t="n"/>
      <c r="D993" s="220" t="n"/>
      <c r="E993" s="220" t="n"/>
      <c r="F993" s="181" t="n"/>
      <c r="G993" s="219" t="n"/>
      <c r="H993" s="220" t="n"/>
      <c r="I993" s="221" t="n"/>
    </row>
    <row r="994" ht="15" customHeight="1" s="131">
      <c r="A994" s="220" t="n"/>
      <c r="B994" s="222" t="n"/>
      <c r="C994" s="222" t="n"/>
      <c r="D994" s="220" t="n"/>
      <c r="E994" s="220" t="n"/>
      <c r="F994" s="181" t="n"/>
      <c r="G994" s="219" t="n"/>
      <c r="H994" s="220" t="n"/>
      <c r="I994" s="221" t="n"/>
    </row>
    <row r="995" ht="15" customHeight="1" s="131">
      <c r="A995" s="220" t="n"/>
      <c r="B995" s="222" t="n"/>
      <c r="C995" s="222" t="n"/>
      <c r="D995" s="220" t="n"/>
      <c r="E995" s="220" t="n"/>
      <c r="F995" s="181" t="n"/>
      <c r="G995" s="219" t="n"/>
      <c r="H995" s="220" t="n"/>
      <c r="I995" s="221" t="n"/>
    </row>
    <row r="996" ht="15" customHeight="1" s="131">
      <c r="A996" s="220" t="n"/>
      <c r="B996" s="222" t="n"/>
      <c r="C996" s="222" t="n"/>
      <c r="D996" s="220" t="n"/>
      <c r="E996" s="220" t="n"/>
      <c r="F996" s="181" t="n"/>
      <c r="G996" s="219" t="n"/>
      <c r="H996" s="220" t="n"/>
      <c r="I996" s="221" t="n"/>
    </row>
    <row r="997" ht="15" customHeight="1" s="131">
      <c r="A997" s="220" t="n"/>
      <c r="B997" s="222" t="n"/>
      <c r="C997" s="222" t="n"/>
      <c r="D997" s="220" t="n"/>
      <c r="E997" s="220" t="n"/>
      <c r="F997" s="181" t="n"/>
      <c r="G997" s="219" t="n"/>
      <c r="H997" s="220" t="n"/>
      <c r="I997" s="221" t="n"/>
    </row>
    <row r="998" ht="15" customHeight="1" s="131">
      <c r="A998" s="220" t="n"/>
      <c r="B998" s="222" t="n"/>
      <c r="C998" s="222" t="n"/>
      <c r="D998" s="220" t="n"/>
      <c r="E998" s="220" t="n"/>
      <c r="F998" s="181" t="n"/>
      <c r="G998" s="219" t="n"/>
      <c r="H998" s="220" t="n"/>
      <c r="I998" s="221" t="n"/>
    </row>
    <row r="999" ht="15" customHeight="1" s="131">
      <c r="A999" s="220" t="n"/>
      <c r="B999" s="222" t="n"/>
      <c r="C999" s="222" t="n"/>
      <c r="D999" s="220" t="n"/>
      <c r="E999" s="220" t="n"/>
      <c r="F999" s="181" t="n"/>
      <c r="G999" s="219" t="n"/>
      <c r="H999" s="220" t="n"/>
      <c r="I999" s="221" t="n"/>
    </row>
    <row r="1000" ht="15" customHeight="1" s="131">
      <c r="A1000" s="220" t="n"/>
      <c r="B1000" s="222" t="n"/>
      <c r="C1000" s="222" t="n"/>
      <c r="D1000" s="220" t="n"/>
      <c r="E1000" s="220" t="n"/>
      <c r="F1000" s="181" t="n"/>
      <c r="G1000" s="219" t="n"/>
      <c r="H1000" s="220" t="n"/>
      <c r="I1000" s="221" t="n"/>
    </row>
    <row r="1001" ht="15" customHeight="1" s="131">
      <c r="A1001" s="220" t="n"/>
      <c r="B1001" s="222" t="n"/>
      <c r="C1001" s="222" t="n"/>
      <c r="D1001" s="220" t="n"/>
      <c r="E1001" s="220" t="n"/>
      <c r="F1001" s="181" t="n"/>
      <c r="G1001" s="219" t="n"/>
      <c r="H1001" s="220" t="n"/>
      <c r="I1001" s="221" t="n"/>
    </row>
    <row r="1002" ht="15" customHeight="1" s="131">
      <c r="A1002" s="220" t="n"/>
      <c r="B1002" s="222" t="n"/>
      <c r="C1002" s="222" t="n"/>
      <c r="D1002" s="220" t="n"/>
      <c r="E1002" s="220" t="n"/>
      <c r="F1002" s="181" t="n"/>
      <c r="G1002" s="219" t="n"/>
      <c r="H1002" s="220" t="n"/>
      <c r="I1002" s="221" t="n"/>
    </row>
    <row r="1003" ht="15" customHeight="1" s="131">
      <c r="A1003" s="220" t="n"/>
      <c r="B1003" s="222" t="n"/>
      <c r="C1003" s="222" t="n"/>
      <c r="D1003" s="220" t="n"/>
      <c r="E1003" s="220" t="n"/>
      <c r="F1003" s="181" t="n"/>
      <c r="G1003" s="219" t="n"/>
      <c r="H1003" s="220" t="n"/>
      <c r="I1003" s="221" t="n"/>
    </row>
    <row r="1004" ht="15" customHeight="1" s="131">
      <c r="A1004" s="220" t="n"/>
      <c r="B1004" s="222" t="n"/>
      <c r="C1004" s="222" t="n"/>
      <c r="D1004" s="220" t="n"/>
      <c r="E1004" s="220" t="n"/>
      <c r="F1004" s="181" t="n"/>
      <c r="G1004" s="219" t="n"/>
      <c r="H1004" s="220" t="n"/>
      <c r="I1004" s="221" t="n"/>
    </row>
    <row r="1005" ht="15" customHeight="1" s="131">
      <c r="A1005" s="220" t="n"/>
      <c r="B1005" s="222" t="n"/>
      <c r="C1005" s="222" t="n"/>
      <c r="D1005" s="220" t="n"/>
      <c r="E1005" s="220" t="n"/>
      <c r="F1005" s="181" t="n"/>
      <c r="G1005" s="219" t="n"/>
      <c r="H1005" s="220" t="n"/>
      <c r="I1005" s="221" t="n"/>
    </row>
    <row r="1006" ht="15" customHeight="1" s="131">
      <c r="A1006" s="220" t="n"/>
      <c r="B1006" s="222" t="n"/>
      <c r="C1006" s="222" t="n"/>
      <c r="D1006" s="220" t="n"/>
      <c r="E1006" s="220" t="n"/>
      <c r="F1006" s="181" t="n"/>
      <c r="G1006" s="219" t="n"/>
      <c r="H1006" s="220" t="n"/>
      <c r="I1006" s="221" t="n"/>
    </row>
    <row r="1007" ht="15" customHeight="1" s="131">
      <c r="A1007" s="220" t="n"/>
      <c r="B1007" s="222" t="n"/>
      <c r="C1007" s="222" t="n"/>
      <c r="D1007" s="220" t="n"/>
      <c r="E1007" s="220" t="n"/>
      <c r="F1007" s="181" t="n"/>
      <c r="G1007" s="219" t="n"/>
      <c r="H1007" s="220" t="n"/>
      <c r="I1007" s="221" t="n"/>
    </row>
    <row r="1008" ht="15" customHeight="1" s="131">
      <c r="A1008" s="220" t="n"/>
      <c r="B1008" s="222" t="n"/>
      <c r="C1008" s="222" t="n"/>
      <c r="D1008" s="220" t="n"/>
      <c r="E1008" s="220" t="n"/>
      <c r="F1008" s="181" t="n"/>
      <c r="G1008" s="219" t="n"/>
      <c r="H1008" s="220" t="n"/>
      <c r="I1008" s="221" t="n"/>
    </row>
    <row r="1009" ht="15" customHeight="1" s="131">
      <c r="A1009" s="220" t="n"/>
      <c r="B1009" s="222" t="n"/>
      <c r="C1009" s="222" t="n"/>
      <c r="D1009" s="220" t="n"/>
      <c r="E1009" s="220" t="n"/>
      <c r="F1009" s="181" t="n"/>
      <c r="G1009" s="219" t="n"/>
      <c r="H1009" s="220" t="n"/>
      <c r="I1009" s="221" t="n"/>
    </row>
    <row r="1010" ht="15" customHeight="1" s="131">
      <c r="A1010" s="220" t="n"/>
      <c r="B1010" s="222" t="n"/>
      <c r="C1010" s="222" t="n"/>
      <c r="D1010" s="220" t="n"/>
      <c r="E1010" s="220" t="n"/>
      <c r="F1010" s="181" t="n"/>
      <c r="G1010" s="219" t="n"/>
      <c r="H1010" s="220" t="n"/>
      <c r="I1010" s="221" t="n"/>
    </row>
    <row r="1011" ht="15" customHeight="1" s="131">
      <c r="A1011" s="220" t="n"/>
      <c r="B1011" s="222" t="n"/>
      <c r="C1011" s="222" t="n"/>
      <c r="D1011" s="220" t="n"/>
      <c r="E1011" s="220" t="n"/>
      <c r="F1011" s="181" t="n"/>
      <c r="G1011" s="219" t="n"/>
      <c r="H1011" s="220" t="n"/>
      <c r="I1011" s="221" t="n"/>
    </row>
    <row r="1012" ht="15" customHeight="1" s="131">
      <c r="A1012" s="220" t="n"/>
      <c r="B1012" s="222" t="n"/>
      <c r="C1012" s="222" t="n"/>
      <c r="D1012" s="220" t="n"/>
      <c r="E1012" s="220" t="n"/>
      <c r="F1012" s="181" t="n"/>
      <c r="G1012" s="219" t="n"/>
      <c r="H1012" s="220" t="n"/>
      <c r="I1012" s="221" t="n"/>
    </row>
    <row r="1013" ht="15" customHeight="1" s="131">
      <c r="A1013" s="220" t="n"/>
      <c r="B1013" s="222" t="n"/>
      <c r="C1013" s="222" t="n"/>
      <c r="D1013" s="220" t="n"/>
      <c r="E1013" s="220" t="n"/>
      <c r="F1013" s="181" t="n"/>
      <c r="G1013" s="219" t="n"/>
      <c r="H1013" s="220" t="n"/>
      <c r="I1013" s="221" t="n"/>
    </row>
    <row r="1014" ht="15" customHeight="1" s="131">
      <c r="A1014" s="220" t="n"/>
      <c r="B1014" s="222" t="n"/>
      <c r="C1014" s="222" t="n"/>
      <c r="D1014" s="220" t="n"/>
      <c r="E1014" s="220" t="n"/>
      <c r="F1014" s="181" t="n"/>
      <c r="G1014" s="219" t="n"/>
      <c r="H1014" s="220" t="n"/>
      <c r="I1014" s="221" t="n"/>
    </row>
    <row r="1015" ht="15" customHeight="1" s="131">
      <c r="A1015" s="220" t="n"/>
      <c r="B1015" s="222" t="n"/>
      <c r="C1015" s="222" t="n"/>
      <c r="D1015" s="220" t="n"/>
      <c r="E1015" s="220" t="n"/>
      <c r="F1015" s="181" t="n"/>
      <c r="G1015" s="219" t="n"/>
      <c r="H1015" s="220" t="n"/>
      <c r="I1015" s="221" t="n"/>
    </row>
    <row r="1016" ht="15" customHeight="1" s="131">
      <c r="A1016" s="220" t="n"/>
      <c r="B1016" s="222" t="n"/>
      <c r="C1016" s="222" t="n"/>
      <c r="D1016" s="220" t="n"/>
      <c r="E1016" s="220" t="n"/>
      <c r="F1016" s="181" t="n"/>
      <c r="G1016" s="219" t="n"/>
      <c r="H1016" s="220" t="n"/>
      <c r="I1016" s="221" t="n"/>
    </row>
    <row r="1017" ht="15" customHeight="1" s="131">
      <c r="A1017" s="220" t="n"/>
      <c r="B1017" s="222" t="n"/>
      <c r="C1017" s="222" t="n"/>
      <c r="D1017" s="220" t="n"/>
      <c r="E1017" s="220" t="n"/>
      <c r="F1017" s="181" t="n"/>
      <c r="G1017" s="219" t="n"/>
      <c r="H1017" s="220" t="n"/>
      <c r="I1017" s="221" t="n"/>
    </row>
    <row r="1018" ht="15" customHeight="1" s="131">
      <c r="A1018" s="220" t="n"/>
      <c r="B1018" s="222" t="n"/>
      <c r="C1018" s="222" t="n"/>
      <c r="D1018" s="220" t="n"/>
      <c r="E1018" s="220" t="n"/>
      <c r="F1018" s="181" t="n"/>
      <c r="G1018" s="219" t="n"/>
      <c r="H1018" s="220" t="n"/>
      <c r="I1018" s="221" t="n"/>
    </row>
    <row r="1019" ht="15" customHeight="1" s="131">
      <c r="A1019" s="220" t="n"/>
      <c r="B1019" s="222" t="n"/>
      <c r="C1019" s="222" t="n"/>
      <c r="D1019" s="220" t="n"/>
      <c r="E1019" s="220" t="n"/>
      <c r="F1019" s="181" t="n"/>
      <c r="G1019" s="219" t="n"/>
      <c r="H1019" s="220" t="n"/>
      <c r="I1019" s="221" t="n"/>
    </row>
    <row r="1020" ht="15" customHeight="1" s="131">
      <c r="A1020" s="220" t="n"/>
      <c r="B1020" s="222" t="n"/>
      <c r="C1020" s="222" t="n"/>
      <c r="D1020" s="220" t="n"/>
      <c r="E1020" s="220" t="n"/>
      <c r="F1020" s="181" t="n"/>
      <c r="G1020" s="219" t="n"/>
      <c r="H1020" s="220" t="n"/>
      <c r="I1020" s="221" t="n"/>
    </row>
    <row r="1021" ht="15" customHeight="1" s="131">
      <c r="A1021" s="220" t="n"/>
      <c r="B1021" s="222" t="n"/>
      <c r="C1021" s="222" t="n"/>
      <c r="D1021" s="220" t="n"/>
      <c r="E1021" s="220" t="n"/>
      <c r="F1021" s="181" t="n"/>
      <c r="G1021" s="219" t="n"/>
      <c r="H1021" s="220" t="n"/>
      <c r="I1021" s="221" t="n"/>
    </row>
    <row r="1022" ht="15" customHeight="1" s="131">
      <c r="A1022" s="220" t="n"/>
      <c r="B1022" s="222" t="n"/>
      <c r="C1022" s="222" t="n"/>
      <c r="D1022" s="220" t="n"/>
      <c r="E1022" s="220" t="n"/>
      <c r="F1022" s="181" t="n"/>
      <c r="G1022" s="219" t="n"/>
      <c r="H1022" s="220" t="n"/>
      <c r="I1022" s="221" t="n"/>
    </row>
    <row r="1023" ht="15" customHeight="1" s="131">
      <c r="A1023" s="220" t="n"/>
      <c r="B1023" s="222" t="n"/>
      <c r="C1023" s="222" t="n"/>
      <c r="D1023" s="220" t="n"/>
      <c r="E1023" s="220" t="n"/>
      <c r="F1023" s="181" t="n"/>
      <c r="G1023" s="219" t="n"/>
      <c r="H1023" s="220" t="n"/>
      <c r="I1023" s="221" t="n"/>
    </row>
    <row r="1024" ht="15" customHeight="1" s="131">
      <c r="A1024" s="220" t="n"/>
      <c r="B1024" s="222" t="n"/>
      <c r="C1024" s="222" t="n"/>
      <c r="D1024" s="220" t="n"/>
      <c r="E1024" s="220" t="n"/>
      <c r="F1024" s="181" t="n"/>
      <c r="G1024" s="219" t="n"/>
      <c r="H1024" s="220" t="n"/>
      <c r="I1024" s="221" t="n"/>
    </row>
    <row r="1025" ht="15" customHeight="1" s="131">
      <c r="A1025" s="220" t="n"/>
      <c r="B1025" s="222" t="n"/>
      <c r="C1025" s="222" t="n"/>
      <c r="D1025" s="220" t="n"/>
      <c r="E1025" s="220" t="n"/>
      <c r="F1025" s="181" t="n"/>
      <c r="G1025" s="219" t="n"/>
      <c r="H1025" s="220" t="n"/>
      <c r="I1025" s="221" t="n"/>
    </row>
    <row r="1026" ht="15" customHeight="1" s="131">
      <c r="A1026" s="220" t="n"/>
      <c r="B1026" s="222" t="n"/>
      <c r="C1026" s="222" t="n"/>
      <c r="D1026" s="220" t="n"/>
      <c r="E1026" s="220" t="n"/>
      <c r="F1026" s="181" t="n"/>
      <c r="G1026" s="219" t="n"/>
      <c r="H1026" s="220" t="n"/>
      <c r="I1026" s="221" t="n"/>
    </row>
    <row r="1027" ht="15" customHeight="1" s="131">
      <c r="A1027" s="220" t="n"/>
      <c r="B1027" s="222" t="n"/>
      <c r="C1027" s="222" t="n"/>
      <c r="D1027" s="220" t="n"/>
      <c r="E1027" s="220" t="n"/>
      <c r="F1027" s="181" t="n"/>
      <c r="G1027" s="219" t="n"/>
      <c r="H1027" s="220" t="n"/>
      <c r="I1027" s="221" t="n"/>
    </row>
    <row r="1028" ht="15" customHeight="1" s="131">
      <c r="A1028" s="220" t="n"/>
      <c r="B1028" s="222" t="n"/>
      <c r="C1028" s="222" t="n"/>
      <c r="D1028" s="220" t="n"/>
      <c r="E1028" s="220" t="n"/>
      <c r="F1028" s="181" t="n"/>
      <c r="G1028" s="219" t="n"/>
      <c r="H1028" s="220" t="n"/>
      <c r="I1028" s="221" t="n"/>
    </row>
    <row r="1029" ht="15" customHeight="1" s="131">
      <c r="A1029" s="220" t="n"/>
      <c r="B1029" s="222" t="n"/>
      <c r="C1029" s="222" t="n"/>
      <c r="D1029" s="220" t="n"/>
      <c r="E1029" s="220" t="n"/>
      <c r="F1029" s="181" t="n"/>
      <c r="G1029" s="219" t="n"/>
      <c r="H1029" s="220" t="n"/>
      <c r="I1029" s="221" t="n"/>
    </row>
    <row r="1030" ht="15" customHeight="1" s="131">
      <c r="A1030" s="220" t="n"/>
      <c r="B1030" s="222" t="n"/>
      <c r="C1030" s="222" t="n"/>
      <c r="D1030" s="220" t="n"/>
      <c r="E1030" s="220" t="n"/>
      <c r="F1030" s="181" t="n"/>
      <c r="G1030" s="219" t="n"/>
      <c r="H1030" s="220" t="n"/>
      <c r="I1030" s="221" t="n"/>
    </row>
    <row r="1031" ht="15" customHeight="1" s="131">
      <c r="A1031" s="220" t="n"/>
      <c r="B1031" s="222" t="n"/>
      <c r="C1031" s="222" t="n"/>
      <c r="D1031" s="220" t="n"/>
      <c r="E1031" s="220" t="n"/>
      <c r="F1031" s="181" t="n"/>
      <c r="G1031" s="219" t="n"/>
      <c r="H1031" s="220" t="n"/>
      <c r="I1031" s="221" t="n"/>
    </row>
    <row r="1032" ht="15" customHeight="1" s="131">
      <c r="A1032" s="220" t="n"/>
      <c r="B1032" s="222" t="n"/>
      <c r="C1032" s="222" t="n"/>
      <c r="D1032" s="220" t="n"/>
      <c r="E1032" s="220" t="n"/>
      <c r="F1032" s="181" t="n"/>
      <c r="G1032" s="219" t="n"/>
      <c r="H1032" s="220" t="n"/>
      <c r="I1032" s="221" t="n"/>
    </row>
    <row r="1033" ht="15" customHeight="1" s="131">
      <c r="A1033" s="220" t="n"/>
      <c r="B1033" s="222" t="n"/>
      <c r="C1033" s="222" t="n"/>
      <c r="D1033" s="220" t="n"/>
      <c r="E1033" s="220" t="n"/>
      <c r="F1033" s="181" t="n"/>
      <c r="G1033" s="219" t="n"/>
      <c r="H1033" s="220" t="n"/>
      <c r="I1033" s="221" t="n"/>
    </row>
    <row r="1034" ht="15" customHeight="1" s="131">
      <c r="A1034" s="220" t="n"/>
      <c r="B1034" s="222" t="n"/>
      <c r="C1034" s="222" t="n"/>
      <c r="D1034" s="220" t="n"/>
      <c r="E1034" s="220" t="n"/>
      <c r="F1034" s="181" t="n"/>
      <c r="G1034" s="219" t="n"/>
      <c r="H1034" s="220" t="n"/>
      <c r="I1034" s="221" t="n"/>
    </row>
    <row r="1035" ht="15" customHeight="1" s="131">
      <c r="A1035" s="220" t="n"/>
      <c r="B1035" s="222" t="n"/>
      <c r="C1035" s="222" t="n"/>
      <c r="D1035" s="220" t="n"/>
      <c r="E1035" s="220" t="n"/>
      <c r="F1035" s="181" t="n"/>
      <c r="G1035" s="219" t="n"/>
      <c r="H1035" s="220" t="n"/>
      <c r="I1035" s="221" t="n"/>
    </row>
    <row r="1036" ht="15" customHeight="1" s="131">
      <c r="A1036" s="220" t="n"/>
      <c r="B1036" s="222" t="n"/>
      <c r="C1036" s="222" t="n"/>
      <c r="D1036" s="220" t="n"/>
      <c r="E1036" s="220" t="n"/>
      <c r="F1036" s="181" t="n"/>
      <c r="G1036" s="219" t="n"/>
      <c r="H1036" s="220" t="n"/>
      <c r="I1036" s="221" t="n"/>
    </row>
    <row r="1037" ht="15" customHeight="1" s="131">
      <c r="A1037" s="220" t="n"/>
      <c r="B1037" s="222" t="n"/>
      <c r="C1037" s="222" t="n"/>
      <c r="D1037" s="220" t="n"/>
      <c r="E1037" s="220" t="n"/>
      <c r="F1037" s="181" t="n"/>
      <c r="G1037" s="219" t="n"/>
      <c r="H1037" s="220" t="n"/>
      <c r="I1037" s="221" t="n"/>
    </row>
    <row r="1038" ht="15" customHeight="1" s="131">
      <c r="A1038" s="220" t="n"/>
      <c r="B1038" s="222" t="n"/>
      <c r="C1038" s="222" t="n"/>
      <c r="D1038" s="220" t="n"/>
      <c r="E1038" s="220" t="n"/>
      <c r="F1038" s="181" t="n"/>
      <c r="G1038" s="219" t="n"/>
      <c r="H1038" s="220" t="n"/>
      <c r="I1038" s="221" t="n"/>
    </row>
    <row r="1039" ht="15" customHeight="1" s="131">
      <c r="A1039" s="220" t="n"/>
      <c r="B1039" s="222" t="n"/>
      <c r="C1039" s="222" t="n"/>
      <c r="D1039" s="220" t="n"/>
      <c r="E1039" s="220" t="n"/>
      <c r="F1039" s="181" t="n"/>
      <c r="G1039" s="219" t="n"/>
      <c r="H1039" s="220" t="n"/>
      <c r="I1039" s="221" t="n"/>
    </row>
    <row r="1040" ht="15" customHeight="1" s="131">
      <c r="A1040" s="220" t="n"/>
      <c r="B1040" s="222" t="n"/>
      <c r="C1040" s="222" t="n"/>
      <c r="D1040" s="220" t="n"/>
      <c r="E1040" s="220" t="n"/>
      <c r="F1040" s="181" t="n"/>
      <c r="G1040" s="219" t="n"/>
      <c r="H1040" s="220" t="n"/>
      <c r="I1040" s="221" t="n"/>
    </row>
    <row r="1041" ht="15" customHeight="1" s="131">
      <c r="A1041" s="220" t="n"/>
      <c r="B1041" s="222" t="n"/>
      <c r="C1041" s="222" t="n"/>
      <c r="D1041" s="220" t="n"/>
      <c r="E1041" s="220" t="n"/>
      <c r="F1041" s="181" t="n"/>
      <c r="G1041" s="219" t="n"/>
      <c r="H1041" s="220" t="n"/>
      <c r="I1041" s="221" t="n"/>
    </row>
    <row r="1042" ht="15" customHeight="1" s="131">
      <c r="A1042" s="220" t="n"/>
      <c r="B1042" s="222" t="n"/>
      <c r="C1042" s="222" t="n"/>
      <c r="D1042" s="220" t="n"/>
      <c r="E1042" s="220" t="n"/>
      <c r="F1042" s="181" t="n"/>
      <c r="G1042" s="219" t="n"/>
      <c r="H1042" s="220" t="n"/>
      <c r="I1042" s="221" t="n"/>
    </row>
    <row r="1043" ht="15" customHeight="1" s="131">
      <c r="A1043" s="220" t="n"/>
      <c r="B1043" s="222" t="n"/>
      <c r="C1043" s="222" t="n"/>
      <c r="D1043" s="220" t="n"/>
      <c r="E1043" s="220" t="n"/>
      <c r="F1043" s="181" t="n"/>
      <c r="G1043" s="219" t="n"/>
      <c r="H1043" s="220" t="n"/>
      <c r="I1043" s="221" t="n"/>
    </row>
    <row r="1044" ht="15" customHeight="1" s="131">
      <c r="A1044" s="220" t="n"/>
      <c r="B1044" s="222" t="n"/>
      <c r="C1044" s="222" t="n"/>
      <c r="D1044" s="220" t="n"/>
      <c r="E1044" s="220" t="n"/>
      <c r="F1044" s="181" t="n"/>
      <c r="G1044" s="219" t="n"/>
      <c r="H1044" s="220" t="n"/>
      <c r="I1044" s="221" t="n"/>
    </row>
    <row r="1045" ht="15" customHeight="1" s="131">
      <c r="A1045" s="220" t="n"/>
      <c r="B1045" s="222" t="n"/>
      <c r="C1045" s="222" t="n"/>
      <c r="D1045" s="220" t="n"/>
      <c r="E1045" s="220" t="n"/>
      <c r="F1045" s="181" t="n"/>
      <c r="G1045" s="219" t="n"/>
      <c r="H1045" s="220" t="n"/>
      <c r="I1045" s="221" t="n"/>
    </row>
    <row r="1046" ht="15" customHeight="1" s="131">
      <c r="A1046" s="220" t="n"/>
      <c r="B1046" s="222" t="n"/>
      <c r="C1046" s="222" t="n"/>
      <c r="D1046" s="220" t="n"/>
      <c r="E1046" s="220" t="n"/>
      <c r="F1046" s="181" t="n"/>
      <c r="G1046" s="219" t="n"/>
      <c r="H1046" s="220" t="n"/>
      <c r="I1046" s="221" t="n"/>
    </row>
    <row r="1047" ht="15" customHeight="1" s="131">
      <c r="A1047" s="220" t="n"/>
      <c r="B1047" s="222" t="n"/>
      <c r="C1047" s="222" t="n"/>
      <c r="D1047" s="220" t="n"/>
      <c r="E1047" s="220" t="n"/>
      <c r="F1047" s="181" t="n"/>
      <c r="G1047" s="219" t="n"/>
      <c r="H1047" s="220" t="n"/>
      <c r="I1047" s="221" t="n"/>
    </row>
    <row r="1048" ht="15" customHeight="1" s="131">
      <c r="A1048" s="220" t="n"/>
      <c r="B1048" s="222" t="n"/>
      <c r="C1048" s="222" t="n"/>
      <c r="D1048" s="220" t="n"/>
      <c r="E1048" s="220" t="n"/>
      <c r="F1048" s="181" t="n"/>
      <c r="G1048" s="219" t="n"/>
      <c r="H1048" s="220" t="n"/>
      <c r="I1048" s="221" t="n"/>
    </row>
    <row r="1049" ht="15" customHeight="1" s="131">
      <c r="A1049" s="220" t="n"/>
      <c r="B1049" s="222" t="n"/>
      <c r="C1049" s="222" t="n"/>
      <c r="D1049" s="220" t="n"/>
      <c r="E1049" s="220" t="n"/>
      <c r="F1049" s="181" t="n"/>
      <c r="G1049" s="219" t="n"/>
      <c r="H1049" s="220" t="n"/>
      <c r="I1049" s="221" t="n"/>
    </row>
    <row r="1050" ht="15" customHeight="1" s="131">
      <c r="A1050" s="220" t="n"/>
      <c r="B1050" s="222" t="n"/>
      <c r="C1050" s="222" t="n"/>
      <c r="D1050" s="220" t="n"/>
      <c r="E1050" s="220" t="n"/>
      <c r="F1050" s="181" t="n"/>
      <c r="G1050" s="219" t="n"/>
      <c r="H1050" s="220" t="n"/>
      <c r="I1050" s="221" t="n"/>
    </row>
    <row r="1051" ht="15" customHeight="1" s="131">
      <c r="A1051" s="220" t="n"/>
      <c r="B1051" s="222" t="n"/>
      <c r="C1051" s="222" t="n"/>
      <c r="D1051" s="220" t="n"/>
      <c r="E1051" s="220" t="n"/>
      <c r="F1051" s="181" t="n"/>
      <c r="G1051" s="219" t="n"/>
      <c r="H1051" s="220" t="n"/>
      <c r="I1051" s="221" t="n"/>
    </row>
    <row r="1052" ht="15" customHeight="1" s="131">
      <c r="A1052" s="220" t="n"/>
      <c r="B1052" s="222" t="n"/>
      <c r="C1052" s="222" t="n"/>
      <c r="D1052" s="220" t="n"/>
      <c r="E1052" s="220" t="n"/>
      <c r="F1052" s="181" t="n"/>
      <c r="G1052" s="219" t="n"/>
      <c r="H1052" s="220" t="n"/>
      <c r="I1052" s="221" t="n"/>
    </row>
    <row r="1053" ht="15" customHeight="1" s="131">
      <c r="A1053" s="220" t="n"/>
      <c r="B1053" s="222" t="n"/>
      <c r="C1053" s="222" t="n"/>
      <c r="D1053" s="220" t="n"/>
      <c r="E1053" s="220" t="n"/>
      <c r="F1053" s="181" t="n"/>
      <c r="G1053" s="219" t="n"/>
      <c r="H1053" s="220" t="n"/>
      <c r="I1053" s="221" t="n"/>
    </row>
    <row r="1054" ht="15" customHeight="1" s="131">
      <c r="A1054" s="220" t="n"/>
      <c r="B1054" s="222" t="n"/>
      <c r="C1054" s="222" t="n"/>
      <c r="D1054" s="220" t="n"/>
      <c r="E1054" s="220" t="n"/>
      <c r="F1054" s="181" t="n"/>
      <c r="G1054" s="219" t="n"/>
      <c r="H1054" s="220" t="n"/>
      <c r="I1054" s="221" t="n"/>
    </row>
    <row r="1055" ht="15" customHeight="1" s="131">
      <c r="A1055" s="220" t="n"/>
      <c r="B1055" s="222" t="n"/>
      <c r="C1055" s="222" t="n"/>
      <c r="D1055" s="220" t="n"/>
      <c r="E1055" s="220" t="n"/>
      <c r="F1055" s="181" t="n"/>
      <c r="G1055" s="219" t="n"/>
      <c r="H1055" s="220" t="n"/>
      <c r="I1055" s="221" t="n"/>
    </row>
    <row r="1056" ht="15" customHeight="1" s="131">
      <c r="A1056" s="220" t="n"/>
      <c r="B1056" s="222" t="n"/>
      <c r="C1056" s="222" t="n"/>
      <c r="D1056" s="220" t="n"/>
      <c r="E1056" s="220" t="n"/>
      <c r="F1056" s="181" t="n"/>
      <c r="G1056" s="219" t="n"/>
      <c r="H1056" s="220" t="n"/>
      <c r="I1056" s="221" t="n"/>
    </row>
    <row r="1057" ht="15" customHeight="1" s="131">
      <c r="A1057" s="220" t="n"/>
      <c r="B1057" s="222" t="n"/>
      <c r="C1057" s="222" t="n"/>
      <c r="D1057" s="220" t="n"/>
      <c r="E1057" s="220" t="n"/>
      <c r="F1057" s="181" t="n"/>
      <c r="G1057" s="219" t="n"/>
      <c r="H1057" s="220" t="n"/>
      <c r="I1057" s="221" t="n"/>
    </row>
    <row r="1058" ht="15" customHeight="1" s="131">
      <c r="A1058" s="220" t="n"/>
      <c r="B1058" s="222" t="n"/>
      <c r="C1058" s="222" t="n"/>
      <c r="D1058" s="220" t="n"/>
      <c r="E1058" s="220" t="n"/>
      <c r="F1058" s="181" t="n"/>
      <c r="G1058" s="219" t="n"/>
      <c r="H1058" s="220" t="n"/>
      <c r="I1058" s="221" t="n"/>
    </row>
    <row r="1059" ht="15" customHeight="1" s="131">
      <c r="A1059" s="220" t="n"/>
      <c r="B1059" s="222" t="n"/>
      <c r="C1059" s="222" t="n"/>
      <c r="D1059" s="220" t="n"/>
      <c r="E1059" s="220" t="n"/>
      <c r="F1059" s="181" t="n"/>
      <c r="G1059" s="219" t="n"/>
      <c r="H1059" s="220" t="n"/>
      <c r="I1059" s="221" t="n"/>
    </row>
    <row r="1060" ht="15" customHeight="1" s="131">
      <c r="A1060" s="220" t="n"/>
      <c r="B1060" s="222" t="n"/>
      <c r="C1060" s="222" t="n"/>
      <c r="D1060" s="220" t="n"/>
      <c r="E1060" s="220" t="n"/>
      <c r="F1060" s="181" t="n"/>
      <c r="G1060" s="219" t="n"/>
      <c r="H1060" s="220" t="n"/>
      <c r="I1060" s="221" t="n"/>
    </row>
    <row r="1061" ht="15" customHeight="1" s="131">
      <c r="A1061" s="220" t="n"/>
      <c r="B1061" s="222" t="n"/>
      <c r="C1061" s="222" t="n"/>
      <c r="D1061" s="220" t="n"/>
      <c r="E1061" s="220" t="n"/>
      <c r="F1061" s="181" t="n"/>
      <c r="G1061" s="219" t="n"/>
      <c r="H1061" s="220" t="n"/>
      <c r="I1061" s="221" t="n"/>
    </row>
    <row r="1062" ht="15" customHeight="1" s="131">
      <c r="A1062" s="220" t="n"/>
      <c r="B1062" s="222" t="n"/>
      <c r="C1062" s="222" t="n"/>
      <c r="D1062" s="220" t="n"/>
      <c r="E1062" s="220" t="n"/>
      <c r="F1062" s="181" t="n"/>
      <c r="G1062" s="219" t="n"/>
      <c r="H1062" s="220" t="n"/>
      <c r="I1062" s="221" t="n"/>
    </row>
    <row r="1063" ht="15" customHeight="1" s="131">
      <c r="A1063" s="220" t="n"/>
      <c r="B1063" s="222" t="n"/>
      <c r="C1063" s="222" t="n"/>
      <c r="D1063" s="220" t="n"/>
      <c r="E1063" s="220" t="n"/>
      <c r="F1063" s="181" t="n"/>
      <c r="G1063" s="219" t="n"/>
      <c r="H1063" s="220" t="n"/>
      <c r="I1063" s="221" t="n"/>
    </row>
    <row r="1064" ht="15" customHeight="1" s="131">
      <c r="A1064" s="220" t="n"/>
      <c r="B1064" s="222" t="n"/>
      <c r="C1064" s="222" t="n"/>
      <c r="D1064" s="220" t="n"/>
      <c r="E1064" s="220" t="n"/>
      <c r="F1064" s="181" t="n"/>
      <c r="G1064" s="219" t="n"/>
      <c r="H1064" s="220" t="n"/>
      <c r="I1064" s="221" t="n"/>
    </row>
    <row r="1065" ht="15" customHeight="1" s="131">
      <c r="A1065" s="220" t="n"/>
      <c r="B1065" s="222" t="n"/>
      <c r="C1065" s="222" t="n"/>
      <c r="D1065" s="220" t="n"/>
      <c r="E1065" s="220" t="n"/>
      <c r="F1065" s="181" t="n"/>
      <c r="G1065" s="219" t="n"/>
      <c r="H1065" s="220" t="n"/>
      <c r="I1065" s="221" t="n"/>
    </row>
    <row r="1066" ht="15" customHeight="1" s="131">
      <c r="A1066" s="220" t="n"/>
      <c r="B1066" s="222" t="n"/>
      <c r="C1066" s="222" t="n"/>
      <c r="D1066" s="220" t="n"/>
      <c r="E1066" s="220" t="n"/>
      <c r="F1066" s="181" t="n"/>
      <c r="G1066" s="219" t="n"/>
      <c r="H1066" s="220" t="n"/>
      <c r="I1066" s="221" t="n"/>
    </row>
    <row r="1067" ht="15" customHeight="1" s="131">
      <c r="A1067" s="220" t="n"/>
      <c r="B1067" s="222" t="n"/>
      <c r="C1067" s="222" t="n"/>
      <c r="D1067" s="220" t="n"/>
      <c r="E1067" s="220" t="n"/>
      <c r="F1067" s="181" t="n"/>
      <c r="G1067" s="219" t="n"/>
      <c r="H1067" s="220" t="n"/>
      <c r="I1067" s="221" t="n"/>
    </row>
    <row r="1068" ht="15" customHeight="1" s="131">
      <c r="A1068" s="220" t="n"/>
      <c r="B1068" s="222" t="n"/>
      <c r="C1068" s="222" t="n"/>
      <c r="D1068" s="220" t="n"/>
      <c r="E1068" s="220" t="n"/>
      <c r="F1068" s="181" t="n"/>
      <c r="G1068" s="219" t="n"/>
      <c r="H1068" s="220" t="n"/>
      <c r="I1068" s="221" t="n"/>
    </row>
    <row r="1069" ht="15" customHeight="1" s="131">
      <c r="A1069" s="220" t="n"/>
      <c r="B1069" s="222" t="n"/>
      <c r="C1069" s="222" t="n"/>
      <c r="D1069" s="220" t="n"/>
      <c r="E1069" s="220" t="n"/>
      <c r="F1069" s="181" t="n"/>
      <c r="G1069" s="219" t="n"/>
      <c r="H1069" s="220" t="n"/>
      <c r="I1069" s="221" t="n"/>
    </row>
    <row r="1070" ht="15" customHeight="1" s="131">
      <c r="A1070" s="220" t="n"/>
      <c r="B1070" s="222" t="n"/>
      <c r="C1070" s="222" t="n"/>
      <c r="D1070" s="220" t="n"/>
      <c r="E1070" s="220" t="n"/>
      <c r="F1070" s="181" t="n"/>
      <c r="G1070" s="219" t="n"/>
      <c r="H1070" s="220" t="n"/>
      <c r="I1070" s="221" t="n"/>
    </row>
    <row r="1071" ht="15" customHeight="1" s="131">
      <c r="A1071" s="220" t="n"/>
      <c r="B1071" s="222" t="n"/>
      <c r="C1071" s="222" t="n"/>
      <c r="D1071" s="220" t="n"/>
      <c r="E1071" s="220" t="n"/>
      <c r="F1071" s="181" t="n"/>
      <c r="G1071" s="219" t="n"/>
      <c r="H1071" s="220" t="n"/>
      <c r="I1071" s="221" t="n"/>
    </row>
    <row r="1072" ht="15" customHeight="1" s="131">
      <c r="A1072" s="220" t="n"/>
      <c r="B1072" s="222" t="n"/>
      <c r="C1072" s="222" t="n"/>
      <c r="D1072" s="220" t="n"/>
      <c r="E1072" s="220" t="n"/>
      <c r="F1072" s="181" t="n"/>
      <c r="G1072" s="219" t="n"/>
      <c r="H1072" s="220" t="n"/>
      <c r="I1072" s="221" t="n"/>
    </row>
    <row r="1073" ht="15" customHeight="1" s="131">
      <c r="A1073" s="220" t="n"/>
      <c r="B1073" s="222" t="n"/>
      <c r="C1073" s="222" t="n"/>
      <c r="D1073" s="220" t="n"/>
      <c r="E1073" s="220" t="n"/>
      <c r="F1073" s="181" t="n"/>
      <c r="G1073" s="219" t="n"/>
      <c r="H1073" s="220" t="n"/>
      <c r="I1073" s="221" t="n"/>
    </row>
    <row r="1074" ht="15" customHeight="1" s="131">
      <c r="A1074" s="220" t="n"/>
      <c r="B1074" s="222" t="n"/>
      <c r="C1074" s="222" t="n"/>
      <c r="D1074" s="220" t="n"/>
      <c r="E1074" s="220" t="n"/>
      <c r="F1074" s="181" t="n"/>
      <c r="G1074" s="219" t="n"/>
      <c r="H1074" s="220" t="n"/>
      <c r="I1074" s="221" t="n"/>
    </row>
    <row r="1075" ht="15" customHeight="1" s="131">
      <c r="A1075" s="220" t="n"/>
      <c r="B1075" s="222" t="n"/>
      <c r="C1075" s="222" t="n"/>
      <c r="D1075" s="220" t="n"/>
      <c r="E1075" s="220" t="n"/>
      <c r="F1075" s="181" t="n"/>
      <c r="G1075" s="219" t="n"/>
      <c r="H1075" s="220" t="n"/>
      <c r="I1075" s="221" t="n"/>
    </row>
    <row r="1076" ht="15" customHeight="1" s="131">
      <c r="A1076" s="220" t="n"/>
      <c r="B1076" s="222" t="n"/>
      <c r="C1076" s="222" t="n"/>
      <c r="D1076" s="220" t="n"/>
      <c r="E1076" s="220" t="n"/>
      <c r="F1076" s="181" t="n"/>
      <c r="G1076" s="219" t="n"/>
      <c r="H1076" s="220" t="n"/>
      <c r="I1076" s="221" t="n"/>
    </row>
    <row r="1077" ht="15" customHeight="1" s="131">
      <c r="A1077" s="220" t="n"/>
      <c r="B1077" s="222" t="n"/>
      <c r="C1077" s="222" t="n"/>
      <c r="D1077" s="220" t="n"/>
      <c r="E1077" s="220" t="n"/>
      <c r="F1077" s="181" t="n"/>
      <c r="G1077" s="219" t="n"/>
      <c r="H1077" s="220" t="n"/>
      <c r="I1077" s="221" t="n"/>
    </row>
    <row r="1078" ht="15" customHeight="1" s="131">
      <c r="A1078" s="220" t="n"/>
      <c r="B1078" s="222" t="n"/>
      <c r="C1078" s="222" t="n"/>
      <c r="D1078" s="220" t="n"/>
      <c r="E1078" s="220" t="n"/>
      <c r="F1078" s="181" t="n"/>
      <c r="G1078" s="219" t="n"/>
      <c r="H1078" s="220" t="n"/>
      <c r="I1078" s="221" t="n"/>
    </row>
    <row r="1079" ht="15" customHeight="1" s="131">
      <c r="A1079" s="220" t="n"/>
      <c r="B1079" s="222" t="n"/>
      <c r="C1079" s="222" t="n"/>
      <c r="D1079" s="220" t="n"/>
      <c r="E1079" s="220" t="n"/>
      <c r="F1079" s="181" t="n"/>
      <c r="G1079" s="219" t="n"/>
      <c r="H1079" s="220" t="n"/>
      <c r="I1079" s="221" t="n"/>
    </row>
    <row r="1080" ht="15" customHeight="1" s="131">
      <c r="A1080" s="220" t="n"/>
      <c r="B1080" s="222" t="n"/>
      <c r="C1080" s="222" t="n"/>
      <c r="D1080" s="220" t="n"/>
      <c r="E1080" s="220" t="n"/>
      <c r="F1080" s="181" t="n"/>
      <c r="G1080" s="219" t="n"/>
      <c r="H1080" s="220" t="n"/>
      <c r="I1080" s="221" t="n"/>
    </row>
    <row r="1081" ht="15" customHeight="1" s="131">
      <c r="A1081" s="220" t="n"/>
      <c r="B1081" s="222" t="n"/>
      <c r="C1081" s="222" t="n"/>
      <c r="D1081" s="220" t="n"/>
      <c r="E1081" s="220" t="n"/>
      <c r="F1081" s="181" t="n"/>
      <c r="G1081" s="219" t="n"/>
      <c r="H1081" s="220" t="n"/>
      <c r="I1081" s="221" t="n"/>
    </row>
    <row r="1082" ht="15" customHeight="1" s="131">
      <c r="A1082" s="220" t="n"/>
      <c r="B1082" s="222" t="n"/>
      <c r="C1082" s="222" t="n"/>
      <c r="D1082" s="220" t="n"/>
      <c r="E1082" s="220" t="n"/>
      <c r="F1082" s="181" t="n"/>
      <c r="G1082" s="219" t="n"/>
      <c r="H1082" s="220" t="n"/>
      <c r="I1082" s="221" t="n"/>
    </row>
    <row r="1083" ht="15" customHeight="1" s="131">
      <c r="A1083" s="220" t="n"/>
      <c r="B1083" s="222" t="n"/>
      <c r="C1083" s="222" t="n"/>
      <c r="D1083" s="220" t="n"/>
      <c r="E1083" s="220" t="n"/>
      <c r="F1083" s="181" t="n"/>
      <c r="G1083" s="219" t="n"/>
      <c r="H1083" s="220" t="n"/>
      <c r="I1083" s="221" t="n"/>
    </row>
    <row r="1084" ht="15" customHeight="1" s="131">
      <c r="A1084" s="220" t="n"/>
      <c r="B1084" s="222" t="n"/>
      <c r="C1084" s="222" t="n"/>
      <c r="D1084" s="220" t="n"/>
      <c r="E1084" s="220" t="n"/>
      <c r="F1084" s="181" t="n"/>
      <c r="G1084" s="219" t="n"/>
      <c r="H1084" s="220" t="n"/>
      <c r="I1084" s="221" t="n"/>
    </row>
    <row r="1085" ht="15" customHeight="1" s="131">
      <c r="A1085" s="220" t="n"/>
      <c r="B1085" s="222" t="n"/>
      <c r="C1085" s="222" t="n"/>
      <c r="D1085" s="220" t="n"/>
      <c r="E1085" s="220" t="n"/>
      <c r="F1085" s="181" t="n"/>
      <c r="G1085" s="219" t="n"/>
      <c r="H1085" s="220" t="n"/>
      <c r="I1085" s="221" t="n"/>
    </row>
    <row r="1086" ht="15" customHeight="1" s="131">
      <c r="A1086" s="220" t="n"/>
      <c r="B1086" s="222" t="n"/>
      <c r="C1086" s="222" t="n"/>
      <c r="D1086" s="220" t="n"/>
      <c r="E1086" s="220" t="n"/>
      <c r="F1086" s="181" t="n"/>
      <c r="G1086" s="219" t="n"/>
      <c r="H1086" s="220" t="n"/>
      <c r="I1086" s="221" t="n"/>
    </row>
    <row r="1087" ht="15" customHeight="1" s="131">
      <c r="A1087" s="220" t="n"/>
      <c r="B1087" s="222" t="n"/>
      <c r="C1087" s="222" t="n"/>
      <c r="D1087" s="220" t="n"/>
      <c r="E1087" s="220" t="n"/>
      <c r="F1087" s="181" t="n"/>
      <c r="G1087" s="219" t="n"/>
      <c r="H1087" s="220" t="n"/>
      <c r="I1087" s="221" t="n"/>
    </row>
    <row r="1088" ht="15" customHeight="1" s="131">
      <c r="A1088" s="220" t="n"/>
      <c r="B1088" s="222" t="n"/>
      <c r="C1088" s="222" t="n"/>
      <c r="D1088" s="220" t="n"/>
      <c r="E1088" s="220" t="n"/>
      <c r="F1088" s="181" t="n"/>
      <c r="G1088" s="219" t="n"/>
      <c r="H1088" s="220" t="n"/>
      <c r="I1088" s="221" t="n"/>
    </row>
    <row r="1089" ht="15" customHeight="1" s="131">
      <c r="A1089" s="220" t="n"/>
      <c r="B1089" s="222" t="n"/>
      <c r="C1089" s="222" t="n"/>
      <c r="D1089" s="220" t="n"/>
      <c r="E1089" s="220" t="n"/>
      <c r="F1089" s="181" t="n"/>
      <c r="G1089" s="219" t="n"/>
      <c r="H1089" s="220" t="n"/>
      <c r="I1089" s="221" t="n"/>
    </row>
    <row r="1090" ht="15" customHeight="1" s="131">
      <c r="A1090" s="220" t="n"/>
      <c r="B1090" s="222" t="n"/>
      <c r="C1090" s="222" t="n"/>
      <c r="D1090" s="220" t="n"/>
      <c r="E1090" s="220" t="n"/>
      <c r="F1090" s="181" t="n"/>
      <c r="G1090" s="219" t="n"/>
      <c r="H1090" s="220" t="n"/>
      <c r="I1090" s="221" t="n"/>
    </row>
    <row r="1091" ht="15" customHeight="1" s="131">
      <c r="A1091" s="220" t="n"/>
      <c r="B1091" s="222" t="n"/>
      <c r="C1091" s="222" t="n"/>
      <c r="D1091" s="220" t="n"/>
      <c r="E1091" s="220" t="n"/>
      <c r="F1091" s="181" t="n"/>
      <c r="G1091" s="219" t="n"/>
      <c r="H1091" s="220" t="n"/>
      <c r="I1091" s="221" t="n"/>
    </row>
    <row r="1092" ht="15" customHeight="1" s="131">
      <c r="A1092" s="220" t="n"/>
      <c r="B1092" s="222" t="n"/>
      <c r="C1092" s="222" t="n"/>
      <c r="D1092" s="220" t="n"/>
      <c r="E1092" s="220" t="n"/>
      <c r="F1092" s="181" t="n"/>
      <c r="G1092" s="219" t="n"/>
      <c r="H1092" s="220" t="n"/>
      <c r="I1092" s="221" t="n"/>
    </row>
    <row r="1093" ht="15" customHeight="1" s="131">
      <c r="A1093" s="220" t="n"/>
      <c r="B1093" s="222" t="n"/>
      <c r="C1093" s="222" t="n"/>
      <c r="D1093" s="220" t="n"/>
      <c r="E1093" s="220" t="n"/>
      <c r="F1093" s="181" t="n"/>
      <c r="G1093" s="219" t="n"/>
      <c r="H1093" s="220" t="n"/>
      <c r="I1093" s="221" t="n"/>
    </row>
    <row r="1094" ht="15" customHeight="1" s="131">
      <c r="A1094" s="220" t="n"/>
      <c r="B1094" s="222" t="n"/>
      <c r="C1094" s="222" t="n"/>
      <c r="D1094" s="220" t="n"/>
      <c r="E1094" s="220" t="n"/>
      <c r="F1094" s="181" t="n"/>
      <c r="G1094" s="219" t="n"/>
      <c r="H1094" s="220" t="n"/>
      <c r="I1094" s="221" t="n"/>
    </row>
    <row r="1095" ht="15" customHeight="1" s="131">
      <c r="A1095" s="220" t="n"/>
      <c r="B1095" s="222" t="n"/>
      <c r="C1095" s="222" t="n"/>
      <c r="D1095" s="220" t="n"/>
      <c r="E1095" s="220" t="n"/>
      <c r="F1095" s="181" t="n"/>
      <c r="G1095" s="219" t="n"/>
      <c r="H1095" s="220" t="n"/>
      <c r="I1095" s="221" t="n"/>
    </row>
    <row r="1096" ht="15" customHeight="1" s="131">
      <c r="A1096" s="220" t="n"/>
      <c r="B1096" s="222" t="n"/>
      <c r="C1096" s="222" t="n"/>
      <c r="D1096" s="220" t="n"/>
      <c r="E1096" s="220" t="n"/>
      <c r="F1096" s="181" t="n"/>
      <c r="G1096" s="219" t="n"/>
      <c r="H1096" s="220" t="n"/>
      <c r="I1096" s="221" t="n"/>
    </row>
    <row r="1097" ht="15" customHeight="1" s="131">
      <c r="A1097" s="220" t="n"/>
      <c r="B1097" s="222" t="n"/>
      <c r="C1097" s="222" t="n"/>
      <c r="D1097" s="220" t="n"/>
      <c r="E1097" s="220" t="n"/>
      <c r="F1097" s="181" t="n"/>
      <c r="G1097" s="219" t="n"/>
      <c r="H1097" s="220" t="n"/>
      <c r="I1097" s="221" t="n"/>
    </row>
    <row r="1098" ht="15" customHeight="1" s="131">
      <c r="A1098" s="220" t="n"/>
      <c r="B1098" s="222" t="n"/>
      <c r="C1098" s="222" t="n"/>
      <c r="D1098" s="220" t="n"/>
      <c r="E1098" s="220" t="n"/>
      <c r="F1098" s="181" t="n"/>
      <c r="G1098" s="219" t="n"/>
      <c r="H1098" s="220" t="n"/>
      <c r="I1098" s="221" t="n"/>
    </row>
    <row r="1099" ht="15" customHeight="1" s="131">
      <c r="A1099" s="220" t="n"/>
      <c r="B1099" s="222" t="n"/>
      <c r="C1099" s="222" t="n"/>
      <c r="D1099" s="220" t="n"/>
      <c r="E1099" s="220" t="n"/>
      <c r="F1099" s="181" t="n"/>
      <c r="G1099" s="219" t="n"/>
      <c r="H1099" s="220" t="n"/>
      <c r="I1099" s="221" t="n"/>
    </row>
    <row r="1100" ht="15" customHeight="1" s="131">
      <c r="A1100" s="220" t="n"/>
      <c r="B1100" s="222" t="n"/>
      <c r="C1100" s="222" t="n"/>
      <c r="D1100" s="220" t="n"/>
      <c r="E1100" s="220" t="n"/>
      <c r="F1100" s="181" t="n"/>
      <c r="G1100" s="219" t="n"/>
      <c r="H1100" s="220" t="n"/>
      <c r="I1100" s="221" t="n"/>
    </row>
    <row r="1101" ht="15" customHeight="1" s="131">
      <c r="A1101" s="220" t="n"/>
      <c r="B1101" s="222" t="n"/>
      <c r="C1101" s="222" t="n"/>
      <c r="D1101" s="220" t="n"/>
      <c r="E1101" s="220" t="n"/>
      <c r="F1101" s="181" t="n"/>
      <c r="G1101" s="219" t="n"/>
      <c r="H1101" s="220" t="n"/>
      <c r="I1101" s="221" t="n"/>
    </row>
    <row r="1102" ht="15" customHeight="1" s="131">
      <c r="A1102" s="220" t="n"/>
      <c r="B1102" s="222" t="n"/>
      <c r="C1102" s="222" t="n"/>
      <c r="D1102" s="220" t="n"/>
      <c r="E1102" s="220" t="n"/>
      <c r="F1102" s="181" t="n"/>
      <c r="G1102" s="219" t="n"/>
      <c r="H1102" s="220" t="n"/>
      <c r="I1102" s="221" t="n"/>
    </row>
    <row r="1103" ht="15" customHeight="1" s="131">
      <c r="A1103" s="220" t="n"/>
      <c r="B1103" s="222" t="n"/>
      <c r="C1103" s="222" t="n"/>
      <c r="D1103" s="220" t="n"/>
      <c r="E1103" s="220" t="n"/>
      <c r="F1103" s="181" t="n"/>
      <c r="G1103" s="219" t="n"/>
      <c r="H1103" s="220" t="n"/>
      <c r="I1103" s="221" t="n"/>
    </row>
    <row r="1104" ht="15" customHeight="1" s="131">
      <c r="A1104" s="220" t="n"/>
      <c r="B1104" s="222" t="n"/>
      <c r="C1104" s="222" t="n"/>
      <c r="D1104" s="220" t="n"/>
      <c r="E1104" s="220" t="n"/>
      <c r="F1104" s="181" t="n"/>
      <c r="G1104" s="219" t="n"/>
      <c r="H1104" s="220" t="n"/>
      <c r="I1104" s="221" t="n"/>
    </row>
    <row r="1105" ht="15" customHeight="1" s="131">
      <c r="A1105" s="220" t="n"/>
      <c r="B1105" s="222" t="n"/>
      <c r="C1105" s="222" t="n"/>
      <c r="D1105" s="220" t="n"/>
      <c r="E1105" s="220" t="n"/>
      <c r="F1105" s="181" t="n"/>
      <c r="G1105" s="219" t="n"/>
      <c r="H1105" s="220" t="n"/>
      <c r="I1105" s="221" t="n"/>
    </row>
    <row r="1106" ht="15" customHeight="1" s="131">
      <c r="A1106" s="220" t="n"/>
      <c r="B1106" s="222" t="n"/>
      <c r="C1106" s="222" t="n"/>
      <c r="D1106" s="220" t="n"/>
      <c r="E1106" s="220" t="n"/>
      <c r="F1106" s="181" t="n"/>
      <c r="G1106" s="219" t="n"/>
      <c r="H1106" s="220" t="n"/>
      <c r="I1106" s="221" t="n"/>
    </row>
    <row r="1107" ht="15" customHeight="1" s="131">
      <c r="A1107" s="220" t="n"/>
      <c r="B1107" s="222" t="n"/>
      <c r="C1107" s="222" t="n"/>
      <c r="D1107" s="220" t="n"/>
      <c r="E1107" s="220" t="n"/>
      <c r="F1107" s="181" t="n"/>
      <c r="G1107" s="219" t="n"/>
      <c r="H1107" s="220" t="n"/>
      <c r="I1107" s="221" t="n"/>
    </row>
    <row r="1108" ht="15" customHeight="1" s="131">
      <c r="A1108" s="220" t="n"/>
      <c r="B1108" s="222" t="n"/>
      <c r="C1108" s="222" t="n"/>
      <c r="D1108" s="220" t="n"/>
      <c r="E1108" s="220" t="n"/>
      <c r="F1108" s="181" t="n"/>
      <c r="G1108" s="219" t="n"/>
      <c r="H1108" s="220" t="n"/>
      <c r="I1108" s="221" t="n"/>
    </row>
    <row r="1109" ht="15" customHeight="1" s="131">
      <c r="A1109" s="220" t="n"/>
      <c r="B1109" s="222" t="n"/>
      <c r="C1109" s="222" t="n"/>
      <c r="D1109" s="220" t="n"/>
      <c r="E1109" s="220" t="n"/>
      <c r="F1109" s="181" t="n"/>
      <c r="G1109" s="219" t="n"/>
      <c r="H1109" s="220" t="n"/>
      <c r="I1109" s="221" t="n"/>
    </row>
    <row r="1110" ht="15" customHeight="1" s="131">
      <c r="A1110" s="220" t="n"/>
      <c r="B1110" s="222" t="n"/>
      <c r="C1110" s="222" t="n"/>
      <c r="D1110" s="220" t="n"/>
      <c r="E1110" s="220" t="n"/>
      <c r="F1110" s="181" t="n"/>
      <c r="G1110" s="219" t="n"/>
      <c r="H1110" s="220" t="n"/>
      <c r="I1110" s="221" t="n"/>
    </row>
    <row r="1111" ht="15" customHeight="1" s="131">
      <c r="A1111" s="220" t="n"/>
      <c r="B1111" s="222" t="n"/>
      <c r="C1111" s="222" t="n"/>
      <c r="D1111" s="220" t="n"/>
      <c r="E1111" s="220" t="n"/>
      <c r="F1111" s="181" t="n"/>
      <c r="G1111" s="219" t="n"/>
      <c r="H1111" s="220" t="n"/>
      <c r="I1111" s="221" t="n"/>
    </row>
    <row r="1112" ht="15" customHeight="1" s="131">
      <c r="A1112" s="220" t="n"/>
      <c r="B1112" s="222" t="n"/>
      <c r="C1112" s="222" t="n"/>
      <c r="D1112" s="220" t="n"/>
      <c r="E1112" s="220" t="n"/>
      <c r="F1112" s="181" t="n"/>
      <c r="G1112" s="219" t="n"/>
      <c r="H1112" s="220" t="n"/>
      <c r="I1112" s="221" t="n"/>
    </row>
    <row r="1113" ht="15" customHeight="1" s="131">
      <c r="A1113" s="220" t="n"/>
      <c r="B1113" s="222" t="n"/>
      <c r="C1113" s="222" t="n"/>
      <c r="D1113" s="220" t="n"/>
      <c r="E1113" s="220" t="n"/>
      <c r="F1113" s="181" t="n"/>
      <c r="G1113" s="219" t="n"/>
      <c r="H1113" s="220" t="n"/>
      <c r="I1113" s="221" t="n"/>
    </row>
    <row r="1114" ht="15" customHeight="1" s="131">
      <c r="A1114" s="220" t="n"/>
      <c r="B1114" s="222" t="n"/>
      <c r="C1114" s="222" t="n"/>
      <c r="D1114" s="220" t="n"/>
      <c r="E1114" s="220" t="n"/>
      <c r="F1114" s="181" t="n"/>
      <c r="G1114" s="219" t="n"/>
      <c r="H1114" s="220" t="n"/>
      <c r="I1114" s="221" t="n"/>
    </row>
    <row r="1115" ht="15" customHeight="1" s="131">
      <c r="A1115" s="220" t="n"/>
      <c r="B1115" s="222" t="n"/>
      <c r="C1115" s="222" t="n"/>
      <c r="D1115" s="220" t="n"/>
      <c r="E1115" s="220" t="n"/>
      <c r="F1115" s="181" t="n"/>
      <c r="G1115" s="219" t="n"/>
      <c r="H1115" s="220" t="n"/>
      <c r="I1115" s="221" t="n"/>
    </row>
    <row r="1116" ht="15" customHeight="1" s="131">
      <c r="A1116" s="220" t="n"/>
      <c r="B1116" s="222" t="n"/>
      <c r="C1116" s="222" t="n"/>
      <c r="D1116" s="220" t="n"/>
      <c r="E1116" s="220" t="n"/>
      <c r="F1116" s="181" t="n"/>
      <c r="G1116" s="219" t="n"/>
      <c r="H1116" s="220" t="n"/>
      <c r="I1116" s="221" t="n"/>
    </row>
    <row r="1117" ht="15" customHeight="1" s="131">
      <c r="A1117" s="220" t="n"/>
      <c r="B1117" s="222" t="n"/>
      <c r="C1117" s="222" t="n"/>
      <c r="D1117" s="220" t="n"/>
      <c r="E1117" s="220" t="n"/>
      <c r="F1117" s="181" t="n"/>
      <c r="G1117" s="219" t="n"/>
      <c r="H1117" s="220" t="n"/>
      <c r="I1117" s="221" t="n"/>
    </row>
    <row r="1118" ht="15" customHeight="1" s="131">
      <c r="A1118" s="220" t="n"/>
      <c r="B1118" s="222" t="n"/>
      <c r="C1118" s="222" t="n"/>
      <c r="D1118" s="220" t="n"/>
      <c r="E1118" s="220" t="n"/>
      <c r="F1118" s="181" t="n"/>
      <c r="G1118" s="219" t="n"/>
      <c r="H1118" s="220" t="n"/>
      <c r="I1118" s="221" t="n"/>
    </row>
    <row r="1119" ht="15" customHeight="1" s="131">
      <c r="A1119" s="220" t="n"/>
      <c r="B1119" s="222" t="n"/>
      <c r="C1119" s="222" t="n"/>
      <c r="D1119" s="220" t="n"/>
      <c r="E1119" s="220" t="n"/>
      <c r="F1119" s="181" t="n"/>
      <c r="G1119" s="219" t="n"/>
      <c r="H1119" s="220" t="n"/>
      <c r="I1119" s="221" t="n"/>
    </row>
    <row r="1120" ht="15" customHeight="1" s="131">
      <c r="A1120" s="220" t="n"/>
      <c r="B1120" s="222" t="n"/>
      <c r="C1120" s="222" t="n"/>
      <c r="D1120" s="220" t="n"/>
      <c r="E1120" s="220" t="n"/>
      <c r="F1120" s="181" t="n"/>
      <c r="G1120" s="219" t="n"/>
      <c r="H1120" s="220" t="n"/>
      <c r="I1120" s="221" t="n"/>
    </row>
    <row r="1121" ht="15" customHeight="1" s="131">
      <c r="A1121" s="220" t="n"/>
      <c r="B1121" s="222" t="n"/>
      <c r="C1121" s="222" t="n"/>
      <c r="D1121" s="220" t="n"/>
      <c r="E1121" s="220" t="n"/>
      <c r="F1121" s="181" t="n"/>
      <c r="G1121" s="219" t="n"/>
      <c r="H1121" s="220" t="n"/>
      <c r="I1121" s="221" t="n"/>
    </row>
    <row r="1122" ht="15" customHeight="1" s="131">
      <c r="A1122" s="220" t="n"/>
      <c r="B1122" s="222" t="n"/>
      <c r="C1122" s="222" t="n"/>
      <c r="D1122" s="220" t="n"/>
      <c r="E1122" s="220" t="n"/>
      <c r="F1122" s="181" t="n"/>
      <c r="G1122" s="219" t="n"/>
      <c r="H1122" s="220" t="n"/>
      <c r="I1122" s="221" t="n"/>
    </row>
    <row r="1123" ht="15" customHeight="1" s="131">
      <c r="A1123" s="220" t="n"/>
      <c r="B1123" s="222" t="n"/>
      <c r="C1123" s="222" t="n"/>
      <c r="D1123" s="220" t="n"/>
      <c r="E1123" s="220" t="n"/>
      <c r="F1123" s="181" t="n"/>
      <c r="G1123" s="219" t="n"/>
      <c r="H1123" s="220" t="n"/>
      <c r="I1123" s="221" t="n"/>
    </row>
    <row r="1124" ht="15" customHeight="1" s="131">
      <c r="A1124" s="220" t="n"/>
      <c r="B1124" s="222" t="n"/>
      <c r="C1124" s="222" t="n"/>
      <c r="D1124" s="220" t="n"/>
      <c r="E1124" s="220" t="n"/>
      <c r="F1124" s="181" t="n"/>
      <c r="G1124" s="219" t="n"/>
      <c r="H1124" s="220" t="n"/>
      <c r="I1124" s="221" t="n"/>
    </row>
    <row r="1125" ht="15" customHeight="1" s="131">
      <c r="A1125" s="220" t="n"/>
      <c r="B1125" s="222" t="n"/>
      <c r="C1125" s="222" t="n"/>
      <c r="D1125" s="220" t="n"/>
      <c r="E1125" s="220" t="n"/>
      <c r="F1125" s="181" t="n"/>
      <c r="G1125" s="219" t="n"/>
      <c r="H1125" s="220" t="n"/>
      <c r="I1125" s="221" t="n"/>
    </row>
    <row r="1126" ht="15" customHeight="1" s="131">
      <c r="A1126" s="220" t="n"/>
      <c r="B1126" s="222" t="n"/>
      <c r="C1126" s="222" t="n"/>
      <c r="D1126" s="220" t="n"/>
      <c r="E1126" s="220" t="n"/>
      <c r="F1126" s="181" t="n"/>
      <c r="G1126" s="219" t="n"/>
      <c r="H1126" s="220" t="n"/>
      <c r="I1126" s="221" t="n"/>
    </row>
    <row r="1127" ht="15" customHeight="1" s="131">
      <c r="A1127" s="220" t="n"/>
      <c r="B1127" s="222" t="n"/>
      <c r="C1127" s="222" t="n"/>
      <c r="D1127" s="220" t="n"/>
      <c r="E1127" s="220" t="n"/>
      <c r="F1127" s="181" t="n"/>
      <c r="G1127" s="219" t="n"/>
      <c r="H1127" s="220" t="n"/>
      <c r="I1127" s="221" t="n"/>
    </row>
    <row r="1128" ht="15" customHeight="1" s="131">
      <c r="A1128" s="220" t="n"/>
      <c r="B1128" s="222" t="n"/>
      <c r="C1128" s="222" t="n"/>
      <c r="D1128" s="220" t="n"/>
      <c r="E1128" s="220" t="n"/>
      <c r="F1128" s="181" t="n"/>
      <c r="G1128" s="219" t="n"/>
      <c r="H1128" s="220" t="n"/>
      <c r="I1128" s="221" t="n"/>
    </row>
    <row r="1129" ht="15" customHeight="1" s="131">
      <c r="A1129" s="220" t="n"/>
      <c r="B1129" s="222" t="n"/>
      <c r="C1129" s="222" t="n"/>
      <c r="D1129" s="220" t="n"/>
      <c r="E1129" s="220" t="n"/>
      <c r="F1129" s="181" t="n"/>
      <c r="G1129" s="219" t="n"/>
      <c r="H1129" s="220" t="n"/>
      <c r="I1129" s="221" t="n"/>
    </row>
    <row r="1130" ht="15" customHeight="1" s="131">
      <c r="A1130" s="220" t="n"/>
      <c r="B1130" s="222" t="n"/>
      <c r="C1130" s="222" t="n"/>
      <c r="D1130" s="220" t="n"/>
      <c r="E1130" s="220" t="n"/>
      <c r="F1130" s="181" t="n"/>
      <c r="G1130" s="219" t="n"/>
      <c r="H1130" s="220" t="n"/>
      <c r="I1130" s="221" t="n"/>
    </row>
    <row r="1131" ht="15" customHeight="1" s="131">
      <c r="A1131" s="220" t="n"/>
      <c r="B1131" s="222" t="n"/>
      <c r="C1131" s="222" t="n"/>
      <c r="D1131" s="220" t="n"/>
      <c r="E1131" s="220" t="n"/>
      <c r="F1131" s="181" t="n"/>
      <c r="G1131" s="219" t="n"/>
      <c r="H1131" s="220" t="n"/>
      <c r="I1131" s="221" t="n"/>
    </row>
    <row r="1132" ht="15" customHeight="1" s="131">
      <c r="A1132" s="220" t="n"/>
      <c r="B1132" s="222" t="n"/>
      <c r="C1132" s="222" t="n"/>
      <c r="D1132" s="220" t="n"/>
      <c r="E1132" s="220" t="n"/>
      <c r="F1132" s="181" t="n"/>
      <c r="G1132" s="219" t="n"/>
      <c r="H1132" s="220" t="n"/>
      <c r="I1132" s="221" t="n"/>
    </row>
    <row r="1133" ht="15" customHeight="1" s="131">
      <c r="A1133" s="220" t="n"/>
      <c r="B1133" s="222" t="n"/>
      <c r="C1133" s="222" t="n"/>
      <c r="D1133" s="220" t="n"/>
      <c r="E1133" s="220" t="n"/>
      <c r="F1133" s="181" t="n"/>
      <c r="G1133" s="219" t="n"/>
      <c r="H1133" s="220" t="n"/>
      <c r="I1133" s="221" t="n"/>
    </row>
    <row r="1134" ht="15" customHeight="1" s="131">
      <c r="A1134" s="220" t="n"/>
      <c r="B1134" s="222" t="n"/>
      <c r="C1134" s="222" t="n"/>
      <c r="D1134" s="220" t="n"/>
      <c r="E1134" s="220" t="n"/>
      <c r="F1134" s="181" t="n"/>
      <c r="G1134" s="219" t="n"/>
      <c r="H1134" s="220" t="n"/>
      <c r="I1134" s="221" t="n"/>
    </row>
    <row r="1135" ht="15" customHeight="1" s="131">
      <c r="A1135" s="220" t="n"/>
      <c r="B1135" s="222" t="n"/>
      <c r="C1135" s="222" t="n"/>
      <c r="D1135" s="220" t="n"/>
      <c r="E1135" s="220" t="n"/>
      <c r="F1135" s="181" t="n"/>
      <c r="G1135" s="219" t="n"/>
      <c r="H1135" s="220" t="n"/>
      <c r="I1135" s="221" t="n"/>
    </row>
    <row r="1136" ht="15" customHeight="1" s="131">
      <c r="A1136" s="220" t="n"/>
      <c r="B1136" s="222" t="n"/>
      <c r="C1136" s="222" t="n"/>
      <c r="D1136" s="220" t="n"/>
      <c r="E1136" s="220" t="n"/>
      <c r="F1136" s="181" t="n"/>
      <c r="G1136" s="219" t="n"/>
      <c r="H1136" s="220" t="n"/>
      <c r="I1136" s="221" t="n"/>
    </row>
    <row r="1137" ht="15" customHeight="1" s="131">
      <c r="A1137" s="220" t="n"/>
      <c r="B1137" s="222" t="n"/>
      <c r="C1137" s="222" t="n"/>
      <c r="D1137" s="220" t="n"/>
      <c r="E1137" s="220" t="n"/>
      <c r="F1137" s="181" t="n"/>
      <c r="G1137" s="219" t="n"/>
      <c r="H1137" s="220" t="n"/>
      <c r="I1137" s="221" t="n"/>
    </row>
    <row r="1138" ht="15" customHeight="1" s="131">
      <c r="A1138" s="220" t="n"/>
      <c r="B1138" s="222" t="n"/>
      <c r="C1138" s="222" t="n"/>
      <c r="D1138" s="220" t="n"/>
      <c r="E1138" s="220" t="n"/>
      <c r="F1138" s="181" t="n"/>
      <c r="G1138" s="219" t="n"/>
      <c r="H1138" s="220" t="n"/>
      <c r="I1138" s="221" t="n"/>
    </row>
    <row r="1139" ht="15" customHeight="1" s="131">
      <c r="A1139" s="220" t="n"/>
      <c r="B1139" s="222" t="n"/>
      <c r="C1139" s="222" t="n"/>
      <c r="D1139" s="220" t="n"/>
      <c r="E1139" s="220" t="n"/>
      <c r="F1139" s="181" t="n"/>
      <c r="G1139" s="219" t="n"/>
      <c r="H1139" s="220" t="n"/>
      <c r="I1139" s="221" t="n"/>
    </row>
    <row r="1140" ht="15" customHeight="1" s="131">
      <c r="A1140" s="220" t="n"/>
      <c r="B1140" s="222" t="n"/>
      <c r="C1140" s="222" t="n"/>
      <c r="D1140" s="220" t="n"/>
      <c r="E1140" s="220" t="n"/>
      <c r="F1140" s="181" t="n"/>
      <c r="G1140" s="219" t="n"/>
      <c r="H1140" s="220" t="n"/>
      <c r="I1140" s="221" t="n"/>
    </row>
    <row r="1141" ht="15" customHeight="1" s="131">
      <c r="A1141" s="220" t="n"/>
      <c r="B1141" s="222" t="n"/>
      <c r="C1141" s="222" t="n"/>
      <c r="D1141" s="220" t="n"/>
      <c r="E1141" s="220" t="n"/>
      <c r="F1141" s="181" t="n"/>
      <c r="G1141" s="219" t="n"/>
      <c r="H1141" s="220" t="n"/>
      <c r="I1141" s="221" t="n"/>
    </row>
    <row r="1142" ht="15" customHeight="1" s="131">
      <c r="A1142" s="220" t="n"/>
      <c r="B1142" s="222" t="n"/>
      <c r="C1142" s="222" t="n"/>
      <c r="D1142" s="220" t="n"/>
      <c r="E1142" s="220" t="n"/>
      <c r="F1142" s="181" t="n"/>
      <c r="G1142" s="219" t="n"/>
      <c r="H1142" s="220" t="n"/>
      <c r="I1142" s="221" t="n"/>
    </row>
    <row r="1143" ht="15" customHeight="1" s="131">
      <c r="A1143" s="220" t="n"/>
      <c r="B1143" s="222" t="n"/>
      <c r="C1143" s="222" t="n"/>
      <c r="D1143" s="220" t="n"/>
      <c r="E1143" s="220" t="n"/>
      <c r="F1143" s="181" t="n"/>
      <c r="G1143" s="219" t="n"/>
      <c r="H1143" s="220" t="n"/>
      <c r="I1143" s="221" t="n"/>
    </row>
    <row r="1144" ht="15" customHeight="1" s="131">
      <c r="A1144" s="220" t="n"/>
      <c r="B1144" s="222" t="n"/>
      <c r="C1144" s="222" t="n"/>
      <c r="D1144" s="220" t="n"/>
      <c r="E1144" s="220" t="n"/>
      <c r="F1144" s="181" t="n"/>
      <c r="G1144" s="219" t="n"/>
      <c r="H1144" s="220" t="n"/>
      <c r="I1144" s="221" t="n"/>
    </row>
    <row r="1145" ht="15" customHeight="1" s="131">
      <c r="A1145" s="220" t="n"/>
      <c r="B1145" s="222" t="n"/>
      <c r="C1145" s="222" t="n"/>
      <c r="D1145" s="220" t="n"/>
      <c r="E1145" s="220" t="n"/>
      <c r="F1145" s="181" t="n"/>
      <c r="G1145" s="219" t="n"/>
      <c r="H1145" s="220" t="n"/>
      <c r="I1145" s="221" t="n"/>
    </row>
    <row r="1146" ht="15" customHeight="1" s="131">
      <c r="A1146" s="220" t="n"/>
      <c r="B1146" s="222" t="n"/>
      <c r="C1146" s="222" t="n"/>
      <c r="D1146" s="220" t="n"/>
      <c r="E1146" s="220" t="n"/>
      <c r="F1146" s="181" t="n"/>
      <c r="G1146" s="219" t="n"/>
      <c r="H1146" s="220" t="n"/>
      <c r="I1146" s="221" t="n"/>
    </row>
    <row r="1147" ht="15" customHeight="1" s="131">
      <c r="A1147" s="220" t="n"/>
      <c r="B1147" s="222" t="n"/>
      <c r="C1147" s="222" t="n"/>
      <c r="D1147" s="220" t="n"/>
      <c r="E1147" s="220" t="n"/>
      <c r="F1147" s="181" t="n"/>
      <c r="G1147" s="219" t="n"/>
      <c r="H1147" s="220" t="n"/>
      <c r="I1147" s="221" t="n"/>
    </row>
    <row r="1148" ht="15" customHeight="1" s="131">
      <c r="A1148" s="220" t="n"/>
      <c r="B1148" s="222" t="n"/>
      <c r="C1148" s="222" t="n"/>
      <c r="D1148" s="220" t="n"/>
      <c r="E1148" s="220" t="n"/>
      <c r="F1148" s="181" t="n"/>
      <c r="G1148" s="219" t="n"/>
      <c r="H1148" s="220" t="n"/>
      <c r="I1148" s="221" t="n"/>
    </row>
    <row r="1149" ht="15" customHeight="1" s="131">
      <c r="A1149" s="220" t="n"/>
      <c r="B1149" s="222" t="n"/>
      <c r="C1149" s="222" t="n"/>
      <c r="D1149" s="220" t="n"/>
      <c r="E1149" s="220" t="n"/>
      <c r="F1149" s="181" t="n"/>
      <c r="G1149" s="219" t="n"/>
      <c r="H1149" s="220" t="n"/>
      <c r="I1149" s="221" t="n"/>
    </row>
    <row r="1150" ht="15" customHeight="1" s="131">
      <c r="A1150" s="220" t="n"/>
      <c r="B1150" s="222" t="n"/>
      <c r="C1150" s="222" t="n"/>
      <c r="D1150" s="220" t="n"/>
      <c r="E1150" s="220" t="n"/>
      <c r="F1150" s="181" t="n"/>
      <c r="G1150" s="219" t="n"/>
      <c r="H1150" s="220" t="n"/>
      <c r="I1150" s="221" t="n"/>
    </row>
    <row r="1151" ht="15" customHeight="1" s="131">
      <c r="A1151" s="220" t="n"/>
      <c r="B1151" s="222" t="n"/>
      <c r="C1151" s="222" t="n"/>
      <c r="D1151" s="220" t="n"/>
      <c r="E1151" s="220" t="n"/>
      <c r="F1151" s="181" t="n"/>
      <c r="G1151" s="219" t="n"/>
      <c r="H1151" s="220" t="n"/>
      <c r="I1151" s="221" t="n"/>
    </row>
    <row r="1152" ht="15" customHeight="1" s="131">
      <c r="A1152" s="220" t="n"/>
      <c r="B1152" s="222" t="n"/>
      <c r="C1152" s="222" t="n"/>
      <c r="D1152" s="220" t="n"/>
      <c r="E1152" s="220" t="n"/>
      <c r="F1152" s="181" t="n"/>
      <c r="G1152" s="219" t="n"/>
      <c r="H1152" s="220" t="n"/>
      <c r="I1152" s="221" t="n"/>
    </row>
    <row r="1153" ht="15" customHeight="1" s="131">
      <c r="A1153" s="220" t="n"/>
      <c r="B1153" s="222" t="n"/>
      <c r="C1153" s="222" t="n"/>
      <c r="D1153" s="220" t="n"/>
      <c r="E1153" s="220" t="n"/>
      <c r="F1153" s="181" t="n"/>
      <c r="G1153" s="219" t="n"/>
      <c r="H1153" s="220" t="n"/>
      <c r="I1153" s="221" t="n"/>
    </row>
    <row r="1154" ht="15" customHeight="1" s="131">
      <c r="A1154" s="220" t="n"/>
      <c r="B1154" s="222" t="n"/>
      <c r="C1154" s="222" t="n"/>
      <c r="D1154" s="220" t="n"/>
      <c r="E1154" s="220" t="n"/>
      <c r="F1154" s="181" t="n"/>
      <c r="G1154" s="219" t="n"/>
      <c r="H1154" s="220" t="n"/>
      <c r="I1154" s="221" t="n"/>
    </row>
    <row r="1155" ht="15" customHeight="1" s="131">
      <c r="A1155" s="220" t="n"/>
      <c r="B1155" s="222" t="n"/>
      <c r="C1155" s="222" t="n"/>
      <c r="D1155" s="220" t="n"/>
      <c r="E1155" s="220" t="n"/>
      <c r="F1155" s="181" t="n"/>
      <c r="G1155" s="219" t="n"/>
      <c r="H1155" s="220" t="n"/>
      <c r="I1155" s="221" t="n"/>
    </row>
    <row r="1156" ht="15" customHeight="1" s="131">
      <c r="A1156" s="220" t="n"/>
      <c r="B1156" s="222" t="n"/>
      <c r="C1156" s="222" t="n"/>
      <c r="D1156" s="220" t="n"/>
      <c r="E1156" s="220" t="n"/>
      <c r="F1156" s="181" t="n"/>
      <c r="G1156" s="219" t="n"/>
      <c r="H1156" s="220" t="n"/>
      <c r="I1156" s="221" t="n"/>
    </row>
    <row r="1157" ht="15" customHeight="1" s="131">
      <c r="A1157" s="220" t="n"/>
      <c r="B1157" s="222" t="n"/>
      <c r="C1157" s="222" t="n"/>
      <c r="D1157" s="220" t="n"/>
      <c r="E1157" s="220" t="n"/>
      <c r="F1157" s="181" t="n"/>
      <c r="G1157" s="219" t="n"/>
      <c r="H1157" s="220" t="n"/>
      <c r="I1157" s="221" t="n"/>
    </row>
    <row r="1158" ht="15" customHeight="1" s="131">
      <c r="A1158" s="220" t="n"/>
      <c r="B1158" s="222" t="n"/>
      <c r="C1158" s="222" t="n"/>
      <c r="D1158" s="220" t="n"/>
      <c r="E1158" s="220" t="n"/>
      <c r="F1158" s="181" t="n"/>
      <c r="G1158" s="219" t="n"/>
      <c r="H1158" s="220" t="n"/>
      <c r="I1158" s="221" t="n"/>
    </row>
    <row r="1159" ht="15" customHeight="1" s="131">
      <c r="A1159" s="220" t="n"/>
      <c r="B1159" s="222" t="n"/>
      <c r="C1159" s="222" t="n"/>
      <c r="D1159" s="220" t="n"/>
      <c r="E1159" s="220" t="n"/>
      <c r="F1159" s="181" t="n"/>
      <c r="G1159" s="219" t="n"/>
      <c r="H1159" s="220" t="n"/>
      <c r="I1159" s="221" t="n"/>
    </row>
    <row r="1160" ht="15" customHeight="1" s="131">
      <c r="A1160" s="220" t="n"/>
      <c r="B1160" s="222" t="n"/>
      <c r="C1160" s="222" t="n"/>
      <c r="D1160" s="220" t="n"/>
      <c r="E1160" s="220" t="n"/>
      <c r="F1160" s="181" t="n"/>
      <c r="G1160" s="219" t="n"/>
      <c r="H1160" s="220" t="n"/>
      <c r="I1160" s="221" t="n"/>
    </row>
    <row r="1161" ht="15" customHeight="1" s="131">
      <c r="A1161" s="220" t="n"/>
      <c r="B1161" s="222" t="n"/>
      <c r="C1161" s="222" t="n"/>
      <c r="D1161" s="220" t="n"/>
      <c r="E1161" s="220" t="n"/>
      <c r="F1161" s="181" t="n"/>
      <c r="G1161" s="219" t="n"/>
      <c r="H1161" s="220" t="n"/>
      <c r="I1161" s="221" t="n"/>
    </row>
    <row r="1162" ht="15" customHeight="1" s="131">
      <c r="A1162" s="220" t="n"/>
      <c r="B1162" s="222" t="n"/>
      <c r="C1162" s="222" t="n"/>
      <c r="D1162" s="220" t="n"/>
      <c r="E1162" s="220" t="n"/>
      <c r="F1162" s="181" t="n"/>
      <c r="G1162" s="219" t="n"/>
      <c r="H1162" s="220" t="n"/>
      <c r="I1162" s="221" t="n"/>
    </row>
    <row r="1163" ht="15" customHeight="1" s="131">
      <c r="A1163" s="220" t="n"/>
      <c r="B1163" s="222" t="n"/>
      <c r="C1163" s="222" t="n"/>
      <c r="D1163" s="220" t="n"/>
      <c r="E1163" s="220" t="n"/>
      <c r="F1163" s="181" t="n"/>
      <c r="G1163" s="219" t="n"/>
      <c r="H1163" s="220" t="n"/>
      <c r="I1163" s="221" t="n"/>
    </row>
    <row r="1164" ht="15" customHeight="1" s="131">
      <c r="A1164" s="220" t="n"/>
      <c r="B1164" s="222" t="n"/>
      <c r="C1164" s="222" t="n"/>
      <c r="D1164" s="220" t="n"/>
      <c r="E1164" s="220" t="n"/>
      <c r="F1164" s="181" t="n"/>
      <c r="G1164" s="219" t="n"/>
      <c r="H1164" s="220" t="n"/>
      <c r="I1164" s="221" t="n"/>
    </row>
    <row r="1165" ht="15" customHeight="1" s="131">
      <c r="A1165" s="220" t="n"/>
      <c r="B1165" s="222" t="n"/>
      <c r="C1165" s="222" t="n"/>
      <c r="D1165" s="220" t="n"/>
      <c r="E1165" s="220" t="n"/>
      <c r="F1165" s="181" t="n"/>
      <c r="G1165" s="219" t="n"/>
      <c r="H1165" s="220" t="n"/>
      <c r="I1165" s="221" t="n"/>
    </row>
    <row r="1166" ht="15" customHeight="1" s="131">
      <c r="A1166" s="220" t="n"/>
      <c r="B1166" s="222" t="n"/>
      <c r="C1166" s="222" t="n"/>
      <c r="D1166" s="220" t="n"/>
      <c r="E1166" s="220" t="n"/>
      <c r="F1166" s="181" t="n"/>
      <c r="G1166" s="219" t="n"/>
      <c r="H1166" s="220" t="n"/>
      <c r="I1166" s="221" t="n"/>
    </row>
    <row r="1167" ht="15" customHeight="1" s="131">
      <c r="A1167" s="220" t="n"/>
      <c r="B1167" s="222" t="n"/>
      <c r="C1167" s="222" t="n"/>
      <c r="D1167" s="220" t="n"/>
      <c r="E1167" s="220" t="n"/>
      <c r="F1167" s="181" t="n"/>
      <c r="G1167" s="219" t="n"/>
      <c r="H1167" s="220" t="n"/>
      <c r="I1167" s="221" t="n"/>
    </row>
    <row r="1168" ht="15" customHeight="1" s="131">
      <c r="A1168" s="220" t="n"/>
      <c r="B1168" s="222" t="n"/>
      <c r="C1168" s="222" t="n"/>
      <c r="D1168" s="220" t="n"/>
      <c r="E1168" s="220" t="n"/>
      <c r="F1168" s="181" t="n"/>
      <c r="G1168" s="219" t="n"/>
      <c r="H1168" s="220" t="n"/>
      <c r="I1168" s="221" t="n"/>
    </row>
    <row r="1169" ht="15" customHeight="1" s="131">
      <c r="A1169" s="220" t="n"/>
      <c r="B1169" s="222" t="n"/>
      <c r="C1169" s="222" t="n"/>
      <c r="D1169" s="220" t="n"/>
      <c r="E1169" s="220" t="n"/>
      <c r="F1169" s="181" t="n"/>
      <c r="G1169" s="219" t="n"/>
      <c r="H1169" s="220" t="n"/>
      <c r="I1169" s="221" t="n"/>
    </row>
    <row r="1170" ht="15" customHeight="1" s="131">
      <c r="A1170" s="220" t="n"/>
      <c r="B1170" s="222" t="n"/>
      <c r="C1170" s="222" t="n"/>
      <c r="D1170" s="220" t="n"/>
      <c r="E1170" s="220" t="n"/>
      <c r="F1170" s="181" t="n"/>
      <c r="G1170" s="219" t="n"/>
      <c r="H1170" s="220" t="n"/>
      <c r="I1170" s="221" t="n"/>
    </row>
    <row r="1171" ht="15" customHeight="1" s="131">
      <c r="A1171" s="220" t="n"/>
      <c r="B1171" s="222" t="n"/>
      <c r="C1171" s="222" t="n"/>
      <c r="D1171" s="220" t="n"/>
      <c r="E1171" s="220" t="n"/>
      <c r="F1171" s="181" t="n"/>
      <c r="G1171" s="219" t="n"/>
      <c r="H1171" s="220" t="n"/>
      <c r="I1171" s="221" t="n"/>
    </row>
    <row r="1172" ht="15" customHeight="1" s="131">
      <c r="A1172" s="220" t="n"/>
      <c r="B1172" s="222" t="n"/>
      <c r="C1172" s="222" t="n"/>
      <c r="D1172" s="220" t="n"/>
      <c r="E1172" s="220" t="n"/>
      <c r="F1172" s="181" t="n"/>
      <c r="G1172" s="219" t="n"/>
      <c r="H1172" s="220" t="n"/>
      <c r="I1172" s="221" t="n"/>
    </row>
    <row r="1173" ht="15" customHeight="1" s="131">
      <c r="A1173" s="220" t="n"/>
      <c r="B1173" s="222" t="n"/>
      <c r="C1173" s="222" t="n"/>
      <c r="D1173" s="220" t="n"/>
      <c r="E1173" s="220" t="n"/>
      <c r="F1173" s="181" t="n"/>
      <c r="G1173" s="219" t="n"/>
      <c r="H1173" s="220" t="n"/>
      <c r="I1173" s="221" t="n"/>
    </row>
    <row r="1174" ht="15" customHeight="1" s="131">
      <c r="A1174" s="220" t="n"/>
      <c r="B1174" s="222" t="n"/>
      <c r="C1174" s="222" t="n"/>
      <c r="D1174" s="220" t="n"/>
      <c r="E1174" s="220" t="n"/>
      <c r="F1174" s="181" t="n"/>
      <c r="G1174" s="219" t="n"/>
      <c r="H1174" s="220" t="n"/>
      <c r="I1174" s="221" t="n"/>
    </row>
    <row r="1175" ht="15" customHeight="1" s="131">
      <c r="A1175" s="220" t="n"/>
      <c r="B1175" s="222" t="n"/>
      <c r="C1175" s="222" t="n"/>
      <c r="D1175" s="220" t="n"/>
      <c r="E1175" s="220" t="n"/>
      <c r="F1175" s="181" t="n"/>
      <c r="G1175" s="219" t="n"/>
      <c r="H1175" s="220" t="n"/>
      <c r="I1175" s="221" t="n"/>
    </row>
    <row r="1176" ht="15" customHeight="1" s="131">
      <c r="A1176" s="220" t="n"/>
      <c r="B1176" s="222" t="n"/>
      <c r="C1176" s="222" t="n"/>
      <c r="D1176" s="220" t="n"/>
      <c r="E1176" s="220" t="n"/>
      <c r="F1176" s="181" t="n"/>
      <c r="G1176" s="219" t="n"/>
      <c r="H1176" s="220" t="n"/>
      <c r="I1176" s="221" t="n"/>
    </row>
    <row r="1177" ht="15" customHeight="1" s="131">
      <c r="A1177" s="220" t="n"/>
      <c r="B1177" s="222" t="n"/>
      <c r="C1177" s="222" t="n"/>
      <c r="D1177" s="220" t="n"/>
      <c r="E1177" s="220" t="n"/>
      <c r="F1177" s="181" t="n"/>
      <c r="G1177" s="219" t="n"/>
      <c r="H1177" s="220" t="n"/>
      <c r="I1177" s="221" t="n"/>
    </row>
    <row r="1178" ht="15" customHeight="1" s="131">
      <c r="A1178" s="220" t="n"/>
      <c r="B1178" s="222" t="n"/>
      <c r="C1178" s="222" t="n"/>
      <c r="D1178" s="220" t="n"/>
      <c r="E1178" s="220" t="n"/>
      <c r="F1178" s="181" t="n"/>
      <c r="G1178" s="219" t="n"/>
      <c r="H1178" s="220" t="n"/>
      <c r="I1178" s="221" t="n"/>
    </row>
    <row r="1179" ht="15" customHeight="1" s="131">
      <c r="A1179" s="220" t="n"/>
      <c r="B1179" s="222" t="n"/>
      <c r="C1179" s="222" t="n"/>
      <c r="D1179" s="220" t="n"/>
      <c r="E1179" s="220" t="n"/>
      <c r="F1179" s="181" t="n"/>
      <c r="G1179" s="219" t="n"/>
      <c r="H1179" s="220" t="n"/>
      <c r="I1179" s="221" t="n"/>
    </row>
    <row r="1180" ht="15" customHeight="1" s="131">
      <c r="A1180" s="220" t="n"/>
      <c r="B1180" s="222" t="n"/>
      <c r="C1180" s="222" t="n"/>
      <c r="D1180" s="220" t="n"/>
      <c r="E1180" s="220" t="n"/>
      <c r="F1180" s="181" t="n"/>
      <c r="G1180" s="219" t="n"/>
      <c r="H1180" s="220" t="n"/>
      <c r="I1180" s="221" t="n"/>
    </row>
    <row r="1181" ht="15" customHeight="1" s="131">
      <c r="A1181" s="220" t="n"/>
      <c r="B1181" s="222" t="n"/>
      <c r="C1181" s="222" t="n"/>
      <c r="D1181" s="220" t="n"/>
      <c r="E1181" s="220" t="n"/>
      <c r="F1181" s="181" t="n"/>
      <c r="G1181" s="219" t="n"/>
      <c r="H1181" s="220" t="n"/>
      <c r="I1181" s="221" t="n"/>
    </row>
    <row r="1182" ht="15" customHeight="1" s="131">
      <c r="A1182" s="220" t="n"/>
      <c r="B1182" s="222" t="n"/>
      <c r="C1182" s="222" t="n"/>
      <c r="D1182" s="220" t="n"/>
      <c r="E1182" s="220" t="n"/>
      <c r="F1182" s="181" t="n"/>
      <c r="G1182" s="219" t="n"/>
      <c r="H1182" s="220" t="n"/>
      <c r="I1182" s="221" t="n"/>
    </row>
    <row r="1183" ht="15" customHeight="1" s="131">
      <c r="A1183" s="220" t="n"/>
      <c r="B1183" s="222" t="n"/>
      <c r="C1183" s="222" t="n"/>
      <c r="D1183" s="220" t="n"/>
      <c r="E1183" s="220" t="n"/>
      <c r="F1183" s="181" t="n"/>
      <c r="G1183" s="219" t="n"/>
      <c r="H1183" s="220" t="n"/>
      <c r="I1183" s="221" t="n"/>
    </row>
    <row r="1184" ht="15" customHeight="1" s="131">
      <c r="A1184" s="220" t="n"/>
      <c r="B1184" s="222" t="n"/>
      <c r="C1184" s="222" t="n"/>
      <c r="D1184" s="220" t="n"/>
      <c r="E1184" s="220" t="n"/>
      <c r="F1184" s="181" t="n"/>
      <c r="G1184" s="219" t="n"/>
      <c r="H1184" s="220" t="n"/>
      <c r="I1184" s="221" t="n"/>
    </row>
    <row r="1185" ht="15" customHeight="1" s="131">
      <c r="A1185" s="220" t="n"/>
      <c r="B1185" s="222" t="n"/>
      <c r="C1185" s="222" t="n"/>
      <c r="D1185" s="220" t="n"/>
      <c r="E1185" s="220" t="n"/>
      <c r="F1185" s="181" t="n"/>
      <c r="G1185" s="219" t="n"/>
      <c r="H1185" s="220" t="n"/>
      <c r="I1185" s="221" t="n"/>
    </row>
    <row r="1186" ht="15" customHeight="1" s="131">
      <c r="A1186" s="220" t="n"/>
      <c r="B1186" s="222" t="n"/>
      <c r="C1186" s="222" t="n"/>
      <c r="D1186" s="220" t="n"/>
      <c r="E1186" s="220" t="n"/>
      <c r="F1186" s="181" t="n"/>
      <c r="G1186" s="219" t="n"/>
      <c r="H1186" s="220" t="n"/>
      <c r="I1186" s="221" t="n"/>
    </row>
    <row r="1187" ht="15" customHeight="1" s="131">
      <c r="A1187" s="220" t="n"/>
      <c r="B1187" s="222" t="n"/>
      <c r="C1187" s="222" t="n"/>
      <c r="D1187" s="220" t="n"/>
      <c r="E1187" s="220" t="n"/>
      <c r="F1187" s="181" t="n"/>
      <c r="G1187" s="219" t="n"/>
      <c r="H1187" s="220" t="n"/>
      <c r="I1187" s="221" t="n"/>
    </row>
    <row r="1188" ht="15" customHeight="1" s="131">
      <c r="A1188" s="220" t="n"/>
      <c r="B1188" s="222" t="n"/>
      <c r="C1188" s="222" t="n"/>
      <c r="D1188" s="220" t="n"/>
      <c r="E1188" s="220" t="n"/>
      <c r="F1188" s="181" t="n"/>
      <c r="G1188" s="219" t="n"/>
      <c r="H1188" s="220" t="n"/>
      <c r="I1188" s="221" t="n"/>
    </row>
    <row r="1189" ht="15" customHeight="1" s="131">
      <c r="A1189" s="220" t="n"/>
      <c r="B1189" s="222" t="n"/>
      <c r="C1189" s="222" t="n"/>
      <c r="D1189" s="220" t="n"/>
      <c r="E1189" s="220" t="n"/>
      <c r="F1189" s="181" t="n"/>
      <c r="G1189" s="219" t="n"/>
      <c r="H1189" s="220" t="n"/>
      <c r="I1189" s="221" t="n"/>
    </row>
    <row r="1190" ht="15" customHeight="1" s="131">
      <c r="A1190" s="220" t="n"/>
      <c r="B1190" s="222" t="n"/>
      <c r="C1190" s="222" t="n"/>
      <c r="D1190" s="220" t="n"/>
      <c r="E1190" s="220" t="n"/>
      <c r="F1190" s="181" t="n"/>
      <c r="G1190" s="219" t="n"/>
      <c r="H1190" s="220" t="n"/>
      <c r="I1190" s="221" t="n"/>
    </row>
    <row r="1191" ht="15" customHeight="1" s="131">
      <c r="A1191" s="220" t="n"/>
      <c r="B1191" s="222" t="n"/>
      <c r="C1191" s="222" t="n"/>
      <c r="D1191" s="220" t="n"/>
      <c r="E1191" s="220" t="n"/>
      <c r="F1191" s="181" t="n"/>
      <c r="G1191" s="219" t="n"/>
      <c r="H1191" s="220" t="n"/>
      <c r="I1191" s="221" t="n"/>
    </row>
    <row r="1192" ht="15" customHeight="1" s="131">
      <c r="A1192" s="220" t="n"/>
      <c r="B1192" s="222" t="n"/>
      <c r="C1192" s="222" t="n"/>
      <c r="D1192" s="220" t="n"/>
      <c r="E1192" s="220" t="n"/>
      <c r="F1192" s="181" t="n"/>
      <c r="G1192" s="219" t="n"/>
      <c r="H1192" s="220" t="n"/>
      <c r="I1192" s="221" t="n"/>
    </row>
    <row r="1193" ht="15" customHeight="1" s="131">
      <c r="A1193" s="220" t="n"/>
      <c r="B1193" s="222" t="n"/>
      <c r="C1193" s="222" t="n"/>
      <c r="D1193" s="220" t="n"/>
      <c r="E1193" s="220" t="n"/>
      <c r="F1193" s="181" t="n"/>
      <c r="G1193" s="219" t="n"/>
      <c r="H1193" s="220" t="n"/>
      <c r="I1193" s="221" t="n"/>
    </row>
    <row r="1194" ht="15" customHeight="1" s="131">
      <c r="A1194" s="220" t="n"/>
      <c r="B1194" s="222" t="n"/>
      <c r="C1194" s="222" t="n"/>
      <c r="D1194" s="220" t="n"/>
      <c r="E1194" s="220" t="n"/>
      <c r="F1194" s="181" t="n"/>
      <c r="G1194" s="219" t="n"/>
      <c r="H1194" s="220" t="n"/>
      <c r="I1194" s="221" t="n"/>
    </row>
    <row r="1195" ht="15" customHeight="1" s="131">
      <c r="A1195" s="220" t="n"/>
      <c r="B1195" s="222" t="n"/>
      <c r="C1195" s="222" t="n"/>
      <c r="D1195" s="220" t="n"/>
      <c r="E1195" s="220" t="n"/>
      <c r="F1195" s="181" t="n"/>
      <c r="G1195" s="219" t="n"/>
      <c r="H1195" s="220" t="n"/>
      <c r="I1195" s="221" t="n"/>
    </row>
    <row r="1196" ht="15" customHeight="1" s="131">
      <c r="A1196" s="220" t="n"/>
      <c r="B1196" s="222" t="n"/>
      <c r="C1196" s="222" t="n"/>
      <c r="D1196" s="220" t="n"/>
      <c r="E1196" s="220" t="n"/>
      <c r="F1196" s="181" t="n"/>
      <c r="G1196" s="219" t="n"/>
      <c r="H1196" s="220" t="n"/>
      <c r="I1196" s="221" t="n"/>
    </row>
    <row r="1197" ht="15" customHeight="1" s="131">
      <c r="A1197" s="220" t="n"/>
      <c r="B1197" s="222" t="n"/>
      <c r="C1197" s="222" t="n"/>
      <c r="D1197" s="220" t="n"/>
      <c r="E1197" s="220" t="n"/>
      <c r="F1197" s="181" t="n"/>
      <c r="G1197" s="219" t="n"/>
      <c r="H1197" s="220" t="n"/>
      <c r="I1197" s="221" t="n"/>
    </row>
    <row r="1198" ht="15" customHeight="1" s="131">
      <c r="A1198" s="220" t="n"/>
      <c r="B1198" s="222" t="n"/>
      <c r="C1198" s="222" t="n"/>
      <c r="D1198" s="220" t="n"/>
      <c r="E1198" s="220" t="n"/>
      <c r="F1198" s="181" t="n"/>
      <c r="G1198" s="219" t="n"/>
      <c r="H1198" s="220" t="n"/>
      <c r="I1198" s="221" t="n"/>
    </row>
    <row r="1199" ht="15" customHeight="1" s="131">
      <c r="A1199" s="220" t="n"/>
      <c r="B1199" s="222" t="n"/>
      <c r="C1199" s="222" t="n"/>
      <c r="D1199" s="220" t="n"/>
      <c r="E1199" s="220" t="n"/>
      <c r="F1199" s="181" t="n"/>
      <c r="G1199" s="219" t="n"/>
      <c r="H1199" s="220" t="n"/>
      <c r="I1199" s="221" t="n"/>
    </row>
    <row r="1200" ht="15" customHeight="1" s="131">
      <c r="A1200" s="220" t="n"/>
      <c r="B1200" s="222" t="n"/>
      <c r="C1200" s="222" t="n"/>
      <c r="D1200" s="220" t="n"/>
      <c r="E1200" s="220" t="n"/>
      <c r="F1200" s="181" t="n"/>
      <c r="G1200" s="219" t="n"/>
      <c r="H1200" s="220" t="n"/>
      <c r="I1200" s="221" t="n"/>
    </row>
  </sheetData>
  <mergeCells count="2">
    <mergeCell ref="A1:P1"/>
    <mergeCell ref="A2:P2"/>
  </mergeCells>
  <conditionalFormatting sqref="P5:P600">
    <cfRule type="expression" priority="2" dxfId="16">
      <formula>LEFT(P5,4)="ERRO"</formula>
    </cfRule>
    <cfRule type="expression" priority="3" dxfId="17">
      <formula>P5="OK"</formula>
    </cfRule>
  </conditionalFormatting>
  <dataValidations count="2">
    <dataValidation sqref="A5:A600" showDropDown="0" showInputMessage="0" showErrorMessage="0" allowBlank="1" type="list">
      <formula1>LST_SEMESTRES</formula1>
    </dataValidation>
    <dataValidation sqref="B5:B600" showDropDown="0" showInputMessage="0" showErrorMessage="0" allowBlank="1" type="list">
      <formula1>LST_CURSOS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H4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56" customWidth="1" style="130" min="2" max="2"/>
    <col width="32" customWidth="1" style="130" min="3" max="3"/>
    <col width="16" customWidth="1" style="130" min="4" max="5"/>
    <col width="14" customWidth="1" style="131" min="5" max="5"/>
    <col width="18" customWidth="1" style="130" min="6" max="6"/>
    <col width="18" customWidth="1" style="130" min="7" max="7"/>
    <col width="54" customWidth="1" style="130" min="8" max="8"/>
  </cols>
  <sheetData>
    <row r="1" ht="24" customHeight="1" s="131">
      <c r="A1" s="262" t="inlineStr">
        <is>
          <t>METAS COM VIGÊNCIA — HISTÓRICO PRESERVADO</t>
        </is>
      </c>
    </row>
    <row r="2" ht="30" customHeight="1" s="131">
      <c r="A2" s="263" t="inlineStr">
        <is>
          <t>Acrescente nova linha para mudar uma meta. AAAA-SEM1 começa em janeiro; AAAA-SEM2 começa em julho. Recorte: TOTAL, curso ou Curso » Disciplina.</t>
        </is>
      </c>
    </row>
    <row r="3"/>
    <row r="4" ht="30" customHeight="1" s="131">
      <c r="A4" s="282" t="inlineStr">
        <is>
          <t>KPI</t>
        </is>
      </c>
      <c r="B4" s="282" t="inlineStr">
        <is>
          <t>Recorte</t>
        </is>
      </c>
      <c r="C4" s="282" t="inlineStr">
        <is>
          <t>Vigência (AAAA-MM ou AAAA-SEM1/2)</t>
        </is>
      </c>
      <c r="D4" s="282" t="inlineStr">
        <is>
          <t>Chave (calc.)</t>
        </is>
      </c>
      <c r="E4" s="282" t="inlineStr">
        <is>
          <t>Meta</t>
        </is>
      </c>
      <c r="F4" s="282" t="inlineStr">
        <is>
          <t>Limiar de atenção</t>
        </is>
      </c>
      <c r="G4" s="282" t="inlineStr">
        <is>
          <t>Limite superior</t>
        </is>
      </c>
      <c r="H4" s="282" t="inlineStr">
        <is>
          <t>Justificativa</t>
        </is>
      </c>
    </row>
    <row r="5" ht="15" customHeight="1" s="131">
      <c r="A5" s="320" t="n"/>
      <c r="B5" s="333" t="n"/>
      <c r="C5" s="320" t="n"/>
      <c r="D5" s="278">
        <f>IF(C5="","",IF(ISNUMBER(SEARCH("-SEM",C5)),VALUE(LEFT(C5,4)&amp;IF(RIGHT(C5,1)="1","01","07")),VALUE(SUBSTITUTE(C5,"-",""))))</f>
        <v/>
      </c>
      <c r="E5" s="334" t="n"/>
      <c r="F5" s="334" t="n"/>
      <c r="G5" s="334" t="n"/>
      <c r="H5" s="333" t="n"/>
    </row>
    <row r="6" ht="15" customHeight="1" s="131">
      <c r="A6" s="320" t="n"/>
      <c r="B6" s="333" t="n"/>
      <c r="C6" s="320" t="n"/>
      <c r="D6" s="278">
        <f>IF(C6="","",IF(ISNUMBER(SEARCH("-SEM",C6)),VALUE(LEFT(C6,4)&amp;IF(RIGHT(C6,1)="1","01","07")),VALUE(SUBSTITUTE(C6,"-",""))))</f>
        <v/>
      </c>
      <c r="E6" s="335" t="n"/>
      <c r="F6" s="335" t="n"/>
      <c r="G6" s="335" t="n"/>
      <c r="H6" s="333" t="n"/>
    </row>
    <row r="7" ht="15" customHeight="1" s="131">
      <c r="A7" s="320" t="n"/>
      <c r="B7" s="333" t="n"/>
      <c r="C7" s="320" t="n"/>
      <c r="D7" s="278">
        <f>IF(C7="","",IF(ISNUMBER(SEARCH("-SEM",C7)),VALUE(LEFT(C7,4)&amp;IF(RIGHT(C7,1)="1","01","07")),VALUE(SUBSTITUTE(C7,"-",""))))</f>
        <v/>
      </c>
      <c r="E7" s="335" t="n"/>
      <c r="F7" s="335" t="n"/>
      <c r="G7" s="335" t="n"/>
      <c r="H7" s="333" t="n"/>
    </row>
    <row r="8" ht="15" customHeight="1" s="131">
      <c r="A8" s="320" t="n"/>
      <c r="B8" s="333" t="n"/>
      <c r="C8" s="320" t="n"/>
      <c r="D8" s="278">
        <f>IF(C8="","",IF(ISNUMBER(SEARCH("-SEM",C8)),VALUE(LEFT(C8,4)&amp;IF(RIGHT(C8,1)="1","01","07")),VALUE(SUBSTITUTE(C8,"-",""))))</f>
        <v/>
      </c>
      <c r="E8" s="335" t="n"/>
      <c r="F8" s="335" t="n"/>
      <c r="G8" s="335" t="n"/>
      <c r="H8" s="333" t="n"/>
    </row>
    <row r="9" ht="15" customHeight="1" s="131">
      <c r="A9" s="320" t="n"/>
      <c r="B9" s="333" t="n"/>
      <c r="C9" s="320" t="n"/>
      <c r="D9" s="278">
        <f>IF(C9="","",IF(ISNUMBER(SEARCH("-SEM",C9)),VALUE(LEFT(C9,4)&amp;IF(RIGHT(C9,1)="1","01","07")),VALUE(SUBSTITUTE(C9,"-",""))))</f>
        <v/>
      </c>
      <c r="E9" s="335" t="n"/>
      <c r="F9" s="335" t="n"/>
      <c r="G9" s="335" t="n"/>
      <c r="H9" s="333" t="n"/>
    </row>
    <row r="10" ht="15" customHeight="1" s="131">
      <c r="A10" s="320" t="n"/>
      <c r="B10" s="333" t="n"/>
      <c r="C10" s="320" t="n"/>
      <c r="D10" s="278">
        <f>IF(C10="","",IF(ISNUMBER(SEARCH("-SEM",C10)),VALUE(LEFT(C10,4)&amp;IF(RIGHT(C10,1)="1","01","07")),VALUE(SUBSTITUTE(C10,"-",""))))</f>
        <v/>
      </c>
      <c r="E10" s="334" t="n"/>
      <c r="F10" s="334" t="n"/>
      <c r="G10" s="334" t="n"/>
      <c r="H10" s="333" t="n"/>
    </row>
    <row r="11" ht="15" customHeight="1" s="131">
      <c r="A11" s="320" t="n"/>
      <c r="B11" s="323" t="n"/>
      <c r="C11" s="320" t="n"/>
      <c r="D11" s="278">
        <f>IF(C11="","",IF(ISNUMBER(SEARCH("-SEM",C11)),VALUE(LEFT(C11,4)&amp;IF(RIGHT(C11,1)="1","01","07")),VALUE(SUBSTITUTE(C11,"-",""))))</f>
        <v/>
      </c>
      <c r="E11" s="320" t="n"/>
      <c r="F11" s="320" t="n"/>
      <c r="G11" s="320" t="n"/>
      <c r="H11" s="323" t="n"/>
    </row>
    <row r="12" ht="15" customHeight="1" s="131">
      <c r="A12" s="320" t="n"/>
      <c r="B12" s="323" t="n"/>
      <c r="C12" s="320" t="n"/>
      <c r="D12" s="278">
        <f>IF(C12="","",IF(ISNUMBER(SEARCH("-SEM",C12)),VALUE(LEFT(C12,4)&amp;IF(RIGHT(C12,1)="1","01","07")),VALUE(SUBSTITUTE(C12,"-",""))))</f>
        <v/>
      </c>
      <c r="E12" s="320" t="n"/>
      <c r="F12" s="320" t="n"/>
      <c r="G12" s="320" t="n"/>
      <c r="H12" s="323" t="n"/>
    </row>
    <row r="13" ht="15" customHeight="1" s="131">
      <c r="A13" s="320" t="n"/>
      <c r="B13" s="323" t="n"/>
      <c r="C13" s="320" t="n"/>
      <c r="D13" s="278">
        <f>IF(C13="","",IF(ISNUMBER(SEARCH("-SEM",C13)),VALUE(LEFT(C13,4)&amp;IF(RIGHT(C13,1)="1","01","07")),VALUE(SUBSTITUTE(C13,"-",""))))</f>
        <v/>
      </c>
      <c r="E13" s="320" t="n"/>
      <c r="F13" s="320" t="n"/>
      <c r="G13" s="320" t="n"/>
      <c r="H13" s="323" t="n"/>
    </row>
    <row r="14" ht="15" customHeight="1" s="131">
      <c r="A14" s="320" t="n"/>
      <c r="B14" s="323" t="n"/>
      <c r="C14" s="320" t="n"/>
      <c r="D14" s="278">
        <f>IF(C14="","",IF(ISNUMBER(SEARCH("-SEM",C14)),VALUE(LEFT(C14,4)&amp;IF(RIGHT(C14,1)="1","01","07")),VALUE(SUBSTITUTE(C14,"-",""))))</f>
        <v/>
      </c>
      <c r="E14" s="320" t="n"/>
      <c r="F14" s="320" t="n"/>
      <c r="G14" s="320" t="n"/>
      <c r="H14" s="323" t="n"/>
    </row>
    <row r="15" ht="15" customHeight="1" s="131">
      <c r="A15" s="320" t="n"/>
      <c r="B15" s="323" t="n"/>
      <c r="C15" s="320" t="n"/>
      <c r="D15" s="278">
        <f>IF(C15="","",IF(ISNUMBER(SEARCH("-SEM",C15)),VALUE(LEFT(C15,4)&amp;IF(RIGHT(C15,1)="1","01","07")),VALUE(SUBSTITUTE(C15,"-",""))))</f>
        <v/>
      </c>
      <c r="E15" s="320" t="n"/>
      <c r="F15" s="320" t="n"/>
      <c r="G15" s="320" t="n"/>
      <c r="H15" s="323" t="n"/>
    </row>
    <row r="16" ht="15" customHeight="1" s="131">
      <c r="A16" s="320" t="n"/>
      <c r="B16" s="323" t="n"/>
      <c r="C16" s="320" t="n"/>
      <c r="D16" s="278">
        <f>IF(C16="","",IF(ISNUMBER(SEARCH("-SEM",C16)),VALUE(LEFT(C16,4)&amp;IF(RIGHT(C16,1)="1","01","07")),VALUE(SUBSTITUTE(C16,"-",""))))</f>
        <v/>
      </c>
      <c r="E16" s="320" t="n"/>
      <c r="F16" s="320" t="n"/>
      <c r="G16" s="320" t="n"/>
      <c r="H16" s="323" t="n"/>
    </row>
    <row r="17" ht="15" customHeight="1" s="131">
      <c r="A17" s="320" t="n"/>
      <c r="B17" s="323" t="n"/>
      <c r="C17" s="320" t="n"/>
      <c r="D17" s="278">
        <f>IF(C17="","",IF(ISNUMBER(SEARCH("-SEM",C17)),VALUE(LEFT(C17,4)&amp;IF(RIGHT(C17,1)="1","01","07")),VALUE(SUBSTITUTE(C17,"-",""))))</f>
        <v/>
      </c>
      <c r="E17" s="320" t="n"/>
      <c r="F17" s="320" t="n"/>
      <c r="G17" s="320" t="n"/>
      <c r="H17" s="323" t="n"/>
    </row>
    <row r="18" ht="15" customHeight="1" s="131">
      <c r="A18" s="320" t="n"/>
      <c r="B18" s="323" t="n"/>
      <c r="C18" s="320" t="n"/>
      <c r="D18" s="278">
        <f>IF(C18="","",IF(ISNUMBER(SEARCH("-SEM",C18)),VALUE(LEFT(C18,4)&amp;IF(RIGHT(C18,1)="1","01","07")),VALUE(SUBSTITUTE(C18,"-",""))))</f>
        <v/>
      </c>
      <c r="E18" s="320" t="n"/>
      <c r="F18" s="320" t="n"/>
      <c r="G18" s="320" t="n"/>
      <c r="H18" s="323" t="n"/>
    </row>
    <row r="19" ht="15" customHeight="1" s="131">
      <c r="A19" s="320" t="n"/>
      <c r="B19" s="323" t="n"/>
      <c r="C19" s="320" t="n"/>
      <c r="D19" s="278">
        <f>IF(C19="","",IF(ISNUMBER(SEARCH("-SEM",C19)),VALUE(LEFT(C19,4)&amp;IF(RIGHT(C19,1)="1","01","07")),VALUE(SUBSTITUTE(C19,"-",""))))</f>
        <v/>
      </c>
      <c r="E19" s="320" t="n"/>
      <c r="F19" s="320" t="n"/>
      <c r="G19" s="320" t="n"/>
      <c r="H19" s="323" t="n"/>
    </row>
    <row r="20" ht="15" customHeight="1" s="131">
      <c r="A20" s="320" t="n"/>
      <c r="B20" s="323" t="n"/>
      <c r="C20" s="320" t="n"/>
      <c r="D20" s="278">
        <f>IF(C20="","",IF(ISNUMBER(SEARCH("-SEM",C20)),VALUE(LEFT(C20,4)&amp;IF(RIGHT(C20,1)="1","01","07")),VALUE(SUBSTITUTE(C20,"-",""))))</f>
        <v/>
      </c>
      <c r="E20" s="320" t="n"/>
      <c r="F20" s="320" t="n"/>
      <c r="G20" s="320" t="n"/>
      <c r="H20" s="323" t="n"/>
    </row>
    <row r="21" ht="15" customHeight="1" s="131">
      <c r="A21" s="320" t="n"/>
      <c r="B21" s="323" t="n"/>
      <c r="C21" s="320" t="n"/>
      <c r="D21" s="278">
        <f>IF(C21="","",IF(ISNUMBER(SEARCH("-SEM",C21)),VALUE(LEFT(C21,4)&amp;IF(RIGHT(C21,1)="1","01","07")),VALUE(SUBSTITUTE(C21,"-",""))))</f>
        <v/>
      </c>
      <c r="E21" s="320" t="n"/>
      <c r="F21" s="320" t="n"/>
      <c r="G21" s="320" t="n"/>
      <c r="H21" s="323" t="n"/>
    </row>
    <row r="22" ht="15" customHeight="1" s="131">
      <c r="A22" s="320" t="n"/>
      <c r="B22" s="323" t="n"/>
      <c r="C22" s="320" t="n"/>
      <c r="D22" s="278">
        <f>IF(C22="","",IF(ISNUMBER(SEARCH("-SEM",C22)),VALUE(LEFT(C22,4)&amp;IF(RIGHT(C22,1)="1","01","07")),VALUE(SUBSTITUTE(C22,"-",""))))</f>
        <v/>
      </c>
      <c r="E22" s="320" t="n"/>
      <c r="F22" s="320" t="n"/>
      <c r="G22" s="320" t="n"/>
      <c r="H22" s="323" t="n"/>
    </row>
    <row r="23" ht="15" customHeight="1" s="131">
      <c r="A23" s="320" t="n"/>
      <c r="B23" s="323" t="n"/>
      <c r="C23" s="320" t="n"/>
      <c r="D23" s="278">
        <f>IF(C23="","",IF(ISNUMBER(SEARCH("-SEM",C23)),VALUE(LEFT(C23,4)&amp;IF(RIGHT(C23,1)="1","01","07")),VALUE(SUBSTITUTE(C23,"-",""))))</f>
        <v/>
      </c>
      <c r="E23" s="320" t="n"/>
      <c r="F23" s="320" t="n"/>
      <c r="G23" s="320" t="n"/>
      <c r="H23" s="323" t="n"/>
    </row>
    <row r="24" ht="15" customHeight="1" s="131">
      <c r="A24" s="320" t="n"/>
      <c r="B24" s="323" t="n"/>
      <c r="C24" s="320" t="n"/>
      <c r="D24" s="278">
        <f>IF(C24="","",IF(ISNUMBER(SEARCH("-SEM",C24)),VALUE(LEFT(C24,4)&amp;IF(RIGHT(C24,1)="1","01","07")),VALUE(SUBSTITUTE(C24,"-",""))))</f>
        <v/>
      </c>
      <c r="E24" s="320" t="n"/>
      <c r="F24" s="320" t="n"/>
      <c r="G24" s="320" t="n"/>
      <c r="H24" s="323" t="n"/>
    </row>
    <row r="25" ht="15" customHeight="1" s="131">
      <c r="A25" s="320" t="n"/>
      <c r="B25" s="323" t="n"/>
      <c r="C25" s="320" t="n"/>
      <c r="D25" s="278">
        <f>IF(C25="","",IF(ISNUMBER(SEARCH("-SEM",C25)),VALUE(LEFT(C25,4)&amp;IF(RIGHT(C25,1)="1","01","07")),VALUE(SUBSTITUTE(C25,"-",""))))</f>
        <v/>
      </c>
      <c r="E25" s="320" t="n"/>
      <c r="F25" s="320" t="n"/>
      <c r="G25" s="320" t="n"/>
      <c r="H25" s="323" t="n"/>
    </row>
    <row r="26" ht="15" customHeight="1" s="131">
      <c r="A26" s="320" t="n"/>
      <c r="B26" s="323" t="n"/>
      <c r="C26" s="320" t="n"/>
      <c r="D26" s="278">
        <f>IF(C26="","",IF(ISNUMBER(SEARCH("-SEM",C26)),VALUE(LEFT(C26,4)&amp;IF(RIGHT(C26,1)="1","01","07")),VALUE(SUBSTITUTE(C26,"-",""))))</f>
        <v/>
      </c>
      <c r="E26" s="320" t="n"/>
      <c r="F26" s="320" t="n"/>
      <c r="G26" s="320" t="n"/>
      <c r="H26" s="323" t="n"/>
    </row>
    <row r="27" ht="15" customHeight="1" s="131">
      <c r="A27" s="320" t="n"/>
      <c r="B27" s="323" t="n"/>
      <c r="C27" s="320" t="n"/>
      <c r="D27" s="278">
        <f>IF(C27="","",IF(ISNUMBER(SEARCH("-SEM",C27)),VALUE(LEFT(C27,4)&amp;IF(RIGHT(C27,1)="1","01","07")),VALUE(SUBSTITUTE(C27,"-",""))))</f>
        <v/>
      </c>
      <c r="E27" s="320" t="n"/>
      <c r="F27" s="320" t="n"/>
      <c r="G27" s="320" t="n"/>
      <c r="H27" s="323" t="n"/>
    </row>
    <row r="28" ht="15" customHeight="1" s="131">
      <c r="A28" s="320" t="n"/>
      <c r="B28" s="323" t="n"/>
      <c r="C28" s="320" t="n"/>
      <c r="D28" s="278">
        <f>IF(C28="","",IF(ISNUMBER(SEARCH("-SEM",C28)),VALUE(LEFT(C28,4)&amp;IF(RIGHT(C28,1)="1","01","07")),VALUE(SUBSTITUTE(C28,"-",""))))</f>
        <v/>
      </c>
      <c r="E28" s="320" t="n"/>
      <c r="F28" s="320" t="n"/>
      <c r="G28" s="320" t="n"/>
      <c r="H28" s="323" t="n"/>
    </row>
    <row r="29" ht="15" customHeight="1" s="131">
      <c r="A29" s="320" t="n"/>
      <c r="B29" s="323" t="n"/>
      <c r="C29" s="320" t="n"/>
      <c r="D29" s="278">
        <f>IF(C29="","",IF(ISNUMBER(SEARCH("-SEM",C29)),VALUE(LEFT(C29,4)&amp;IF(RIGHT(C29,1)="1","01","07")),VALUE(SUBSTITUTE(C29,"-",""))))</f>
        <v/>
      </c>
      <c r="E29" s="320" t="n"/>
      <c r="F29" s="320" t="n"/>
      <c r="G29" s="320" t="n"/>
      <c r="H29" s="323" t="n"/>
    </row>
    <row r="30" ht="15" customHeight="1" s="131">
      <c r="A30" s="320" t="n"/>
      <c r="B30" s="323" t="n"/>
      <c r="C30" s="320" t="n"/>
      <c r="D30" s="278">
        <f>IF(C30="","",IF(ISNUMBER(SEARCH("-SEM",C30)),VALUE(LEFT(C30,4)&amp;IF(RIGHT(C30,1)="1","01","07")),VALUE(SUBSTITUTE(C30,"-",""))))</f>
        <v/>
      </c>
      <c r="E30" s="320" t="n"/>
      <c r="F30" s="320" t="n"/>
      <c r="G30" s="320" t="n"/>
      <c r="H30" s="323" t="n"/>
    </row>
    <row r="31" ht="15" customHeight="1" s="131">
      <c r="A31" s="320" t="n"/>
      <c r="B31" s="323" t="n"/>
      <c r="C31" s="320" t="n"/>
      <c r="D31" s="278">
        <f>IF(C31="","",IF(ISNUMBER(SEARCH("-SEM",C31)),VALUE(LEFT(C31,4)&amp;IF(RIGHT(C31,1)="1","01","07")),VALUE(SUBSTITUTE(C31,"-",""))))</f>
        <v/>
      </c>
      <c r="E31" s="320" t="n"/>
      <c r="F31" s="320" t="n"/>
      <c r="G31" s="320" t="n"/>
      <c r="H31" s="323" t="n"/>
    </row>
    <row r="32" ht="15" customHeight="1" s="131">
      <c r="A32" s="320" t="n"/>
      <c r="B32" s="323" t="n"/>
      <c r="C32" s="320" t="n"/>
      <c r="D32" s="278">
        <f>IF(C32="","",IF(ISNUMBER(SEARCH("-SEM",C32)),VALUE(LEFT(C32,4)&amp;IF(RIGHT(C32,1)="1","01","07")),VALUE(SUBSTITUTE(C32,"-",""))))</f>
        <v/>
      </c>
      <c r="E32" s="320" t="n"/>
      <c r="F32" s="320" t="n"/>
      <c r="G32" s="320" t="n"/>
      <c r="H32" s="323" t="n"/>
    </row>
    <row r="33" ht="15" customHeight="1" s="131">
      <c r="A33" s="320" t="n"/>
      <c r="B33" s="323" t="n"/>
      <c r="C33" s="320" t="n"/>
      <c r="D33" s="278">
        <f>IF(C33="","",IF(ISNUMBER(SEARCH("-SEM",C33)),VALUE(LEFT(C33,4)&amp;IF(RIGHT(C33,1)="1","01","07")),VALUE(SUBSTITUTE(C33,"-",""))))</f>
        <v/>
      </c>
      <c r="E33" s="320" t="n"/>
      <c r="F33" s="320" t="n"/>
      <c r="G33" s="320" t="n"/>
      <c r="H33" s="323" t="n"/>
    </row>
    <row r="34" ht="15" customHeight="1" s="131">
      <c r="A34" s="320" t="n"/>
      <c r="B34" s="323" t="n"/>
      <c r="C34" s="320" t="n"/>
      <c r="D34" s="278">
        <f>IF(C34="","",IF(ISNUMBER(SEARCH("-SEM",C34)),VALUE(LEFT(C34,4)&amp;IF(RIGHT(C34,1)="1","01","07")),VALUE(SUBSTITUTE(C34,"-",""))))</f>
        <v/>
      </c>
      <c r="E34" s="320" t="n"/>
      <c r="F34" s="320" t="n"/>
      <c r="G34" s="320" t="n"/>
      <c r="H34" s="323" t="n"/>
    </row>
    <row r="35" ht="15" customHeight="1" s="131">
      <c r="A35" s="320" t="n"/>
      <c r="B35" s="323" t="n"/>
      <c r="C35" s="320" t="n"/>
      <c r="D35" s="278">
        <f>IF(C35="","",IF(ISNUMBER(SEARCH("-SEM",C35)),VALUE(LEFT(C35,4)&amp;IF(RIGHT(C35,1)="1","01","07")),VALUE(SUBSTITUTE(C35,"-",""))))</f>
        <v/>
      </c>
      <c r="E35" s="320" t="n"/>
      <c r="F35" s="320" t="n"/>
      <c r="G35" s="320" t="n"/>
      <c r="H35" s="323" t="n"/>
    </row>
    <row r="36" ht="15" customHeight="1" s="131">
      <c r="A36" s="320" t="n"/>
      <c r="B36" s="323" t="n"/>
      <c r="C36" s="320" t="n"/>
      <c r="D36" s="278">
        <f>IF(C36="","",IF(ISNUMBER(SEARCH("-SEM",C36)),VALUE(LEFT(C36,4)&amp;IF(RIGHT(C36,1)="1","01","07")),VALUE(SUBSTITUTE(C36,"-",""))))</f>
        <v/>
      </c>
      <c r="E36" s="320" t="n"/>
      <c r="F36" s="320" t="n"/>
      <c r="G36" s="320" t="n"/>
      <c r="H36" s="323" t="n"/>
    </row>
    <row r="37" ht="15" customHeight="1" s="131">
      <c r="A37" s="320" t="n"/>
      <c r="B37" s="323" t="n"/>
      <c r="C37" s="320" t="n"/>
      <c r="D37" s="278">
        <f>IF(C37="","",IF(ISNUMBER(SEARCH("-SEM",C37)),VALUE(LEFT(C37,4)&amp;IF(RIGHT(C37,1)="1","01","07")),VALUE(SUBSTITUTE(C37,"-",""))))</f>
        <v/>
      </c>
      <c r="E37" s="320" t="n"/>
      <c r="F37" s="320" t="n"/>
      <c r="G37" s="320" t="n"/>
      <c r="H37" s="323" t="n"/>
    </row>
    <row r="38" ht="15" customHeight="1" s="131">
      <c r="A38" s="320" t="n"/>
      <c r="B38" s="323" t="n"/>
      <c r="C38" s="320" t="n"/>
      <c r="D38" s="278">
        <f>IF(C38="","",IF(ISNUMBER(SEARCH("-SEM",C38)),VALUE(LEFT(C38,4)&amp;IF(RIGHT(C38,1)="1","01","07")),VALUE(SUBSTITUTE(C38,"-",""))))</f>
        <v/>
      </c>
      <c r="E38" s="320" t="n"/>
      <c r="F38" s="320" t="n"/>
      <c r="G38" s="320" t="n"/>
      <c r="H38" s="323" t="n"/>
    </row>
    <row r="39" ht="15" customHeight="1" s="131">
      <c r="A39" s="320" t="n"/>
      <c r="B39" s="323" t="n"/>
      <c r="C39" s="320" t="n"/>
      <c r="D39" s="278">
        <f>IF(C39="","",IF(ISNUMBER(SEARCH("-SEM",C39)),VALUE(LEFT(C39,4)&amp;IF(RIGHT(C39,1)="1","01","07")),VALUE(SUBSTITUTE(C39,"-",""))))</f>
        <v/>
      </c>
      <c r="E39" s="320" t="n"/>
      <c r="F39" s="320" t="n"/>
      <c r="G39" s="320" t="n"/>
      <c r="H39" s="323" t="n"/>
    </row>
    <row r="40" ht="15" customHeight="1" s="131">
      <c r="A40" s="320" t="n"/>
      <c r="B40" s="323" t="n"/>
      <c r="C40" s="320" t="n"/>
      <c r="D40" s="278">
        <f>IF(C40="","",IF(ISNUMBER(SEARCH("-SEM",C40)),VALUE(LEFT(C40,4)&amp;IF(RIGHT(C40,1)="1","01","07")),VALUE(SUBSTITUTE(C40,"-",""))))</f>
        <v/>
      </c>
      <c r="E40" s="320" t="n"/>
      <c r="F40" s="320" t="n"/>
      <c r="G40" s="320" t="n"/>
      <c r="H40" s="323" t="n"/>
    </row>
    <row r="41" ht="15" customHeight="1" s="131">
      <c r="A41" s="320" t="n"/>
      <c r="B41" s="323" t="n"/>
      <c r="C41" s="320" t="n"/>
      <c r="D41" s="278">
        <f>IF(C41="","",IF(ISNUMBER(SEARCH("-SEM",C41)),VALUE(LEFT(C41,4)&amp;IF(RIGHT(C41,1)="1","01","07")),VALUE(SUBSTITUTE(C41,"-",""))))</f>
        <v/>
      </c>
      <c r="E41" s="320" t="n"/>
      <c r="F41" s="320" t="n"/>
      <c r="G41" s="320" t="n"/>
      <c r="H41" s="323" t="n"/>
    </row>
    <row r="42" ht="15" customHeight="1" s="131">
      <c r="A42" s="320" t="n"/>
      <c r="B42" s="323" t="n"/>
      <c r="C42" s="320" t="n"/>
      <c r="D42" s="278">
        <f>IF(C42="","",IF(ISNUMBER(SEARCH("-SEM",C42)),VALUE(LEFT(C42,4)&amp;IF(RIGHT(C42,1)="1","01","07")),VALUE(SUBSTITUTE(C42,"-",""))))</f>
        <v/>
      </c>
      <c r="E42" s="320" t="n"/>
      <c r="F42" s="320" t="n"/>
      <c r="G42" s="320" t="n"/>
      <c r="H42" s="323" t="n"/>
    </row>
    <row r="43" ht="15" customHeight="1" s="131">
      <c r="A43" s="320" t="n"/>
      <c r="B43" s="323" t="n"/>
      <c r="C43" s="320" t="n"/>
      <c r="D43" s="278">
        <f>IF(C43="","",IF(ISNUMBER(SEARCH("-SEM",C43)),VALUE(LEFT(C43,4)&amp;IF(RIGHT(C43,1)="1","01","07")),VALUE(SUBSTITUTE(C43,"-",""))))</f>
        <v/>
      </c>
      <c r="E43" s="320" t="n"/>
      <c r="F43" s="320" t="n"/>
      <c r="G43" s="320" t="n"/>
      <c r="H43" s="323" t="n"/>
    </row>
    <row r="44" ht="15" customHeight="1" s="131">
      <c r="A44" s="320" t="n"/>
      <c r="B44" s="323" t="n"/>
      <c r="C44" s="320" t="n"/>
      <c r="D44" s="278">
        <f>IF(C44="","",IF(ISNUMBER(SEARCH("-SEM",C44)),VALUE(LEFT(C44,4)&amp;IF(RIGHT(C44,1)="1","01","07")),VALUE(SUBSTITUTE(C44,"-",""))))</f>
        <v/>
      </c>
      <c r="E44" s="320" t="n"/>
      <c r="F44" s="320" t="n"/>
      <c r="G44" s="320" t="n"/>
      <c r="H44" s="323" t="n"/>
    </row>
    <row r="45" ht="15" customHeight="1" s="131">
      <c r="A45" s="320" t="n"/>
      <c r="B45" s="323" t="n"/>
      <c r="C45" s="320" t="n"/>
      <c r="D45" s="278">
        <f>IF(C45="","",IF(ISNUMBER(SEARCH("-SEM",C45)),VALUE(LEFT(C45,4)&amp;IF(RIGHT(C45,1)="1","01","07")),VALUE(SUBSTITUTE(C45,"-",""))))</f>
        <v/>
      </c>
      <c r="E45" s="320" t="n"/>
      <c r="F45" s="320" t="n"/>
      <c r="G45" s="320" t="n"/>
      <c r="H45" s="323" t="n"/>
    </row>
    <row r="46" ht="15" customHeight="1" s="131">
      <c r="A46" s="320" t="n"/>
      <c r="B46" s="323" t="n"/>
      <c r="C46" s="320" t="n"/>
      <c r="D46" s="278">
        <f>IF(C46="","",IF(ISNUMBER(SEARCH("-SEM",C46)),VALUE(LEFT(C46,4)&amp;IF(RIGHT(C46,1)="1","01","07")),VALUE(SUBSTITUTE(C46,"-",""))))</f>
        <v/>
      </c>
      <c r="E46" s="320" t="n"/>
      <c r="F46" s="320" t="n"/>
      <c r="G46" s="320" t="n"/>
      <c r="H46" s="323" t="n"/>
    </row>
    <row r="47" ht="15" customHeight="1" s="131">
      <c r="A47" s="320" t="n"/>
      <c r="B47" s="323" t="n"/>
      <c r="C47" s="320" t="n"/>
      <c r="D47" s="278">
        <f>IF(C47="","",IF(ISNUMBER(SEARCH("-SEM",C47)),VALUE(LEFT(C47,4)&amp;IF(RIGHT(C47,1)="1","01","07")),VALUE(SUBSTITUTE(C47,"-",""))))</f>
        <v/>
      </c>
      <c r="E47" s="320" t="n"/>
      <c r="F47" s="320" t="n"/>
      <c r="G47" s="320" t="n"/>
      <c r="H47" s="323" t="n"/>
    </row>
    <row r="48" ht="15" customHeight="1" s="131">
      <c r="A48" s="320" t="n"/>
      <c r="B48" s="323" t="n"/>
      <c r="C48" s="320" t="n"/>
      <c r="D48" s="278">
        <f>IF(C48="","",IF(ISNUMBER(SEARCH("-SEM",C48)),VALUE(LEFT(C48,4)&amp;IF(RIGHT(C48,1)="1","01","07")),VALUE(SUBSTITUTE(C48,"-",""))))</f>
        <v/>
      </c>
      <c r="E48" s="320" t="n"/>
      <c r="F48" s="320" t="n"/>
      <c r="G48" s="320" t="n"/>
      <c r="H48" s="323" t="n"/>
    </row>
    <row r="49" ht="15" customHeight="1" s="131">
      <c r="A49" s="320" t="n"/>
      <c r="B49" s="323" t="n"/>
      <c r="C49" s="320" t="n"/>
      <c r="D49" s="278">
        <f>IF(C49="","",IF(ISNUMBER(SEARCH("-SEM",C49)),VALUE(LEFT(C49,4)&amp;IF(RIGHT(C49,1)="1","01","07")),VALUE(SUBSTITUTE(C49,"-",""))))</f>
        <v/>
      </c>
      <c r="E49" s="320" t="n"/>
      <c r="F49" s="320" t="n"/>
      <c r="G49" s="320" t="n"/>
      <c r="H49" s="323" t="n"/>
    </row>
    <row r="50" ht="15" customHeight="1" s="131">
      <c r="A50" s="320" t="n"/>
      <c r="B50" s="323" t="n"/>
      <c r="C50" s="320" t="n"/>
      <c r="D50" s="278">
        <f>IF(C50="","",IF(ISNUMBER(SEARCH("-SEM",C50)),VALUE(LEFT(C50,4)&amp;IF(RIGHT(C50,1)="1","01","07")),VALUE(SUBSTITUTE(C50,"-",""))))</f>
        <v/>
      </c>
      <c r="E50" s="320" t="n"/>
      <c r="F50" s="320" t="n"/>
      <c r="G50" s="320" t="n"/>
      <c r="H50" s="323" t="n"/>
    </row>
    <row r="51" ht="15" customHeight="1" s="131">
      <c r="A51" s="320" t="n"/>
      <c r="B51" s="323" t="n"/>
      <c r="C51" s="320" t="n"/>
      <c r="D51" s="278">
        <f>IF(C51="","",IF(ISNUMBER(SEARCH("-SEM",C51)),VALUE(LEFT(C51,4)&amp;IF(RIGHT(C51,1)="1","01","07")),VALUE(SUBSTITUTE(C51,"-",""))))</f>
        <v/>
      </c>
      <c r="E51" s="320" t="n"/>
      <c r="F51" s="320" t="n"/>
      <c r="G51" s="320" t="n"/>
      <c r="H51" s="323" t="n"/>
    </row>
    <row r="52" ht="15" customHeight="1" s="131">
      <c r="A52" s="320" t="n"/>
      <c r="B52" s="323" t="n"/>
      <c r="C52" s="320" t="n"/>
      <c r="D52" s="278">
        <f>IF(C52="","",IF(ISNUMBER(SEARCH("-SEM",C52)),VALUE(LEFT(C52,4)&amp;IF(RIGHT(C52,1)="1","01","07")),VALUE(SUBSTITUTE(C52,"-",""))))</f>
        <v/>
      </c>
      <c r="E52" s="320" t="n"/>
      <c r="F52" s="320" t="n"/>
      <c r="G52" s="320" t="n"/>
      <c r="H52" s="323" t="n"/>
    </row>
    <row r="53" ht="15" customHeight="1" s="131">
      <c r="A53" s="320" t="n"/>
      <c r="B53" s="323" t="n"/>
      <c r="C53" s="320" t="n"/>
      <c r="D53" s="278">
        <f>IF(C53="","",IF(ISNUMBER(SEARCH("-SEM",C53)),VALUE(LEFT(C53,4)&amp;IF(RIGHT(C53,1)="1","01","07")),VALUE(SUBSTITUTE(C53,"-",""))))</f>
        <v/>
      </c>
      <c r="E53" s="320" t="n"/>
      <c r="F53" s="320" t="n"/>
      <c r="G53" s="320" t="n"/>
      <c r="H53" s="323" t="n"/>
    </row>
    <row r="54" ht="15" customHeight="1" s="131">
      <c r="A54" s="320" t="n"/>
      <c r="B54" s="323" t="n"/>
      <c r="C54" s="320" t="n"/>
      <c r="D54" s="278">
        <f>IF(C54="","",IF(ISNUMBER(SEARCH("-SEM",C54)),VALUE(LEFT(C54,4)&amp;IF(RIGHT(C54,1)="1","01","07")),VALUE(SUBSTITUTE(C54,"-",""))))</f>
        <v/>
      </c>
      <c r="E54" s="320" t="n"/>
      <c r="F54" s="320" t="n"/>
      <c r="G54" s="320" t="n"/>
      <c r="H54" s="323" t="n"/>
    </row>
    <row r="55" ht="15" customHeight="1" s="131">
      <c r="A55" s="320" t="n"/>
      <c r="B55" s="323" t="n"/>
      <c r="C55" s="320" t="n"/>
      <c r="D55" s="278">
        <f>IF(C55="","",IF(ISNUMBER(SEARCH("-SEM",C55)),VALUE(LEFT(C55,4)&amp;IF(RIGHT(C55,1)="1","01","07")),VALUE(SUBSTITUTE(C55,"-",""))))</f>
        <v/>
      </c>
      <c r="E55" s="320" t="n"/>
      <c r="F55" s="320" t="n"/>
      <c r="G55" s="320" t="n"/>
      <c r="H55" s="323" t="n"/>
    </row>
    <row r="56" ht="15" customHeight="1" s="131">
      <c r="A56" s="320" t="n"/>
      <c r="B56" s="323" t="n"/>
      <c r="C56" s="320" t="n"/>
      <c r="D56" s="278">
        <f>IF(C56="","",IF(ISNUMBER(SEARCH("-SEM",C56)),VALUE(LEFT(C56,4)&amp;IF(RIGHT(C56,1)="1","01","07")),VALUE(SUBSTITUTE(C56,"-",""))))</f>
        <v/>
      </c>
      <c r="E56" s="320" t="n"/>
      <c r="F56" s="320" t="n"/>
      <c r="G56" s="320" t="n"/>
      <c r="H56" s="323" t="n"/>
    </row>
    <row r="57" ht="15" customHeight="1" s="131">
      <c r="A57" s="320" t="n"/>
      <c r="B57" s="323" t="n"/>
      <c r="C57" s="320" t="n"/>
      <c r="D57" s="278">
        <f>IF(C57="","",IF(ISNUMBER(SEARCH("-SEM",C57)),VALUE(LEFT(C57,4)&amp;IF(RIGHT(C57,1)="1","01","07")),VALUE(SUBSTITUTE(C57,"-",""))))</f>
        <v/>
      </c>
      <c r="E57" s="320" t="n"/>
      <c r="F57" s="320" t="n"/>
      <c r="G57" s="320" t="n"/>
      <c r="H57" s="323" t="n"/>
    </row>
    <row r="58" ht="15" customHeight="1" s="131">
      <c r="A58" s="320" t="n"/>
      <c r="B58" s="323" t="n"/>
      <c r="C58" s="320" t="n"/>
      <c r="D58" s="278">
        <f>IF(C58="","",IF(ISNUMBER(SEARCH("-SEM",C58)),VALUE(LEFT(C58,4)&amp;IF(RIGHT(C58,1)="1","01","07")),VALUE(SUBSTITUTE(C58,"-",""))))</f>
        <v/>
      </c>
      <c r="E58" s="320" t="n"/>
      <c r="F58" s="320" t="n"/>
      <c r="G58" s="320" t="n"/>
      <c r="H58" s="323" t="n"/>
    </row>
    <row r="59" ht="15" customHeight="1" s="131">
      <c r="A59" s="320" t="n"/>
      <c r="B59" s="323" t="n"/>
      <c r="C59" s="320" t="n"/>
      <c r="D59" s="278">
        <f>IF(C59="","",IF(ISNUMBER(SEARCH("-SEM",C59)),VALUE(LEFT(C59,4)&amp;IF(RIGHT(C59,1)="1","01","07")),VALUE(SUBSTITUTE(C59,"-",""))))</f>
        <v/>
      </c>
      <c r="E59" s="320" t="n"/>
      <c r="F59" s="320" t="n"/>
      <c r="G59" s="320" t="n"/>
      <c r="H59" s="323" t="n"/>
    </row>
    <row r="60" ht="15" customHeight="1" s="131">
      <c r="A60" s="320" t="n"/>
      <c r="B60" s="323" t="n"/>
      <c r="C60" s="320" t="n"/>
      <c r="D60" s="278">
        <f>IF(C60="","",IF(ISNUMBER(SEARCH("-SEM",C60)),VALUE(LEFT(C60,4)&amp;IF(RIGHT(C60,1)="1","01","07")),VALUE(SUBSTITUTE(C60,"-",""))))</f>
        <v/>
      </c>
      <c r="E60" s="320" t="n"/>
      <c r="F60" s="320" t="n"/>
      <c r="G60" s="320" t="n"/>
      <c r="H60" s="323" t="n"/>
    </row>
    <row r="61" ht="15" customHeight="1" s="131">
      <c r="A61" s="320" t="n"/>
      <c r="B61" s="323" t="n"/>
      <c r="C61" s="320" t="n"/>
      <c r="D61" s="278">
        <f>IF(C61="","",IF(ISNUMBER(SEARCH("-SEM",C61)),VALUE(LEFT(C61,4)&amp;IF(RIGHT(C61,1)="1","01","07")),VALUE(SUBSTITUTE(C61,"-",""))))</f>
        <v/>
      </c>
      <c r="E61" s="320" t="n"/>
      <c r="F61" s="320" t="n"/>
      <c r="G61" s="320" t="n"/>
      <c r="H61" s="323" t="n"/>
    </row>
    <row r="62" ht="15" customHeight="1" s="131">
      <c r="A62" s="320" t="n"/>
      <c r="B62" s="323" t="n"/>
      <c r="C62" s="320" t="n"/>
      <c r="D62" s="278">
        <f>IF(C62="","",IF(ISNUMBER(SEARCH("-SEM",C62)),VALUE(LEFT(C62,4)&amp;IF(RIGHT(C62,1)="1","01","07")),VALUE(SUBSTITUTE(C62,"-",""))))</f>
        <v/>
      </c>
      <c r="E62" s="320" t="n"/>
      <c r="F62" s="320" t="n"/>
      <c r="G62" s="320" t="n"/>
      <c r="H62" s="323" t="n"/>
    </row>
    <row r="63" ht="15" customHeight="1" s="131">
      <c r="A63" s="320" t="n"/>
      <c r="B63" s="323" t="n"/>
      <c r="C63" s="320" t="n"/>
      <c r="D63" s="278">
        <f>IF(C63="","",IF(ISNUMBER(SEARCH("-SEM",C63)),VALUE(LEFT(C63,4)&amp;IF(RIGHT(C63,1)="1","01","07")),VALUE(SUBSTITUTE(C63,"-",""))))</f>
        <v/>
      </c>
      <c r="E63" s="320" t="n"/>
      <c r="F63" s="320" t="n"/>
      <c r="G63" s="320" t="n"/>
      <c r="H63" s="323" t="n"/>
    </row>
    <row r="64" ht="15" customHeight="1" s="131">
      <c r="A64" s="320" t="n"/>
      <c r="B64" s="323" t="n"/>
      <c r="C64" s="320" t="n"/>
      <c r="D64" s="278">
        <f>IF(C64="","",IF(ISNUMBER(SEARCH("-SEM",C64)),VALUE(LEFT(C64,4)&amp;IF(RIGHT(C64,1)="1","01","07")),VALUE(SUBSTITUTE(C64,"-",""))))</f>
        <v/>
      </c>
      <c r="E64" s="320" t="n"/>
      <c r="F64" s="320" t="n"/>
      <c r="G64" s="320" t="n"/>
      <c r="H64" s="323" t="n"/>
    </row>
    <row r="65" ht="15" customHeight="1" s="131">
      <c r="A65" s="320" t="n"/>
      <c r="B65" s="323" t="n"/>
      <c r="C65" s="320" t="n"/>
      <c r="D65" s="278">
        <f>IF(C65="","",IF(ISNUMBER(SEARCH("-SEM",C65)),VALUE(LEFT(C65,4)&amp;IF(RIGHT(C65,1)="1","01","07")),VALUE(SUBSTITUTE(C65,"-",""))))</f>
        <v/>
      </c>
      <c r="E65" s="320" t="n"/>
      <c r="F65" s="320" t="n"/>
      <c r="G65" s="320" t="n"/>
      <c r="H65" s="323" t="n"/>
    </row>
    <row r="66" ht="15" customHeight="1" s="131">
      <c r="A66" s="320" t="n"/>
      <c r="B66" s="323" t="n"/>
      <c r="C66" s="320" t="n"/>
      <c r="D66" s="278">
        <f>IF(C66="","",IF(ISNUMBER(SEARCH("-SEM",C66)),VALUE(LEFT(C66,4)&amp;IF(RIGHT(C66,1)="1","01","07")),VALUE(SUBSTITUTE(C66,"-",""))))</f>
        <v/>
      </c>
      <c r="E66" s="320" t="n"/>
      <c r="F66" s="320" t="n"/>
      <c r="G66" s="320" t="n"/>
      <c r="H66" s="323" t="n"/>
    </row>
    <row r="67" ht="15" customHeight="1" s="131">
      <c r="A67" s="320" t="n"/>
      <c r="B67" s="323" t="n"/>
      <c r="C67" s="320" t="n"/>
      <c r="D67" s="278">
        <f>IF(C67="","",IF(ISNUMBER(SEARCH("-SEM",C67)),VALUE(LEFT(C67,4)&amp;IF(RIGHT(C67,1)="1","01","07")),VALUE(SUBSTITUTE(C67,"-",""))))</f>
        <v/>
      </c>
      <c r="E67" s="320" t="n"/>
      <c r="F67" s="320" t="n"/>
      <c r="G67" s="320" t="n"/>
      <c r="H67" s="323" t="n"/>
    </row>
    <row r="68" ht="15" customHeight="1" s="131">
      <c r="A68" s="320" t="n"/>
      <c r="B68" s="323" t="n"/>
      <c r="C68" s="320" t="n"/>
      <c r="D68" s="278">
        <f>IF(C68="","",IF(ISNUMBER(SEARCH("-SEM",C68)),VALUE(LEFT(C68,4)&amp;IF(RIGHT(C68,1)="1","01","07")),VALUE(SUBSTITUTE(C68,"-",""))))</f>
        <v/>
      </c>
      <c r="E68" s="320" t="n"/>
      <c r="F68" s="320" t="n"/>
      <c r="G68" s="320" t="n"/>
      <c r="H68" s="323" t="n"/>
    </row>
    <row r="69" ht="15" customHeight="1" s="131">
      <c r="A69" s="320" t="n"/>
      <c r="B69" s="323" t="n"/>
      <c r="C69" s="320" t="n"/>
      <c r="D69" s="278">
        <f>IF(C69="","",IF(ISNUMBER(SEARCH("-SEM",C69)),VALUE(LEFT(C69,4)&amp;IF(RIGHT(C69,1)="1","01","07")),VALUE(SUBSTITUTE(C69,"-",""))))</f>
        <v/>
      </c>
      <c r="E69" s="320" t="n"/>
      <c r="F69" s="320" t="n"/>
      <c r="G69" s="320" t="n"/>
      <c r="H69" s="323" t="n"/>
    </row>
    <row r="70" ht="15" customHeight="1" s="131">
      <c r="A70" s="320" t="n"/>
      <c r="B70" s="323" t="n"/>
      <c r="C70" s="320" t="n"/>
      <c r="D70" s="278">
        <f>IF(C70="","",IF(ISNUMBER(SEARCH("-SEM",C70)),VALUE(LEFT(C70,4)&amp;IF(RIGHT(C70,1)="1","01","07")),VALUE(SUBSTITUTE(C70,"-",""))))</f>
        <v/>
      </c>
      <c r="E70" s="320" t="n"/>
      <c r="F70" s="320" t="n"/>
      <c r="G70" s="320" t="n"/>
      <c r="H70" s="323" t="n"/>
    </row>
    <row r="71" ht="15" customHeight="1" s="131">
      <c r="A71" s="320" t="n"/>
      <c r="B71" s="323" t="n"/>
      <c r="C71" s="320" t="n"/>
      <c r="D71" s="278">
        <f>IF(C71="","",IF(ISNUMBER(SEARCH("-SEM",C71)),VALUE(LEFT(C71,4)&amp;IF(RIGHT(C71,1)="1","01","07")),VALUE(SUBSTITUTE(C71,"-",""))))</f>
        <v/>
      </c>
      <c r="E71" s="320" t="n"/>
      <c r="F71" s="320" t="n"/>
      <c r="G71" s="320" t="n"/>
      <c r="H71" s="323" t="n"/>
    </row>
    <row r="72" ht="15" customHeight="1" s="131">
      <c r="A72" s="320" t="n"/>
      <c r="B72" s="323" t="n"/>
      <c r="C72" s="320" t="n"/>
      <c r="D72" s="278">
        <f>IF(C72="","",IF(ISNUMBER(SEARCH("-SEM",C72)),VALUE(LEFT(C72,4)&amp;IF(RIGHT(C72,1)="1","01","07")),VALUE(SUBSTITUTE(C72,"-",""))))</f>
        <v/>
      </c>
      <c r="E72" s="320" t="n"/>
      <c r="F72" s="320" t="n"/>
      <c r="G72" s="320" t="n"/>
      <c r="H72" s="323" t="n"/>
    </row>
    <row r="73" ht="15" customHeight="1" s="131">
      <c r="A73" s="320" t="n"/>
      <c r="B73" s="323" t="n"/>
      <c r="C73" s="320" t="n"/>
      <c r="D73" s="278">
        <f>IF(C73="","",IF(ISNUMBER(SEARCH("-SEM",C73)),VALUE(LEFT(C73,4)&amp;IF(RIGHT(C73,1)="1","01","07")),VALUE(SUBSTITUTE(C73,"-",""))))</f>
        <v/>
      </c>
      <c r="E73" s="320" t="n"/>
      <c r="F73" s="320" t="n"/>
      <c r="G73" s="320" t="n"/>
      <c r="H73" s="323" t="n"/>
    </row>
    <row r="74" ht="15" customHeight="1" s="131">
      <c r="A74" s="320" t="n"/>
      <c r="B74" s="323" t="n"/>
      <c r="C74" s="320" t="n"/>
      <c r="D74" s="278">
        <f>IF(C74="","",IF(ISNUMBER(SEARCH("-SEM",C74)),VALUE(LEFT(C74,4)&amp;IF(RIGHT(C74,1)="1","01","07")),VALUE(SUBSTITUTE(C74,"-",""))))</f>
        <v/>
      </c>
      <c r="E74" s="320" t="n"/>
      <c r="F74" s="320" t="n"/>
      <c r="G74" s="320" t="n"/>
      <c r="H74" s="323" t="n"/>
    </row>
    <row r="75" ht="15" customHeight="1" s="131">
      <c r="A75" s="320" t="n"/>
      <c r="B75" s="323" t="n"/>
      <c r="C75" s="320" t="n"/>
      <c r="D75" s="278">
        <f>IF(C75="","",IF(ISNUMBER(SEARCH("-SEM",C75)),VALUE(LEFT(C75,4)&amp;IF(RIGHT(C75,1)="1","01","07")),VALUE(SUBSTITUTE(C75,"-",""))))</f>
        <v/>
      </c>
      <c r="E75" s="320" t="n"/>
      <c r="F75" s="320" t="n"/>
      <c r="G75" s="320" t="n"/>
      <c r="H75" s="323" t="n"/>
    </row>
    <row r="76" ht="15" customHeight="1" s="131">
      <c r="A76" s="320" t="n"/>
      <c r="B76" s="323" t="n"/>
      <c r="C76" s="320" t="n"/>
      <c r="D76" s="278">
        <f>IF(C76="","",IF(ISNUMBER(SEARCH("-SEM",C76)),VALUE(LEFT(C76,4)&amp;IF(RIGHT(C76,1)="1","01","07")),VALUE(SUBSTITUTE(C76,"-",""))))</f>
        <v/>
      </c>
      <c r="E76" s="320" t="n"/>
      <c r="F76" s="320" t="n"/>
      <c r="G76" s="320" t="n"/>
      <c r="H76" s="323" t="n"/>
    </row>
    <row r="77" ht="15" customHeight="1" s="131">
      <c r="A77" s="320" t="n"/>
      <c r="B77" s="323" t="n"/>
      <c r="C77" s="320" t="n"/>
      <c r="D77" s="278">
        <f>IF(C77="","",IF(ISNUMBER(SEARCH("-SEM",C77)),VALUE(LEFT(C77,4)&amp;IF(RIGHT(C77,1)="1","01","07")),VALUE(SUBSTITUTE(C77,"-",""))))</f>
        <v/>
      </c>
      <c r="E77" s="320" t="n"/>
      <c r="F77" s="320" t="n"/>
      <c r="G77" s="320" t="n"/>
      <c r="H77" s="323" t="n"/>
    </row>
    <row r="78" ht="15" customHeight="1" s="131">
      <c r="A78" s="320" t="n"/>
      <c r="B78" s="323" t="n"/>
      <c r="C78" s="320" t="n"/>
      <c r="D78" s="278">
        <f>IF(C78="","",IF(ISNUMBER(SEARCH("-SEM",C78)),VALUE(LEFT(C78,4)&amp;IF(RIGHT(C78,1)="1","01","07")),VALUE(SUBSTITUTE(C78,"-",""))))</f>
        <v/>
      </c>
      <c r="E78" s="320" t="n"/>
      <c r="F78" s="320" t="n"/>
      <c r="G78" s="320" t="n"/>
      <c r="H78" s="323" t="n"/>
    </row>
    <row r="79" ht="15" customHeight="1" s="131">
      <c r="A79" s="320" t="n"/>
      <c r="B79" s="323" t="n"/>
      <c r="C79" s="320" t="n"/>
      <c r="D79" s="278">
        <f>IF(C79="","",IF(ISNUMBER(SEARCH("-SEM",C79)),VALUE(LEFT(C79,4)&amp;IF(RIGHT(C79,1)="1","01","07")),VALUE(SUBSTITUTE(C79,"-",""))))</f>
        <v/>
      </c>
      <c r="E79" s="320" t="n"/>
      <c r="F79" s="320" t="n"/>
      <c r="G79" s="320" t="n"/>
      <c r="H79" s="323" t="n"/>
    </row>
    <row r="80" ht="15" customHeight="1" s="131">
      <c r="A80" s="320" t="n"/>
      <c r="B80" s="323" t="n"/>
      <c r="C80" s="320" t="n"/>
      <c r="D80" s="278">
        <f>IF(C80="","",IF(ISNUMBER(SEARCH("-SEM",C80)),VALUE(LEFT(C80,4)&amp;IF(RIGHT(C80,1)="1","01","07")),VALUE(SUBSTITUTE(C80,"-",""))))</f>
        <v/>
      </c>
      <c r="E80" s="320" t="n"/>
      <c r="F80" s="320" t="n"/>
      <c r="G80" s="320" t="n"/>
      <c r="H80" s="323" t="n"/>
    </row>
    <row r="81" ht="15" customHeight="1" s="131">
      <c r="A81" s="320" t="n"/>
      <c r="B81" s="323" t="n"/>
      <c r="C81" s="320" t="n"/>
      <c r="D81" s="278">
        <f>IF(C81="","",IF(ISNUMBER(SEARCH("-SEM",C81)),VALUE(LEFT(C81,4)&amp;IF(RIGHT(C81,1)="1","01","07")),VALUE(SUBSTITUTE(C81,"-",""))))</f>
        <v/>
      </c>
      <c r="E81" s="320" t="n"/>
      <c r="F81" s="320" t="n"/>
      <c r="G81" s="320" t="n"/>
      <c r="H81" s="323" t="n"/>
    </row>
    <row r="82" ht="15" customHeight="1" s="131">
      <c r="A82" s="320" t="n"/>
      <c r="B82" s="323" t="n"/>
      <c r="C82" s="320" t="n"/>
      <c r="D82" s="278">
        <f>IF(C82="","",IF(ISNUMBER(SEARCH("-SEM",C82)),VALUE(LEFT(C82,4)&amp;IF(RIGHT(C82,1)="1","01","07")),VALUE(SUBSTITUTE(C82,"-",""))))</f>
        <v/>
      </c>
      <c r="E82" s="320" t="n"/>
      <c r="F82" s="320" t="n"/>
      <c r="G82" s="320" t="n"/>
      <c r="H82" s="323" t="n"/>
    </row>
    <row r="83" ht="15" customHeight="1" s="131">
      <c r="A83" s="320" t="n"/>
      <c r="B83" s="323" t="n"/>
      <c r="C83" s="320" t="n"/>
      <c r="D83" s="278">
        <f>IF(C83="","",IF(ISNUMBER(SEARCH("-SEM",C83)),VALUE(LEFT(C83,4)&amp;IF(RIGHT(C83,1)="1","01","07")),VALUE(SUBSTITUTE(C83,"-",""))))</f>
        <v/>
      </c>
      <c r="E83" s="320" t="n"/>
      <c r="F83" s="320" t="n"/>
      <c r="G83" s="320" t="n"/>
      <c r="H83" s="323" t="n"/>
    </row>
    <row r="84" ht="15" customHeight="1" s="131">
      <c r="A84" s="320" t="n"/>
      <c r="B84" s="323" t="n"/>
      <c r="C84" s="320" t="n"/>
      <c r="D84" s="278">
        <f>IF(C84="","",IF(ISNUMBER(SEARCH("-SEM",C84)),VALUE(LEFT(C84,4)&amp;IF(RIGHT(C84,1)="1","01","07")),VALUE(SUBSTITUTE(C84,"-",""))))</f>
        <v/>
      </c>
      <c r="E84" s="320" t="n"/>
      <c r="F84" s="320" t="n"/>
      <c r="G84" s="320" t="n"/>
      <c r="H84" s="323" t="n"/>
    </row>
    <row r="85" ht="15" customHeight="1" s="131">
      <c r="A85" s="320" t="n"/>
      <c r="B85" s="323" t="n"/>
      <c r="C85" s="320" t="n"/>
      <c r="D85" s="278">
        <f>IF(C85="","",IF(ISNUMBER(SEARCH("-SEM",C85)),VALUE(LEFT(C85,4)&amp;IF(RIGHT(C85,1)="1","01","07")),VALUE(SUBSTITUTE(C85,"-",""))))</f>
        <v/>
      </c>
      <c r="E85" s="320" t="n"/>
      <c r="F85" s="320" t="n"/>
      <c r="G85" s="320" t="n"/>
      <c r="H85" s="323" t="n"/>
    </row>
    <row r="86" ht="15" customHeight="1" s="131">
      <c r="A86" s="320" t="n"/>
      <c r="B86" s="323" t="n"/>
      <c r="C86" s="320" t="n"/>
      <c r="D86" s="278">
        <f>IF(C86="","",IF(ISNUMBER(SEARCH("-SEM",C86)),VALUE(LEFT(C86,4)&amp;IF(RIGHT(C86,1)="1","01","07")),VALUE(SUBSTITUTE(C86,"-",""))))</f>
        <v/>
      </c>
      <c r="E86" s="320" t="n"/>
      <c r="F86" s="320" t="n"/>
      <c r="G86" s="320" t="n"/>
      <c r="H86" s="323" t="n"/>
    </row>
    <row r="87" ht="15" customHeight="1" s="131">
      <c r="A87" s="320" t="n"/>
      <c r="B87" s="323" t="n"/>
      <c r="C87" s="320" t="n"/>
      <c r="D87" s="278">
        <f>IF(C87="","",IF(ISNUMBER(SEARCH("-SEM",C87)),VALUE(LEFT(C87,4)&amp;IF(RIGHT(C87,1)="1","01","07")),VALUE(SUBSTITUTE(C87,"-",""))))</f>
        <v/>
      </c>
      <c r="E87" s="320" t="n"/>
      <c r="F87" s="320" t="n"/>
      <c r="G87" s="320" t="n"/>
      <c r="H87" s="323" t="n"/>
    </row>
    <row r="88" ht="15" customHeight="1" s="131">
      <c r="A88" s="320" t="n"/>
      <c r="B88" s="323" t="n"/>
      <c r="C88" s="320" t="n"/>
      <c r="D88" s="278">
        <f>IF(C88="","",IF(ISNUMBER(SEARCH("-SEM",C88)),VALUE(LEFT(C88,4)&amp;IF(RIGHT(C88,1)="1","01","07")),VALUE(SUBSTITUTE(C88,"-",""))))</f>
        <v/>
      </c>
      <c r="E88" s="320" t="n"/>
      <c r="F88" s="320" t="n"/>
      <c r="G88" s="320" t="n"/>
      <c r="H88" s="323" t="n"/>
    </row>
    <row r="89" ht="15" customHeight="1" s="131">
      <c r="A89" s="320" t="n"/>
      <c r="B89" s="323" t="n"/>
      <c r="C89" s="320" t="n"/>
      <c r="D89" s="278">
        <f>IF(C89="","",IF(ISNUMBER(SEARCH("-SEM",C89)),VALUE(LEFT(C89,4)&amp;IF(RIGHT(C89,1)="1","01","07")),VALUE(SUBSTITUTE(C89,"-",""))))</f>
        <v/>
      </c>
      <c r="E89" s="320" t="n"/>
      <c r="F89" s="320" t="n"/>
      <c r="G89" s="320" t="n"/>
      <c r="H89" s="323" t="n"/>
    </row>
    <row r="90" ht="15" customHeight="1" s="131">
      <c r="A90" s="320" t="n"/>
      <c r="B90" s="323" t="n"/>
      <c r="C90" s="320" t="n"/>
      <c r="D90" s="278">
        <f>IF(C90="","",IF(ISNUMBER(SEARCH("-SEM",C90)),VALUE(LEFT(C90,4)&amp;IF(RIGHT(C90,1)="1","01","07")),VALUE(SUBSTITUTE(C90,"-",""))))</f>
        <v/>
      </c>
      <c r="E90" s="320" t="n"/>
      <c r="F90" s="320" t="n"/>
      <c r="G90" s="320" t="n"/>
      <c r="H90" s="323" t="n"/>
    </row>
    <row r="91" ht="15" customHeight="1" s="131">
      <c r="A91" s="320" t="n"/>
      <c r="B91" s="323" t="n"/>
      <c r="C91" s="320" t="n"/>
      <c r="D91" s="278">
        <f>IF(C91="","",IF(ISNUMBER(SEARCH("-SEM",C91)),VALUE(LEFT(C91,4)&amp;IF(RIGHT(C91,1)="1","01","07")),VALUE(SUBSTITUTE(C91,"-",""))))</f>
        <v/>
      </c>
      <c r="E91" s="320" t="n"/>
      <c r="F91" s="320" t="n"/>
      <c r="G91" s="320" t="n"/>
      <c r="H91" s="323" t="n"/>
    </row>
    <row r="92" ht="15" customHeight="1" s="131">
      <c r="A92" s="320" t="n"/>
      <c r="B92" s="323" t="n"/>
      <c r="C92" s="320" t="n"/>
      <c r="D92" s="278">
        <f>IF(C92="","",IF(ISNUMBER(SEARCH("-SEM",C92)),VALUE(LEFT(C92,4)&amp;IF(RIGHT(C92,1)="1","01","07")),VALUE(SUBSTITUTE(C92,"-",""))))</f>
        <v/>
      </c>
      <c r="E92" s="320" t="n"/>
      <c r="F92" s="320" t="n"/>
      <c r="G92" s="320" t="n"/>
      <c r="H92" s="323" t="n"/>
    </row>
    <row r="93" ht="15" customHeight="1" s="131">
      <c r="A93" s="320" t="n"/>
      <c r="B93" s="323" t="n"/>
      <c r="C93" s="320" t="n"/>
      <c r="D93" s="278">
        <f>IF(C93="","",IF(ISNUMBER(SEARCH("-SEM",C93)),VALUE(LEFT(C93,4)&amp;IF(RIGHT(C93,1)="1","01","07")),VALUE(SUBSTITUTE(C93,"-",""))))</f>
        <v/>
      </c>
      <c r="E93" s="320" t="n"/>
      <c r="F93" s="320" t="n"/>
      <c r="G93" s="320" t="n"/>
      <c r="H93" s="323" t="n"/>
    </row>
    <row r="94" ht="15" customHeight="1" s="131">
      <c r="A94" s="320" t="n"/>
      <c r="B94" s="323" t="n"/>
      <c r="C94" s="320" t="n"/>
      <c r="D94" s="278">
        <f>IF(C94="","",IF(ISNUMBER(SEARCH("-SEM",C94)),VALUE(LEFT(C94,4)&amp;IF(RIGHT(C94,1)="1","01","07")),VALUE(SUBSTITUTE(C94,"-",""))))</f>
        <v/>
      </c>
      <c r="E94" s="320" t="n"/>
      <c r="F94" s="320" t="n"/>
      <c r="G94" s="320" t="n"/>
      <c r="H94" s="323" t="n"/>
    </row>
    <row r="95" ht="15" customHeight="1" s="131">
      <c r="A95" s="320" t="n"/>
      <c r="B95" s="323" t="n"/>
      <c r="C95" s="320" t="n"/>
      <c r="D95" s="278">
        <f>IF(C95="","",IF(ISNUMBER(SEARCH("-SEM",C95)),VALUE(LEFT(C95,4)&amp;IF(RIGHT(C95,1)="1","01","07")),VALUE(SUBSTITUTE(C95,"-",""))))</f>
        <v/>
      </c>
      <c r="E95" s="320" t="n"/>
      <c r="F95" s="320" t="n"/>
      <c r="G95" s="320" t="n"/>
      <c r="H95" s="323" t="n"/>
    </row>
    <row r="96" ht="15" customHeight="1" s="131">
      <c r="A96" s="320" t="n"/>
      <c r="B96" s="323" t="n"/>
      <c r="C96" s="320" t="n"/>
      <c r="D96" s="278">
        <f>IF(C96="","",IF(ISNUMBER(SEARCH("-SEM",C96)),VALUE(LEFT(C96,4)&amp;IF(RIGHT(C96,1)="1","01","07")),VALUE(SUBSTITUTE(C96,"-",""))))</f>
        <v/>
      </c>
      <c r="E96" s="320" t="n"/>
      <c r="F96" s="320" t="n"/>
      <c r="G96" s="320" t="n"/>
      <c r="H96" s="323" t="n"/>
    </row>
    <row r="97" ht="15" customHeight="1" s="131">
      <c r="A97" s="320" t="n"/>
      <c r="B97" s="323" t="n"/>
      <c r="C97" s="320" t="n"/>
      <c r="D97" s="278">
        <f>IF(C97="","",IF(ISNUMBER(SEARCH("-SEM",C97)),VALUE(LEFT(C97,4)&amp;IF(RIGHT(C97,1)="1","01","07")),VALUE(SUBSTITUTE(C97,"-",""))))</f>
        <v/>
      </c>
      <c r="E97" s="320" t="n"/>
      <c r="F97" s="320" t="n"/>
      <c r="G97" s="320" t="n"/>
      <c r="H97" s="323" t="n"/>
    </row>
    <row r="98" ht="15" customHeight="1" s="131">
      <c r="A98" s="320" t="n"/>
      <c r="B98" s="323" t="n"/>
      <c r="C98" s="320" t="n"/>
      <c r="D98" s="278">
        <f>IF(C98="","",IF(ISNUMBER(SEARCH("-SEM",C98)),VALUE(LEFT(C98,4)&amp;IF(RIGHT(C98,1)="1","01","07")),VALUE(SUBSTITUTE(C98,"-",""))))</f>
        <v/>
      </c>
      <c r="E98" s="320" t="n"/>
      <c r="F98" s="320" t="n"/>
      <c r="G98" s="320" t="n"/>
      <c r="H98" s="323" t="n"/>
    </row>
    <row r="99" ht="15" customHeight="1" s="131">
      <c r="A99" s="320" t="n"/>
      <c r="B99" s="323" t="n"/>
      <c r="C99" s="320" t="n"/>
      <c r="D99" s="278">
        <f>IF(C99="","",IF(ISNUMBER(SEARCH("-SEM",C99)),VALUE(LEFT(C99,4)&amp;IF(RIGHT(C99,1)="1","01","07")),VALUE(SUBSTITUTE(C99,"-",""))))</f>
        <v/>
      </c>
      <c r="E99" s="320" t="n"/>
      <c r="F99" s="320" t="n"/>
      <c r="G99" s="320" t="n"/>
      <c r="H99" s="323" t="n"/>
    </row>
    <row r="100" ht="15" customHeight="1" s="131">
      <c r="A100" s="320" t="n"/>
      <c r="B100" s="323" t="n"/>
      <c r="C100" s="320" t="n"/>
      <c r="D100" s="278">
        <f>IF(C100="","",IF(ISNUMBER(SEARCH("-SEM",C100)),VALUE(LEFT(C100,4)&amp;IF(RIGHT(C100,1)="1","01","07")),VALUE(SUBSTITUTE(C100,"-",""))))</f>
        <v/>
      </c>
      <c r="E100" s="320" t="n"/>
      <c r="F100" s="320" t="n"/>
      <c r="G100" s="320" t="n"/>
      <c r="H100" s="323" t="n"/>
    </row>
    <row r="101" ht="15" customHeight="1" s="131">
      <c r="A101" s="320" t="n"/>
      <c r="B101" s="323" t="n"/>
      <c r="C101" s="320" t="n"/>
      <c r="D101" s="278">
        <f>IF(C101="","",IF(ISNUMBER(SEARCH("-SEM",C101)),VALUE(LEFT(C101,4)&amp;IF(RIGHT(C101,1)="1","01","07")),VALUE(SUBSTITUTE(C101,"-",""))))</f>
        <v/>
      </c>
      <c r="E101" s="320" t="n"/>
      <c r="F101" s="320" t="n"/>
      <c r="G101" s="320" t="n"/>
      <c r="H101" s="323" t="n"/>
    </row>
    <row r="102" ht="15" customHeight="1" s="131">
      <c r="A102" s="320" t="n"/>
      <c r="B102" s="323" t="n"/>
      <c r="C102" s="320" t="n"/>
      <c r="D102" s="278">
        <f>IF(C102="","",IF(ISNUMBER(SEARCH("-SEM",C102)),VALUE(LEFT(C102,4)&amp;IF(RIGHT(C102,1)="1","01","07")),VALUE(SUBSTITUTE(C102,"-",""))))</f>
        <v/>
      </c>
      <c r="E102" s="320" t="n"/>
      <c r="F102" s="320" t="n"/>
      <c r="G102" s="320" t="n"/>
      <c r="H102" s="323" t="n"/>
    </row>
    <row r="103" ht="15" customHeight="1" s="131">
      <c r="A103" s="320" t="n"/>
      <c r="B103" s="323" t="n"/>
      <c r="C103" s="320" t="n"/>
      <c r="D103" s="278">
        <f>IF(C103="","",IF(ISNUMBER(SEARCH("-SEM",C103)),VALUE(LEFT(C103,4)&amp;IF(RIGHT(C103,1)="1","01","07")),VALUE(SUBSTITUTE(C103,"-",""))))</f>
        <v/>
      </c>
      <c r="E103" s="320" t="n"/>
      <c r="F103" s="320" t="n"/>
      <c r="G103" s="320" t="n"/>
      <c r="H103" s="323" t="n"/>
    </row>
    <row r="104" ht="15" customHeight="1" s="131">
      <c r="A104" s="320" t="n"/>
      <c r="B104" s="323" t="n"/>
      <c r="C104" s="320" t="n"/>
      <c r="D104" s="278">
        <f>IF(C104="","",IF(ISNUMBER(SEARCH("-SEM",C104)),VALUE(LEFT(C104,4)&amp;IF(RIGHT(C104,1)="1","01","07")),VALUE(SUBSTITUTE(C104,"-",""))))</f>
        <v/>
      </c>
      <c r="E104" s="320" t="n"/>
      <c r="F104" s="320" t="n"/>
      <c r="G104" s="320" t="n"/>
      <c r="H104" s="323" t="n"/>
    </row>
    <row r="105" ht="15" customHeight="1" s="131">
      <c r="A105" s="320" t="n"/>
      <c r="B105" s="323" t="n"/>
      <c r="C105" s="320" t="n"/>
      <c r="D105" s="278">
        <f>IF(C105="","",IF(ISNUMBER(SEARCH("-SEM",C105)),VALUE(LEFT(C105,4)&amp;IF(RIGHT(C105,1)="1","01","07")),VALUE(SUBSTITUTE(C105,"-",""))))</f>
        <v/>
      </c>
      <c r="E105" s="320" t="n"/>
      <c r="F105" s="320" t="n"/>
      <c r="G105" s="320" t="n"/>
      <c r="H105" s="323" t="n"/>
    </row>
    <row r="106" ht="15" customHeight="1" s="131">
      <c r="A106" s="320" t="n"/>
      <c r="B106" s="323" t="n"/>
      <c r="C106" s="320" t="n"/>
      <c r="D106" s="278">
        <f>IF(C106="","",IF(ISNUMBER(SEARCH("-SEM",C106)),VALUE(LEFT(C106,4)&amp;IF(RIGHT(C106,1)="1","01","07")),VALUE(SUBSTITUTE(C106,"-",""))))</f>
        <v/>
      </c>
      <c r="E106" s="320" t="n"/>
      <c r="F106" s="320" t="n"/>
      <c r="G106" s="320" t="n"/>
      <c r="H106" s="323" t="n"/>
    </row>
    <row r="107" ht="15" customHeight="1" s="131">
      <c r="A107" s="320" t="n"/>
      <c r="B107" s="323" t="n"/>
      <c r="C107" s="320" t="n"/>
      <c r="D107" s="278">
        <f>IF(C107="","",IF(ISNUMBER(SEARCH("-SEM",C107)),VALUE(LEFT(C107,4)&amp;IF(RIGHT(C107,1)="1","01","07")),VALUE(SUBSTITUTE(C107,"-",""))))</f>
        <v/>
      </c>
      <c r="E107" s="320" t="n"/>
      <c r="F107" s="320" t="n"/>
      <c r="G107" s="320" t="n"/>
      <c r="H107" s="323" t="n"/>
    </row>
    <row r="108" ht="15" customHeight="1" s="131">
      <c r="A108" s="320" t="n"/>
      <c r="B108" s="323" t="n"/>
      <c r="C108" s="320" t="n"/>
      <c r="D108" s="278">
        <f>IF(C108="","",IF(ISNUMBER(SEARCH("-SEM",C108)),VALUE(LEFT(C108,4)&amp;IF(RIGHT(C108,1)="1","01","07")),VALUE(SUBSTITUTE(C108,"-",""))))</f>
        <v/>
      </c>
      <c r="E108" s="320" t="n"/>
      <c r="F108" s="320" t="n"/>
      <c r="G108" s="320" t="n"/>
      <c r="H108" s="323" t="n"/>
    </row>
    <row r="109" ht="15" customHeight="1" s="131">
      <c r="A109" s="320" t="n"/>
      <c r="B109" s="323" t="n"/>
      <c r="C109" s="320" t="n"/>
      <c r="D109" s="278">
        <f>IF(C109="","",IF(ISNUMBER(SEARCH("-SEM",C109)),VALUE(LEFT(C109,4)&amp;IF(RIGHT(C109,1)="1","01","07")),VALUE(SUBSTITUTE(C109,"-",""))))</f>
        <v/>
      </c>
      <c r="E109" s="320" t="n"/>
      <c r="F109" s="320" t="n"/>
      <c r="G109" s="320" t="n"/>
      <c r="H109" s="323" t="n"/>
    </row>
    <row r="110" ht="15" customHeight="1" s="131">
      <c r="A110" s="320" t="n"/>
      <c r="B110" s="323" t="n"/>
      <c r="C110" s="320" t="n"/>
      <c r="D110" s="278">
        <f>IF(C110="","",IF(ISNUMBER(SEARCH("-SEM",C110)),VALUE(LEFT(C110,4)&amp;IF(RIGHT(C110,1)="1","01","07")),VALUE(SUBSTITUTE(C110,"-",""))))</f>
        <v/>
      </c>
      <c r="E110" s="320" t="n"/>
      <c r="F110" s="320" t="n"/>
      <c r="G110" s="320" t="n"/>
      <c r="H110" s="323" t="n"/>
    </row>
    <row r="111" ht="15" customHeight="1" s="131">
      <c r="A111" s="320" t="n"/>
      <c r="B111" s="323" t="n"/>
      <c r="C111" s="320" t="n"/>
      <c r="D111" s="278">
        <f>IF(C111="","",IF(ISNUMBER(SEARCH("-SEM",C111)),VALUE(LEFT(C111,4)&amp;IF(RIGHT(C111,1)="1","01","07")),VALUE(SUBSTITUTE(C111,"-",""))))</f>
        <v/>
      </c>
      <c r="E111" s="320" t="n"/>
      <c r="F111" s="320" t="n"/>
      <c r="G111" s="320" t="n"/>
      <c r="H111" s="323" t="n"/>
    </row>
    <row r="112" ht="15" customHeight="1" s="131">
      <c r="A112" s="320" t="n"/>
      <c r="B112" s="323" t="n"/>
      <c r="C112" s="320" t="n"/>
      <c r="D112" s="278">
        <f>IF(C112="","",IF(ISNUMBER(SEARCH("-SEM",C112)),VALUE(LEFT(C112,4)&amp;IF(RIGHT(C112,1)="1","01","07")),VALUE(SUBSTITUTE(C112,"-",""))))</f>
        <v/>
      </c>
      <c r="E112" s="320" t="n"/>
      <c r="F112" s="320" t="n"/>
      <c r="G112" s="320" t="n"/>
      <c r="H112" s="323" t="n"/>
    </row>
    <row r="113" ht="15" customHeight="1" s="131">
      <c r="A113" s="320" t="n"/>
      <c r="B113" s="323" t="n"/>
      <c r="C113" s="320" t="n"/>
      <c r="D113" s="278">
        <f>IF(C113="","",IF(ISNUMBER(SEARCH("-SEM",C113)),VALUE(LEFT(C113,4)&amp;IF(RIGHT(C113,1)="1","01","07")),VALUE(SUBSTITUTE(C113,"-",""))))</f>
        <v/>
      </c>
      <c r="E113" s="320" t="n"/>
      <c r="F113" s="320" t="n"/>
      <c r="G113" s="320" t="n"/>
      <c r="H113" s="323" t="n"/>
    </row>
    <row r="114" ht="15" customHeight="1" s="131">
      <c r="A114" s="320" t="n"/>
      <c r="B114" s="323" t="n"/>
      <c r="C114" s="320" t="n"/>
      <c r="D114" s="278">
        <f>IF(C114="","",IF(ISNUMBER(SEARCH("-SEM",C114)),VALUE(LEFT(C114,4)&amp;IF(RIGHT(C114,1)="1","01","07")),VALUE(SUBSTITUTE(C114,"-",""))))</f>
        <v/>
      </c>
      <c r="E114" s="320" t="n"/>
      <c r="F114" s="320" t="n"/>
      <c r="G114" s="320" t="n"/>
      <c r="H114" s="323" t="n"/>
    </row>
    <row r="115" ht="15" customHeight="1" s="131">
      <c r="A115" s="320" t="n"/>
      <c r="B115" s="323" t="n"/>
      <c r="C115" s="320" t="n"/>
      <c r="D115" s="278">
        <f>IF(C115="","",IF(ISNUMBER(SEARCH("-SEM",C115)),VALUE(LEFT(C115,4)&amp;IF(RIGHT(C115,1)="1","01","07")),VALUE(SUBSTITUTE(C115,"-",""))))</f>
        <v/>
      </c>
      <c r="E115" s="320" t="n"/>
      <c r="F115" s="320" t="n"/>
      <c r="G115" s="320" t="n"/>
      <c r="H115" s="323" t="n"/>
    </row>
    <row r="116" ht="15" customHeight="1" s="131">
      <c r="A116" s="320" t="n"/>
      <c r="B116" s="323" t="n"/>
      <c r="C116" s="320" t="n"/>
      <c r="D116" s="278">
        <f>IF(C116="","",IF(ISNUMBER(SEARCH("-SEM",C116)),VALUE(LEFT(C116,4)&amp;IF(RIGHT(C116,1)="1","01","07")),VALUE(SUBSTITUTE(C116,"-",""))))</f>
        <v/>
      </c>
      <c r="E116" s="320" t="n"/>
      <c r="F116" s="320" t="n"/>
      <c r="G116" s="320" t="n"/>
      <c r="H116" s="323" t="n"/>
    </row>
    <row r="117" ht="15" customHeight="1" s="131">
      <c r="A117" s="320" t="n"/>
      <c r="B117" s="323" t="n"/>
      <c r="C117" s="320" t="n"/>
      <c r="D117" s="278">
        <f>IF(C117="","",IF(ISNUMBER(SEARCH("-SEM",C117)),VALUE(LEFT(C117,4)&amp;IF(RIGHT(C117,1)="1","01","07")),VALUE(SUBSTITUTE(C117,"-",""))))</f>
        <v/>
      </c>
      <c r="E117" s="320" t="n"/>
      <c r="F117" s="320" t="n"/>
      <c r="G117" s="320" t="n"/>
      <c r="H117" s="323" t="n"/>
    </row>
    <row r="118" ht="15" customHeight="1" s="131">
      <c r="A118" s="320" t="n"/>
      <c r="B118" s="323" t="n"/>
      <c r="C118" s="320" t="n"/>
      <c r="D118" s="278">
        <f>IF(C118="","",IF(ISNUMBER(SEARCH("-SEM",C118)),VALUE(LEFT(C118,4)&amp;IF(RIGHT(C118,1)="1","01","07")),VALUE(SUBSTITUTE(C118,"-",""))))</f>
        <v/>
      </c>
      <c r="E118" s="320" t="n"/>
      <c r="F118" s="320" t="n"/>
      <c r="G118" s="320" t="n"/>
      <c r="H118" s="323" t="n"/>
    </row>
    <row r="119" ht="15" customHeight="1" s="131">
      <c r="A119" s="320" t="n"/>
      <c r="B119" s="323" t="n"/>
      <c r="C119" s="320" t="n"/>
      <c r="D119" s="278">
        <f>IF(C119="","",IF(ISNUMBER(SEARCH("-SEM",C119)),VALUE(LEFT(C119,4)&amp;IF(RIGHT(C119,1)="1","01","07")),VALUE(SUBSTITUTE(C119,"-",""))))</f>
        <v/>
      </c>
      <c r="E119" s="320" t="n"/>
      <c r="F119" s="320" t="n"/>
      <c r="G119" s="320" t="n"/>
      <c r="H119" s="323" t="n"/>
    </row>
    <row r="120" ht="15" customHeight="1" s="131">
      <c r="A120" s="320" t="n"/>
      <c r="B120" s="323" t="n"/>
      <c r="C120" s="320" t="n"/>
      <c r="D120" s="278">
        <f>IF(C120="","",IF(ISNUMBER(SEARCH("-SEM",C120)),VALUE(LEFT(C120,4)&amp;IF(RIGHT(C120,1)="1","01","07")),VALUE(SUBSTITUTE(C120,"-",""))))</f>
        <v/>
      </c>
      <c r="E120" s="320" t="n"/>
      <c r="F120" s="320" t="n"/>
      <c r="G120" s="320" t="n"/>
      <c r="H120" s="323" t="n"/>
    </row>
    <row r="121" ht="15" customHeight="1" s="131">
      <c r="A121" s="320" t="n"/>
      <c r="B121" s="323" t="n"/>
      <c r="C121" s="320" t="n"/>
      <c r="D121" s="278">
        <f>IF(C121="","",IF(ISNUMBER(SEARCH("-SEM",C121)),VALUE(LEFT(C121,4)&amp;IF(RIGHT(C121,1)="1","01","07")),VALUE(SUBSTITUTE(C121,"-",""))))</f>
        <v/>
      </c>
      <c r="E121" s="320" t="n"/>
      <c r="F121" s="320" t="n"/>
      <c r="G121" s="320" t="n"/>
      <c r="H121" s="323" t="n"/>
    </row>
    <row r="122" ht="15" customHeight="1" s="131">
      <c r="A122" s="320" t="n"/>
      <c r="B122" s="323" t="n"/>
      <c r="C122" s="320" t="n"/>
      <c r="D122" s="278">
        <f>IF(C122="","",IF(ISNUMBER(SEARCH("-SEM",C122)),VALUE(LEFT(C122,4)&amp;IF(RIGHT(C122,1)="1","01","07")),VALUE(SUBSTITUTE(C122,"-",""))))</f>
        <v/>
      </c>
      <c r="E122" s="320" t="n"/>
      <c r="F122" s="320" t="n"/>
      <c r="G122" s="320" t="n"/>
      <c r="H122" s="323" t="n"/>
    </row>
    <row r="123" ht="15" customHeight="1" s="131">
      <c r="A123" s="320" t="n"/>
      <c r="B123" s="323" t="n"/>
      <c r="C123" s="320" t="n"/>
      <c r="D123" s="278">
        <f>IF(C123="","",IF(ISNUMBER(SEARCH("-SEM",C123)),VALUE(LEFT(C123,4)&amp;IF(RIGHT(C123,1)="1","01","07")),VALUE(SUBSTITUTE(C123,"-",""))))</f>
        <v/>
      </c>
      <c r="E123" s="320" t="n"/>
      <c r="F123" s="320" t="n"/>
      <c r="G123" s="320" t="n"/>
      <c r="H123" s="323" t="n"/>
    </row>
    <row r="124" ht="15" customHeight="1" s="131">
      <c r="A124" s="320" t="n"/>
      <c r="B124" s="323" t="n"/>
      <c r="C124" s="320" t="n"/>
      <c r="D124" s="278">
        <f>IF(C124="","",IF(ISNUMBER(SEARCH("-SEM",C124)),VALUE(LEFT(C124,4)&amp;IF(RIGHT(C124,1)="1","01","07")),VALUE(SUBSTITUTE(C124,"-",""))))</f>
        <v/>
      </c>
      <c r="E124" s="320" t="n"/>
      <c r="F124" s="320" t="n"/>
      <c r="G124" s="320" t="n"/>
      <c r="H124" s="323" t="n"/>
    </row>
    <row r="125" ht="15" customHeight="1" s="131">
      <c r="A125" s="320" t="n"/>
      <c r="B125" s="323" t="n"/>
      <c r="C125" s="320" t="n"/>
      <c r="D125" s="278">
        <f>IF(C125="","",IF(ISNUMBER(SEARCH("-SEM",C125)),VALUE(LEFT(C125,4)&amp;IF(RIGHT(C125,1)="1","01","07")),VALUE(SUBSTITUTE(C125,"-",""))))</f>
        <v/>
      </c>
      <c r="E125" s="320" t="n"/>
      <c r="F125" s="320" t="n"/>
      <c r="G125" s="320" t="n"/>
      <c r="H125" s="323" t="n"/>
    </row>
    <row r="126" ht="15" customHeight="1" s="131">
      <c r="A126" s="320" t="n"/>
      <c r="B126" s="323" t="n"/>
      <c r="C126" s="320" t="n"/>
      <c r="D126" s="278">
        <f>IF(C126="","",IF(ISNUMBER(SEARCH("-SEM",C126)),VALUE(LEFT(C126,4)&amp;IF(RIGHT(C126,1)="1","01","07")),VALUE(SUBSTITUTE(C126,"-",""))))</f>
        <v/>
      </c>
      <c r="E126" s="320" t="n"/>
      <c r="F126" s="320" t="n"/>
      <c r="G126" s="320" t="n"/>
      <c r="H126" s="323" t="n"/>
    </row>
    <row r="127" ht="15" customHeight="1" s="131">
      <c r="A127" s="320" t="n"/>
      <c r="B127" s="323" t="n"/>
      <c r="C127" s="320" t="n"/>
      <c r="D127" s="278">
        <f>IF(C127="","",IF(ISNUMBER(SEARCH("-SEM",C127)),VALUE(LEFT(C127,4)&amp;IF(RIGHT(C127,1)="1","01","07")),VALUE(SUBSTITUTE(C127,"-",""))))</f>
        <v/>
      </c>
      <c r="E127" s="320" t="n"/>
      <c r="F127" s="320" t="n"/>
      <c r="G127" s="320" t="n"/>
      <c r="H127" s="323" t="n"/>
    </row>
    <row r="128" ht="15" customHeight="1" s="131">
      <c r="A128" s="320" t="n"/>
      <c r="B128" s="323" t="n"/>
      <c r="C128" s="320" t="n"/>
      <c r="D128" s="278">
        <f>IF(C128="","",IF(ISNUMBER(SEARCH("-SEM",C128)),VALUE(LEFT(C128,4)&amp;IF(RIGHT(C128,1)="1","01","07")),VALUE(SUBSTITUTE(C128,"-",""))))</f>
        <v/>
      </c>
      <c r="E128" s="320" t="n"/>
      <c r="F128" s="320" t="n"/>
      <c r="G128" s="320" t="n"/>
      <c r="H128" s="323" t="n"/>
    </row>
    <row r="129" ht="15" customHeight="1" s="131">
      <c r="A129" s="320" t="n"/>
      <c r="B129" s="323" t="n"/>
      <c r="C129" s="320" t="n"/>
      <c r="D129" s="278">
        <f>IF(C129="","",IF(ISNUMBER(SEARCH("-SEM",C129)),VALUE(LEFT(C129,4)&amp;IF(RIGHT(C129,1)="1","01","07")),VALUE(SUBSTITUTE(C129,"-",""))))</f>
        <v/>
      </c>
      <c r="E129" s="320" t="n"/>
      <c r="F129" s="320" t="n"/>
      <c r="G129" s="320" t="n"/>
      <c r="H129" s="323" t="n"/>
    </row>
    <row r="130" ht="15" customHeight="1" s="131">
      <c r="A130" s="320" t="n"/>
      <c r="B130" s="323" t="n"/>
      <c r="C130" s="320" t="n"/>
      <c r="D130" s="278">
        <f>IF(C130="","",IF(ISNUMBER(SEARCH("-SEM",C130)),VALUE(LEFT(C130,4)&amp;IF(RIGHT(C130,1)="1","01","07")),VALUE(SUBSTITUTE(C130,"-",""))))</f>
        <v/>
      </c>
      <c r="E130" s="320" t="n"/>
      <c r="F130" s="320" t="n"/>
      <c r="G130" s="320" t="n"/>
      <c r="H130" s="323" t="n"/>
    </row>
    <row r="131" ht="15" customHeight="1" s="131">
      <c r="A131" s="320" t="n"/>
      <c r="B131" s="323" t="n"/>
      <c r="C131" s="320" t="n"/>
      <c r="D131" s="278">
        <f>IF(C131="","",IF(ISNUMBER(SEARCH("-SEM",C131)),VALUE(LEFT(C131,4)&amp;IF(RIGHT(C131,1)="1","01","07")),VALUE(SUBSTITUTE(C131,"-",""))))</f>
        <v/>
      </c>
      <c r="E131" s="320" t="n"/>
      <c r="F131" s="320" t="n"/>
      <c r="G131" s="320" t="n"/>
      <c r="H131" s="323" t="n"/>
    </row>
    <row r="132" ht="15" customHeight="1" s="131">
      <c r="A132" s="320" t="n"/>
      <c r="B132" s="323" t="n"/>
      <c r="C132" s="320" t="n"/>
      <c r="D132" s="278">
        <f>IF(C132="","",IF(ISNUMBER(SEARCH("-SEM",C132)),VALUE(LEFT(C132,4)&amp;IF(RIGHT(C132,1)="1","01","07")),VALUE(SUBSTITUTE(C132,"-",""))))</f>
        <v/>
      </c>
      <c r="E132" s="320" t="n"/>
      <c r="F132" s="320" t="n"/>
      <c r="G132" s="320" t="n"/>
      <c r="H132" s="323" t="n"/>
    </row>
    <row r="133" ht="15" customHeight="1" s="131">
      <c r="A133" s="320" t="n"/>
      <c r="B133" s="323" t="n"/>
      <c r="C133" s="320" t="n"/>
      <c r="D133" s="278">
        <f>IF(C133="","",IF(ISNUMBER(SEARCH("-SEM",C133)),VALUE(LEFT(C133,4)&amp;IF(RIGHT(C133,1)="1","01","07")),VALUE(SUBSTITUTE(C133,"-",""))))</f>
        <v/>
      </c>
      <c r="E133" s="320" t="n"/>
      <c r="F133" s="320" t="n"/>
      <c r="G133" s="320" t="n"/>
      <c r="H133" s="323" t="n"/>
    </row>
    <row r="134" ht="15" customHeight="1" s="131">
      <c r="A134" s="320" t="n"/>
      <c r="B134" s="323" t="n"/>
      <c r="C134" s="320" t="n"/>
      <c r="D134" s="278">
        <f>IF(C134="","",IF(ISNUMBER(SEARCH("-SEM",C134)),VALUE(LEFT(C134,4)&amp;IF(RIGHT(C134,1)="1","01","07")),VALUE(SUBSTITUTE(C134,"-",""))))</f>
        <v/>
      </c>
      <c r="E134" s="320" t="n"/>
      <c r="F134" s="320" t="n"/>
      <c r="G134" s="320" t="n"/>
      <c r="H134" s="323" t="n"/>
    </row>
    <row r="135" ht="15" customHeight="1" s="131">
      <c r="A135" s="320" t="n"/>
      <c r="B135" s="323" t="n"/>
      <c r="C135" s="320" t="n"/>
      <c r="D135" s="278">
        <f>IF(C135="","",IF(ISNUMBER(SEARCH("-SEM",C135)),VALUE(LEFT(C135,4)&amp;IF(RIGHT(C135,1)="1","01","07")),VALUE(SUBSTITUTE(C135,"-",""))))</f>
        <v/>
      </c>
      <c r="E135" s="320" t="n"/>
      <c r="F135" s="320" t="n"/>
      <c r="G135" s="320" t="n"/>
      <c r="H135" s="323" t="n"/>
    </row>
    <row r="136" ht="15" customHeight="1" s="131">
      <c r="A136" s="320" t="n"/>
      <c r="B136" s="323" t="n"/>
      <c r="C136" s="320" t="n"/>
      <c r="D136" s="278">
        <f>IF(C136="","",IF(ISNUMBER(SEARCH("-SEM",C136)),VALUE(LEFT(C136,4)&amp;IF(RIGHT(C136,1)="1","01","07")),VALUE(SUBSTITUTE(C136,"-",""))))</f>
        <v/>
      </c>
      <c r="E136" s="320" t="n"/>
      <c r="F136" s="320" t="n"/>
      <c r="G136" s="320" t="n"/>
      <c r="H136" s="323" t="n"/>
    </row>
    <row r="137" ht="15" customHeight="1" s="131">
      <c r="A137" s="320" t="n"/>
      <c r="B137" s="323" t="n"/>
      <c r="C137" s="320" t="n"/>
      <c r="D137" s="278">
        <f>IF(C137="","",IF(ISNUMBER(SEARCH("-SEM",C137)),VALUE(LEFT(C137,4)&amp;IF(RIGHT(C137,1)="1","01","07")),VALUE(SUBSTITUTE(C137,"-",""))))</f>
        <v/>
      </c>
      <c r="E137" s="320" t="n"/>
      <c r="F137" s="320" t="n"/>
      <c r="G137" s="320" t="n"/>
      <c r="H137" s="323" t="n"/>
    </row>
    <row r="138" ht="15" customHeight="1" s="131">
      <c r="A138" s="320" t="n"/>
      <c r="B138" s="323" t="n"/>
      <c r="C138" s="320" t="n"/>
      <c r="D138" s="278">
        <f>IF(C138="","",IF(ISNUMBER(SEARCH("-SEM",C138)),VALUE(LEFT(C138,4)&amp;IF(RIGHT(C138,1)="1","01","07")),VALUE(SUBSTITUTE(C138,"-",""))))</f>
        <v/>
      </c>
      <c r="E138" s="320" t="n"/>
      <c r="F138" s="320" t="n"/>
      <c r="G138" s="320" t="n"/>
      <c r="H138" s="323" t="n"/>
    </row>
    <row r="139" ht="15" customHeight="1" s="131">
      <c r="A139" s="320" t="n"/>
      <c r="B139" s="323" t="n"/>
      <c r="C139" s="320" t="n"/>
      <c r="D139" s="278">
        <f>IF(C139="","",IF(ISNUMBER(SEARCH("-SEM",C139)),VALUE(LEFT(C139,4)&amp;IF(RIGHT(C139,1)="1","01","07")),VALUE(SUBSTITUTE(C139,"-",""))))</f>
        <v/>
      </c>
      <c r="E139" s="320" t="n"/>
      <c r="F139" s="320" t="n"/>
      <c r="G139" s="320" t="n"/>
      <c r="H139" s="323" t="n"/>
    </row>
    <row r="140" ht="15" customHeight="1" s="131">
      <c r="A140" s="320" t="n"/>
      <c r="B140" s="323" t="n"/>
      <c r="C140" s="320" t="n"/>
      <c r="D140" s="278">
        <f>IF(C140="","",IF(ISNUMBER(SEARCH("-SEM",C140)),VALUE(LEFT(C140,4)&amp;IF(RIGHT(C140,1)="1","01","07")),VALUE(SUBSTITUTE(C140,"-",""))))</f>
        <v/>
      </c>
      <c r="E140" s="320" t="n"/>
      <c r="F140" s="320" t="n"/>
      <c r="G140" s="320" t="n"/>
      <c r="H140" s="323" t="n"/>
    </row>
    <row r="141" ht="15" customHeight="1" s="131">
      <c r="A141" s="320" t="n"/>
      <c r="B141" s="323" t="n"/>
      <c r="C141" s="320" t="n"/>
      <c r="D141" s="278">
        <f>IF(C141="","",IF(ISNUMBER(SEARCH("-SEM",C141)),VALUE(LEFT(C141,4)&amp;IF(RIGHT(C141,1)="1","01","07")),VALUE(SUBSTITUTE(C141,"-",""))))</f>
        <v/>
      </c>
      <c r="E141" s="320" t="n"/>
      <c r="F141" s="320" t="n"/>
      <c r="G141" s="320" t="n"/>
      <c r="H141" s="323" t="n"/>
    </row>
    <row r="142" ht="15" customHeight="1" s="131">
      <c r="A142" s="320" t="n"/>
      <c r="B142" s="323" t="n"/>
      <c r="C142" s="320" t="n"/>
      <c r="D142" s="278">
        <f>IF(C142="","",IF(ISNUMBER(SEARCH("-SEM",C142)),VALUE(LEFT(C142,4)&amp;IF(RIGHT(C142,1)="1","01","07")),VALUE(SUBSTITUTE(C142,"-",""))))</f>
        <v/>
      </c>
      <c r="E142" s="320" t="n"/>
      <c r="F142" s="320" t="n"/>
      <c r="G142" s="320" t="n"/>
      <c r="H142" s="323" t="n"/>
    </row>
    <row r="143" ht="15" customHeight="1" s="131">
      <c r="A143" s="320" t="n"/>
      <c r="B143" s="323" t="n"/>
      <c r="C143" s="320" t="n"/>
      <c r="D143" s="278">
        <f>IF(C143="","",IF(ISNUMBER(SEARCH("-SEM",C143)),VALUE(LEFT(C143,4)&amp;IF(RIGHT(C143,1)="1","01","07")),VALUE(SUBSTITUTE(C143,"-",""))))</f>
        <v/>
      </c>
      <c r="E143" s="320" t="n"/>
      <c r="F143" s="320" t="n"/>
      <c r="G143" s="320" t="n"/>
      <c r="H143" s="323" t="n"/>
    </row>
    <row r="144" ht="15" customHeight="1" s="131">
      <c r="A144" s="320" t="n"/>
      <c r="B144" s="323" t="n"/>
      <c r="C144" s="320" t="n"/>
      <c r="D144" s="278">
        <f>IF(C144="","",IF(ISNUMBER(SEARCH("-SEM",C144)),VALUE(LEFT(C144,4)&amp;IF(RIGHT(C144,1)="1","01","07")),VALUE(SUBSTITUTE(C144,"-",""))))</f>
        <v/>
      </c>
      <c r="E144" s="320" t="n"/>
      <c r="F144" s="320" t="n"/>
      <c r="G144" s="320" t="n"/>
      <c r="H144" s="323" t="n"/>
    </row>
    <row r="145" ht="15" customHeight="1" s="131">
      <c r="A145" s="320" t="n"/>
      <c r="B145" s="323" t="n"/>
      <c r="C145" s="320" t="n"/>
      <c r="D145" s="278">
        <f>IF(C145="","",IF(ISNUMBER(SEARCH("-SEM",C145)),VALUE(LEFT(C145,4)&amp;IF(RIGHT(C145,1)="1","01","07")),VALUE(SUBSTITUTE(C145,"-",""))))</f>
        <v/>
      </c>
      <c r="E145" s="320" t="n"/>
      <c r="F145" s="320" t="n"/>
      <c r="G145" s="320" t="n"/>
      <c r="H145" s="323" t="n"/>
    </row>
    <row r="146" ht="15" customHeight="1" s="131">
      <c r="A146" s="320" t="n"/>
      <c r="B146" s="323" t="n"/>
      <c r="C146" s="320" t="n"/>
      <c r="D146" s="278">
        <f>IF(C146="","",IF(ISNUMBER(SEARCH("-SEM",C146)),VALUE(LEFT(C146,4)&amp;IF(RIGHT(C146,1)="1","01","07")),VALUE(SUBSTITUTE(C146,"-",""))))</f>
        <v/>
      </c>
      <c r="E146" s="320" t="n"/>
      <c r="F146" s="320" t="n"/>
      <c r="G146" s="320" t="n"/>
      <c r="H146" s="323" t="n"/>
    </row>
    <row r="147" ht="15" customHeight="1" s="131">
      <c r="A147" s="320" t="n"/>
      <c r="B147" s="323" t="n"/>
      <c r="C147" s="320" t="n"/>
      <c r="D147" s="278">
        <f>IF(C147="","",IF(ISNUMBER(SEARCH("-SEM",C147)),VALUE(LEFT(C147,4)&amp;IF(RIGHT(C147,1)="1","01","07")),VALUE(SUBSTITUTE(C147,"-",""))))</f>
        <v/>
      </c>
      <c r="E147" s="320" t="n"/>
      <c r="F147" s="320" t="n"/>
      <c r="G147" s="320" t="n"/>
      <c r="H147" s="323" t="n"/>
    </row>
    <row r="148" ht="15" customHeight="1" s="131">
      <c r="A148" s="320" t="n"/>
      <c r="B148" s="323" t="n"/>
      <c r="C148" s="320" t="n"/>
      <c r="D148" s="278">
        <f>IF(C148="","",IF(ISNUMBER(SEARCH("-SEM",C148)),VALUE(LEFT(C148,4)&amp;IF(RIGHT(C148,1)="1","01","07")),VALUE(SUBSTITUTE(C148,"-",""))))</f>
        <v/>
      </c>
      <c r="E148" s="320" t="n"/>
      <c r="F148" s="320" t="n"/>
      <c r="G148" s="320" t="n"/>
      <c r="H148" s="323" t="n"/>
    </row>
    <row r="149" ht="15" customHeight="1" s="131">
      <c r="A149" s="320" t="n"/>
      <c r="B149" s="323" t="n"/>
      <c r="C149" s="320" t="n"/>
      <c r="D149" s="278">
        <f>IF(C149="","",IF(ISNUMBER(SEARCH("-SEM",C149)),VALUE(LEFT(C149,4)&amp;IF(RIGHT(C149,1)="1","01","07")),VALUE(SUBSTITUTE(C149,"-",""))))</f>
        <v/>
      </c>
      <c r="E149" s="320" t="n"/>
      <c r="F149" s="320" t="n"/>
      <c r="G149" s="320" t="n"/>
      <c r="H149" s="323" t="n"/>
    </row>
    <row r="150" ht="15" customHeight="1" s="131">
      <c r="A150" s="320" t="n"/>
      <c r="B150" s="323" t="n"/>
      <c r="C150" s="320" t="n"/>
      <c r="D150" s="278">
        <f>IF(C150="","",IF(ISNUMBER(SEARCH("-SEM",C150)),VALUE(LEFT(C150,4)&amp;IF(RIGHT(C150,1)="1","01","07")),VALUE(SUBSTITUTE(C150,"-",""))))</f>
        <v/>
      </c>
      <c r="E150" s="320" t="n"/>
      <c r="F150" s="320" t="n"/>
      <c r="G150" s="320" t="n"/>
      <c r="H150" s="323" t="n"/>
    </row>
    <row r="151" ht="15" customHeight="1" s="131">
      <c r="A151" s="320" t="n"/>
      <c r="B151" s="323" t="n"/>
      <c r="C151" s="320" t="n"/>
      <c r="D151" s="278">
        <f>IF(C151="","",IF(ISNUMBER(SEARCH("-SEM",C151)),VALUE(LEFT(C151,4)&amp;IF(RIGHT(C151,1)="1","01","07")),VALUE(SUBSTITUTE(C151,"-",""))))</f>
        <v/>
      </c>
      <c r="E151" s="320" t="n"/>
      <c r="F151" s="320" t="n"/>
      <c r="G151" s="320" t="n"/>
      <c r="H151" s="323" t="n"/>
    </row>
    <row r="152" ht="15" customHeight="1" s="131">
      <c r="A152" s="320" t="n"/>
      <c r="B152" s="323" t="n"/>
      <c r="C152" s="320" t="n"/>
      <c r="D152" s="278">
        <f>IF(C152="","",IF(ISNUMBER(SEARCH("-SEM",C152)),VALUE(LEFT(C152,4)&amp;IF(RIGHT(C152,1)="1","01","07")),VALUE(SUBSTITUTE(C152,"-",""))))</f>
        <v/>
      </c>
      <c r="E152" s="320" t="n"/>
      <c r="F152" s="320" t="n"/>
      <c r="G152" s="320" t="n"/>
      <c r="H152" s="323" t="n"/>
    </row>
    <row r="153" ht="15" customHeight="1" s="131">
      <c r="A153" s="320" t="n"/>
      <c r="B153" s="323" t="n"/>
      <c r="C153" s="320" t="n"/>
      <c r="D153" s="278">
        <f>IF(C153="","",IF(ISNUMBER(SEARCH("-SEM",C153)),VALUE(LEFT(C153,4)&amp;IF(RIGHT(C153,1)="1","01","07")),VALUE(SUBSTITUTE(C153,"-",""))))</f>
        <v/>
      </c>
      <c r="E153" s="320" t="n"/>
      <c r="F153" s="320" t="n"/>
      <c r="G153" s="320" t="n"/>
      <c r="H153" s="323" t="n"/>
    </row>
    <row r="154" ht="15" customHeight="1" s="131">
      <c r="A154" s="320" t="n"/>
      <c r="B154" s="323" t="n"/>
      <c r="C154" s="320" t="n"/>
      <c r="D154" s="278">
        <f>IF(C154="","",IF(ISNUMBER(SEARCH("-SEM",C154)),VALUE(LEFT(C154,4)&amp;IF(RIGHT(C154,1)="1","01","07")),VALUE(SUBSTITUTE(C154,"-",""))))</f>
        <v/>
      </c>
      <c r="E154" s="320" t="n"/>
      <c r="F154" s="320" t="n"/>
      <c r="G154" s="320" t="n"/>
      <c r="H154" s="323" t="n"/>
    </row>
    <row r="155" ht="15" customHeight="1" s="131">
      <c r="A155" s="320" t="n"/>
      <c r="B155" s="323" t="n"/>
      <c r="C155" s="320" t="n"/>
      <c r="D155" s="278">
        <f>IF(C155="","",IF(ISNUMBER(SEARCH("-SEM",C155)),VALUE(LEFT(C155,4)&amp;IF(RIGHT(C155,1)="1","01","07")),VALUE(SUBSTITUTE(C155,"-",""))))</f>
        <v/>
      </c>
      <c r="E155" s="320" t="n"/>
      <c r="F155" s="320" t="n"/>
      <c r="G155" s="320" t="n"/>
      <c r="H155" s="323" t="n"/>
    </row>
    <row r="156" ht="15" customHeight="1" s="131">
      <c r="A156" s="320" t="n"/>
      <c r="B156" s="323" t="n"/>
      <c r="C156" s="320" t="n"/>
      <c r="D156" s="278">
        <f>IF(C156="","",IF(ISNUMBER(SEARCH("-SEM",C156)),VALUE(LEFT(C156,4)&amp;IF(RIGHT(C156,1)="1","01","07")),VALUE(SUBSTITUTE(C156,"-",""))))</f>
        <v/>
      </c>
      <c r="E156" s="320" t="n"/>
      <c r="F156" s="320" t="n"/>
      <c r="G156" s="320" t="n"/>
      <c r="H156" s="323" t="n"/>
    </row>
    <row r="157" ht="15" customHeight="1" s="131">
      <c r="A157" s="320" t="n"/>
      <c r="B157" s="323" t="n"/>
      <c r="C157" s="320" t="n"/>
      <c r="D157" s="278">
        <f>IF(C157="","",IF(ISNUMBER(SEARCH("-SEM",C157)),VALUE(LEFT(C157,4)&amp;IF(RIGHT(C157,1)="1","01","07")),VALUE(SUBSTITUTE(C157,"-",""))))</f>
        <v/>
      </c>
      <c r="E157" s="320" t="n"/>
      <c r="F157" s="320" t="n"/>
      <c r="G157" s="320" t="n"/>
      <c r="H157" s="323" t="n"/>
    </row>
    <row r="158" ht="15" customHeight="1" s="131">
      <c r="A158" s="320" t="n"/>
      <c r="B158" s="323" t="n"/>
      <c r="C158" s="320" t="n"/>
      <c r="D158" s="278">
        <f>IF(C158="","",IF(ISNUMBER(SEARCH("-SEM",C158)),VALUE(LEFT(C158,4)&amp;IF(RIGHT(C158,1)="1","01","07")),VALUE(SUBSTITUTE(C158,"-",""))))</f>
        <v/>
      </c>
      <c r="E158" s="320" t="n"/>
      <c r="F158" s="320" t="n"/>
      <c r="G158" s="320" t="n"/>
      <c r="H158" s="323" t="n"/>
    </row>
    <row r="159" ht="15" customHeight="1" s="131">
      <c r="A159" s="320" t="n"/>
      <c r="B159" s="323" t="n"/>
      <c r="C159" s="320" t="n"/>
      <c r="D159" s="278">
        <f>IF(C159="","",IF(ISNUMBER(SEARCH("-SEM",C159)),VALUE(LEFT(C159,4)&amp;IF(RIGHT(C159,1)="1","01","07")),VALUE(SUBSTITUTE(C159,"-",""))))</f>
        <v/>
      </c>
      <c r="E159" s="320" t="n"/>
      <c r="F159" s="320" t="n"/>
      <c r="G159" s="320" t="n"/>
      <c r="H159" s="323" t="n"/>
    </row>
    <row r="160" ht="15" customHeight="1" s="131">
      <c r="A160" s="320" t="n"/>
      <c r="B160" s="323" t="n"/>
      <c r="C160" s="320" t="n"/>
      <c r="D160" s="278">
        <f>IF(C160="","",IF(ISNUMBER(SEARCH("-SEM",C160)),VALUE(LEFT(C160,4)&amp;IF(RIGHT(C160,1)="1","01","07")),VALUE(SUBSTITUTE(C160,"-",""))))</f>
        <v/>
      </c>
      <c r="E160" s="320" t="n"/>
      <c r="F160" s="320" t="n"/>
      <c r="G160" s="320" t="n"/>
      <c r="H160" s="323" t="n"/>
    </row>
    <row r="161" ht="15" customHeight="1" s="131">
      <c r="A161" s="320" t="n"/>
      <c r="B161" s="323" t="n"/>
      <c r="C161" s="320" t="n"/>
      <c r="D161" s="278">
        <f>IF(C161="","",IF(ISNUMBER(SEARCH("-SEM",C161)),VALUE(LEFT(C161,4)&amp;IF(RIGHT(C161,1)="1","01","07")),VALUE(SUBSTITUTE(C161,"-",""))))</f>
        <v/>
      </c>
      <c r="E161" s="320" t="n"/>
      <c r="F161" s="320" t="n"/>
      <c r="G161" s="320" t="n"/>
      <c r="H161" s="323" t="n"/>
    </row>
    <row r="162" ht="15" customHeight="1" s="131">
      <c r="A162" s="320" t="n"/>
      <c r="B162" s="323" t="n"/>
      <c r="C162" s="320" t="n"/>
      <c r="D162" s="278">
        <f>IF(C162="","",IF(ISNUMBER(SEARCH("-SEM",C162)),VALUE(LEFT(C162,4)&amp;IF(RIGHT(C162,1)="1","01","07")),VALUE(SUBSTITUTE(C162,"-",""))))</f>
        <v/>
      </c>
      <c r="E162" s="320" t="n"/>
      <c r="F162" s="320" t="n"/>
      <c r="G162" s="320" t="n"/>
      <c r="H162" s="323" t="n"/>
    </row>
    <row r="163" ht="15" customHeight="1" s="131">
      <c r="A163" s="320" t="n"/>
      <c r="B163" s="323" t="n"/>
      <c r="C163" s="320" t="n"/>
      <c r="D163" s="278">
        <f>IF(C163="","",IF(ISNUMBER(SEARCH("-SEM",C163)),VALUE(LEFT(C163,4)&amp;IF(RIGHT(C163,1)="1","01","07")),VALUE(SUBSTITUTE(C163,"-",""))))</f>
        <v/>
      </c>
      <c r="E163" s="320" t="n"/>
      <c r="F163" s="320" t="n"/>
      <c r="G163" s="320" t="n"/>
      <c r="H163" s="323" t="n"/>
    </row>
    <row r="164" ht="15" customHeight="1" s="131">
      <c r="A164" s="320" t="n"/>
      <c r="B164" s="323" t="n"/>
      <c r="C164" s="320" t="n"/>
      <c r="D164" s="278">
        <f>IF(C164="","",IF(ISNUMBER(SEARCH("-SEM",C164)),VALUE(LEFT(C164,4)&amp;IF(RIGHT(C164,1)="1","01","07")),VALUE(SUBSTITUTE(C164,"-",""))))</f>
        <v/>
      </c>
      <c r="E164" s="320" t="n"/>
      <c r="F164" s="320" t="n"/>
      <c r="G164" s="320" t="n"/>
      <c r="H164" s="323" t="n"/>
    </row>
    <row r="165" ht="15" customHeight="1" s="131">
      <c r="A165" s="320" t="n"/>
      <c r="B165" s="323" t="n"/>
      <c r="C165" s="320" t="n"/>
      <c r="D165" s="278">
        <f>IF(C165="","",IF(ISNUMBER(SEARCH("-SEM",C165)),VALUE(LEFT(C165,4)&amp;IF(RIGHT(C165,1)="1","01","07")),VALUE(SUBSTITUTE(C165,"-",""))))</f>
        <v/>
      </c>
      <c r="E165" s="320" t="n"/>
      <c r="F165" s="320" t="n"/>
      <c r="G165" s="320" t="n"/>
      <c r="H165" s="323" t="n"/>
    </row>
    <row r="166" ht="15" customHeight="1" s="131">
      <c r="A166" s="320" t="n"/>
      <c r="B166" s="323" t="n"/>
      <c r="C166" s="320" t="n"/>
      <c r="D166" s="278">
        <f>IF(C166="","",IF(ISNUMBER(SEARCH("-SEM",C166)),VALUE(LEFT(C166,4)&amp;IF(RIGHT(C166,1)="1","01","07")),VALUE(SUBSTITUTE(C166,"-",""))))</f>
        <v/>
      </c>
      <c r="E166" s="320" t="n"/>
      <c r="F166" s="320" t="n"/>
      <c r="G166" s="320" t="n"/>
      <c r="H166" s="323" t="n"/>
    </row>
    <row r="167" ht="15" customHeight="1" s="131">
      <c r="A167" s="320" t="n"/>
      <c r="B167" s="323" t="n"/>
      <c r="C167" s="320" t="n"/>
      <c r="D167" s="278">
        <f>IF(C167="","",IF(ISNUMBER(SEARCH("-SEM",C167)),VALUE(LEFT(C167,4)&amp;IF(RIGHT(C167,1)="1","01","07")),VALUE(SUBSTITUTE(C167,"-",""))))</f>
        <v/>
      </c>
      <c r="E167" s="320" t="n"/>
      <c r="F167" s="320" t="n"/>
      <c r="G167" s="320" t="n"/>
      <c r="H167" s="323" t="n"/>
    </row>
    <row r="168" ht="15" customHeight="1" s="131">
      <c r="A168" s="320" t="n"/>
      <c r="B168" s="323" t="n"/>
      <c r="C168" s="320" t="n"/>
      <c r="D168" s="278">
        <f>IF(C168="","",IF(ISNUMBER(SEARCH("-SEM",C168)),VALUE(LEFT(C168,4)&amp;IF(RIGHT(C168,1)="1","01","07")),VALUE(SUBSTITUTE(C168,"-",""))))</f>
        <v/>
      </c>
      <c r="E168" s="320" t="n"/>
      <c r="F168" s="320" t="n"/>
      <c r="G168" s="320" t="n"/>
      <c r="H168" s="323" t="n"/>
    </row>
    <row r="169" ht="15" customHeight="1" s="131">
      <c r="A169" s="320" t="n"/>
      <c r="B169" s="323" t="n"/>
      <c r="C169" s="320" t="n"/>
      <c r="D169" s="278">
        <f>IF(C169="","",IF(ISNUMBER(SEARCH("-SEM",C169)),VALUE(LEFT(C169,4)&amp;IF(RIGHT(C169,1)="1","01","07")),VALUE(SUBSTITUTE(C169,"-",""))))</f>
        <v/>
      </c>
      <c r="E169" s="320" t="n"/>
      <c r="F169" s="320" t="n"/>
      <c r="G169" s="320" t="n"/>
      <c r="H169" s="323" t="n"/>
    </row>
    <row r="170" ht="15" customHeight="1" s="131">
      <c r="A170" s="320" t="n"/>
      <c r="B170" s="323" t="n"/>
      <c r="C170" s="320" t="n"/>
      <c r="D170" s="278">
        <f>IF(C170="","",IF(ISNUMBER(SEARCH("-SEM",C170)),VALUE(LEFT(C170,4)&amp;IF(RIGHT(C170,1)="1","01","07")),VALUE(SUBSTITUTE(C170,"-",""))))</f>
        <v/>
      </c>
      <c r="E170" s="320" t="n"/>
      <c r="F170" s="320" t="n"/>
      <c r="G170" s="320" t="n"/>
      <c r="H170" s="323" t="n"/>
    </row>
    <row r="171" ht="15" customHeight="1" s="131">
      <c r="A171" s="320" t="n"/>
      <c r="B171" s="323" t="n"/>
      <c r="C171" s="320" t="n"/>
      <c r="D171" s="278">
        <f>IF(C171="","",IF(ISNUMBER(SEARCH("-SEM",C171)),VALUE(LEFT(C171,4)&amp;IF(RIGHT(C171,1)="1","01","07")),VALUE(SUBSTITUTE(C171,"-",""))))</f>
        <v/>
      </c>
      <c r="E171" s="320" t="n"/>
      <c r="F171" s="320" t="n"/>
      <c r="G171" s="320" t="n"/>
      <c r="H171" s="323" t="n"/>
    </row>
    <row r="172" ht="15" customHeight="1" s="131">
      <c r="A172" s="320" t="n"/>
      <c r="B172" s="323" t="n"/>
      <c r="C172" s="320" t="n"/>
      <c r="D172" s="278">
        <f>IF(C172="","",IF(ISNUMBER(SEARCH("-SEM",C172)),VALUE(LEFT(C172,4)&amp;IF(RIGHT(C172,1)="1","01","07")),VALUE(SUBSTITUTE(C172,"-",""))))</f>
        <v/>
      </c>
      <c r="E172" s="320" t="n"/>
      <c r="F172" s="320" t="n"/>
      <c r="G172" s="320" t="n"/>
      <c r="H172" s="323" t="n"/>
    </row>
    <row r="173" ht="15" customHeight="1" s="131">
      <c r="A173" s="320" t="n"/>
      <c r="B173" s="323" t="n"/>
      <c r="C173" s="320" t="n"/>
      <c r="D173" s="278">
        <f>IF(C173="","",IF(ISNUMBER(SEARCH("-SEM",C173)),VALUE(LEFT(C173,4)&amp;IF(RIGHT(C173,1)="1","01","07")),VALUE(SUBSTITUTE(C173,"-",""))))</f>
        <v/>
      </c>
      <c r="E173" s="320" t="n"/>
      <c r="F173" s="320" t="n"/>
      <c r="G173" s="320" t="n"/>
      <c r="H173" s="323" t="n"/>
    </row>
    <row r="174" ht="15" customHeight="1" s="131">
      <c r="A174" s="320" t="n"/>
      <c r="B174" s="323" t="n"/>
      <c r="C174" s="320" t="n"/>
      <c r="D174" s="278">
        <f>IF(C174="","",IF(ISNUMBER(SEARCH("-SEM",C174)),VALUE(LEFT(C174,4)&amp;IF(RIGHT(C174,1)="1","01","07")),VALUE(SUBSTITUTE(C174,"-",""))))</f>
        <v/>
      </c>
      <c r="E174" s="320" t="n"/>
      <c r="F174" s="320" t="n"/>
      <c r="G174" s="320" t="n"/>
      <c r="H174" s="323" t="n"/>
    </row>
    <row r="175" ht="15" customHeight="1" s="131">
      <c r="A175" s="320" t="n"/>
      <c r="B175" s="323" t="n"/>
      <c r="C175" s="320" t="n"/>
      <c r="D175" s="278">
        <f>IF(C175="","",IF(ISNUMBER(SEARCH("-SEM",C175)),VALUE(LEFT(C175,4)&amp;IF(RIGHT(C175,1)="1","01","07")),VALUE(SUBSTITUTE(C175,"-",""))))</f>
        <v/>
      </c>
      <c r="E175" s="320" t="n"/>
      <c r="F175" s="320" t="n"/>
      <c r="G175" s="320" t="n"/>
      <c r="H175" s="323" t="n"/>
    </row>
    <row r="176" ht="15" customHeight="1" s="131">
      <c r="A176" s="320" t="n"/>
      <c r="B176" s="323" t="n"/>
      <c r="C176" s="320" t="n"/>
      <c r="D176" s="278">
        <f>IF(C176="","",IF(ISNUMBER(SEARCH("-SEM",C176)),VALUE(LEFT(C176,4)&amp;IF(RIGHT(C176,1)="1","01","07")),VALUE(SUBSTITUTE(C176,"-",""))))</f>
        <v/>
      </c>
      <c r="E176" s="320" t="n"/>
      <c r="F176" s="320" t="n"/>
      <c r="G176" s="320" t="n"/>
      <c r="H176" s="323" t="n"/>
    </row>
    <row r="177" ht="15" customHeight="1" s="131">
      <c r="A177" s="320" t="n"/>
      <c r="B177" s="323" t="n"/>
      <c r="C177" s="320" t="n"/>
      <c r="D177" s="278">
        <f>IF(C177="","",IF(ISNUMBER(SEARCH("-SEM",C177)),VALUE(LEFT(C177,4)&amp;IF(RIGHT(C177,1)="1","01","07")),VALUE(SUBSTITUTE(C177,"-",""))))</f>
        <v/>
      </c>
      <c r="E177" s="320" t="n"/>
      <c r="F177" s="320" t="n"/>
      <c r="G177" s="320" t="n"/>
      <c r="H177" s="323" t="n"/>
    </row>
    <row r="178" ht="15" customHeight="1" s="131">
      <c r="A178" s="320" t="n"/>
      <c r="B178" s="323" t="n"/>
      <c r="C178" s="320" t="n"/>
      <c r="D178" s="278">
        <f>IF(C178="","",IF(ISNUMBER(SEARCH("-SEM",C178)),VALUE(LEFT(C178,4)&amp;IF(RIGHT(C178,1)="1","01","07")),VALUE(SUBSTITUTE(C178,"-",""))))</f>
        <v/>
      </c>
      <c r="E178" s="320" t="n"/>
      <c r="F178" s="320" t="n"/>
      <c r="G178" s="320" t="n"/>
      <c r="H178" s="323" t="n"/>
    </row>
    <row r="179" ht="15" customHeight="1" s="131">
      <c r="A179" s="320" t="n"/>
      <c r="B179" s="323" t="n"/>
      <c r="C179" s="320" t="n"/>
      <c r="D179" s="278">
        <f>IF(C179="","",IF(ISNUMBER(SEARCH("-SEM",C179)),VALUE(LEFT(C179,4)&amp;IF(RIGHT(C179,1)="1","01","07")),VALUE(SUBSTITUTE(C179,"-",""))))</f>
        <v/>
      </c>
      <c r="E179" s="320" t="n"/>
      <c r="F179" s="320" t="n"/>
      <c r="G179" s="320" t="n"/>
      <c r="H179" s="323" t="n"/>
    </row>
    <row r="180" ht="15" customHeight="1" s="131">
      <c r="A180" s="320" t="n"/>
      <c r="B180" s="323" t="n"/>
      <c r="C180" s="320" t="n"/>
      <c r="D180" s="278">
        <f>IF(C180="","",IF(ISNUMBER(SEARCH("-SEM",C180)),VALUE(LEFT(C180,4)&amp;IF(RIGHT(C180,1)="1","01","07")),VALUE(SUBSTITUTE(C180,"-",""))))</f>
        <v/>
      </c>
      <c r="E180" s="320" t="n"/>
      <c r="F180" s="320" t="n"/>
      <c r="G180" s="320" t="n"/>
      <c r="H180" s="323" t="n"/>
    </row>
    <row r="181" ht="15" customHeight="1" s="131">
      <c r="A181" s="320" t="n"/>
      <c r="B181" s="323" t="n"/>
      <c r="C181" s="320" t="n"/>
      <c r="D181" s="278">
        <f>IF(C181="","",IF(ISNUMBER(SEARCH("-SEM",C181)),VALUE(LEFT(C181,4)&amp;IF(RIGHT(C181,1)="1","01","07")),VALUE(SUBSTITUTE(C181,"-",""))))</f>
        <v/>
      </c>
      <c r="E181" s="320" t="n"/>
      <c r="F181" s="320" t="n"/>
      <c r="G181" s="320" t="n"/>
      <c r="H181" s="323" t="n"/>
    </row>
    <row r="182" ht="15" customHeight="1" s="131">
      <c r="A182" s="320" t="n"/>
      <c r="B182" s="323" t="n"/>
      <c r="C182" s="320" t="n"/>
      <c r="D182" s="278">
        <f>IF(C182="","",IF(ISNUMBER(SEARCH("-SEM",C182)),VALUE(LEFT(C182,4)&amp;IF(RIGHT(C182,1)="1","01","07")),VALUE(SUBSTITUTE(C182,"-",""))))</f>
        <v/>
      </c>
      <c r="E182" s="320" t="n"/>
      <c r="F182" s="320" t="n"/>
      <c r="G182" s="320" t="n"/>
      <c r="H182" s="323" t="n"/>
    </row>
    <row r="183" ht="15" customHeight="1" s="131">
      <c r="A183" s="320" t="n"/>
      <c r="B183" s="323" t="n"/>
      <c r="C183" s="320" t="n"/>
      <c r="D183" s="278">
        <f>IF(C183="","",IF(ISNUMBER(SEARCH("-SEM",C183)),VALUE(LEFT(C183,4)&amp;IF(RIGHT(C183,1)="1","01","07")),VALUE(SUBSTITUTE(C183,"-",""))))</f>
        <v/>
      </c>
      <c r="E183" s="320" t="n"/>
      <c r="F183" s="320" t="n"/>
      <c r="G183" s="320" t="n"/>
      <c r="H183" s="323" t="n"/>
    </row>
    <row r="184" ht="15" customHeight="1" s="131">
      <c r="A184" s="320" t="n"/>
      <c r="B184" s="323" t="n"/>
      <c r="C184" s="320" t="n"/>
      <c r="D184" s="278">
        <f>IF(C184="","",IF(ISNUMBER(SEARCH("-SEM",C184)),VALUE(LEFT(C184,4)&amp;IF(RIGHT(C184,1)="1","01","07")),VALUE(SUBSTITUTE(C184,"-",""))))</f>
        <v/>
      </c>
      <c r="E184" s="320" t="n"/>
      <c r="F184" s="320" t="n"/>
      <c r="G184" s="320" t="n"/>
      <c r="H184" s="323" t="n"/>
    </row>
    <row r="185" ht="15" customHeight="1" s="131">
      <c r="A185" s="320" t="n"/>
      <c r="B185" s="323" t="n"/>
      <c r="C185" s="320" t="n"/>
      <c r="D185" s="278">
        <f>IF(C185="","",IF(ISNUMBER(SEARCH("-SEM",C185)),VALUE(LEFT(C185,4)&amp;IF(RIGHT(C185,1)="1","01","07")),VALUE(SUBSTITUTE(C185,"-",""))))</f>
        <v/>
      </c>
      <c r="E185" s="320" t="n"/>
      <c r="F185" s="320" t="n"/>
      <c r="G185" s="320" t="n"/>
      <c r="H185" s="323" t="n"/>
    </row>
    <row r="186" ht="15" customHeight="1" s="131">
      <c r="A186" s="320" t="n"/>
      <c r="B186" s="323" t="n"/>
      <c r="C186" s="320" t="n"/>
      <c r="D186" s="278">
        <f>IF(C186="","",IF(ISNUMBER(SEARCH("-SEM",C186)),VALUE(LEFT(C186,4)&amp;IF(RIGHT(C186,1)="1","01","07")),VALUE(SUBSTITUTE(C186,"-",""))))</f>
        <v/>
      </c>
      <c r="E186" s="320" t="n"/>
      <c r="F186" s="320" t="n"/>
      <c r="G186" s="320" t="n"/>
      <c r="H186" s="323" t="n"/>
    </row>
    <row r="187" ht="15" customHeight="1" s="131">
      <c r="A187" s="320" t="n"/>
      <c r="B187" s="323" t="n"/>
      <c r="C187" s="320" t="n"/>
      <c r="D187" s="278">
        <f>IF(C187="","",IF(ISNUMBER(SEARCH("-SEM",C187)),VALUE(LEFT(C187,4)&amp;IF(RIGHT(C187,1)="1","01","07")),VALUE(SUBSTITUTE(C187,"-",""))))</f>
        <v/>
      </c>
      <c r="E187" s="320" t="n"/>
      <c r="F187" s="320" t="n"/>
      <c r="G187" s="320" t="n"/>
      <c r="H187" s="323" t="n"/>
    </row>
    <row r="188" ht="15" customHeight="1" s="131">
      <c r="A188" s="320" t="n"/>
      <c r="B188" s="323" t="n"/>
      <c r="C188" s="320" t="n"/>
      <c r="D188" s="278">
        <f>IF(C188="","",IF(ISNUMBER(SEARCH("-SEM",C188)),VALUE(LEFT(C188,4)&amp;IF(RIGHT(C188,1)="1","01","07")),VALUE(SUBSTITUTE(C188,"-",""))))</f>
        <v/>
      </c>
      <c r="E188" s="320" t="n"/>
      <c r="F188" s="320" t="n"/>
      <c r="G188" s="320" t="n"/>
      <c r="H188" s="323" t="n"/>
    </row>
    <row r="189" ht="15" customHeight="1" s="131">
      <c r="A189" s="320" t="n"/>
      <c r="B189" s="323" t="n"/>
      <c r="C189" s="320" t="n"/>
      <c r="D189" s="278">
        <f>IF(C189="","",IF(ISNUMBER(SEARCH("-SEM",C189)),VALUE(LEFT(C189,4)&amp;IF(RIGHT(C189,1)="1","01","07")),VALUE(SUBSTITUTE(C189,"-",""))))</f>
        <v/>
      </c>
      <c r="E189" s="320" t="n"/>
      <c r="F189" s="320" t="n"/>
      <c r="G189" s="320" t="n"/>
      <c r="H189" s="323" t="n"/>
    </row>
    <row r="190" ht="15" customHeight="1" s="131">
      <c r="A190" s="320" t="n"/>
      <c r="B190" s="323" t="n"/>
      <c r="C190" s="320" t="n"/>
      <c r="D190" s="278">
        <f>IF(C190="","",IF(ISNUMBER(SEARCH("-SEM",C190)),VALUE(LEFT(C190,4)&amp;IF(RIGHT(C190,1)="1","01","07")),VALUE(SUBSTITUTE(C190,"-",""))))</f>
        <v/>
      </c>
      <c r="E190" s="320" t="n"/>
      <c r="F190" s="320" t="n"/>
      <c r="G190" s="320" t="n"/>
      <c r="H190" s="323" t="n"/>
    </row>
    <row r="191" ht="15" customHeight="1" s="131">
      <c r="A191" s="320" t="n"/>
      <c r="B191" s="323" t="n"/>
      <c r="C191" s="320" t="n"/>
      <c r="D191" s="278">
        <f>IF(C191="","",IF(ISNUMBER(SEARCH("-SEM",C191)),VALUE(LEFT(C191,4)&amp;IF(RIGHT(C191,1)="1","01","07")),VALUE(SUBSTITUTE(C191,"-",""))))</f>
        <v/>
      </c>
      <c r="E191" s="320" t="n"/>
      <c r="F191" s="320" t="n"/>
      <c r="G191" s="320" t="n"/>
      <c r="H191" s="323" t="n"/>
    </row>
    <row r="192" ht="15" customHeight="1" s="131">
      <c r="A192" s="320" t="n"/>
      <c r="B192" s="323" t="n"/>
      <c r="C192" s="320" t="n"/>
      <c r="D192" s="278">
        <f>IF(C192="","",IF(ISNUMBER(SEARCH("-SEM",C192)),VALUE(LEFT(C192,4)&amp;IF(RIGHT(C192,1)="1","01","07")),VALUE(SUBSTITUTE(C192,"-",""))))</f>
        <v/>
      </c>
      <c r="E192" s="320" t="n"/>
      <c r="F192" s="320" t="n"/>
      <c r="G192" s="320" t="n"/>
      <c r="H192" s="323" t="n"/>
    </row>
    <row r="193" ht="15" customHeight="1" s="131">
      <c r="A193" s="320" t="n"/>
      <c r="B193" s="323" t="n"/>
      <c r="C193" s="320" t="n"/>
      <c r="D193" s="278">
        <f>IF(C193="","",IF(ISNUMBER(SEARCH("-SEM",C193)),VALUE(LEFT(C193,4)&amp;IF(RIGHT(C193,1)="1","01","07")),VALUE(SUBSTITUTE(C193,"-",""))))</f>
        <v/>
      </c>
      <c r="E193" s="320" t="n"/>
      <c r="F193" s="320" t="n"/>
      <c r="G193" s="320" t="n"/>
      <c r="H193" s="323" t="n"/>
    </row>
    <row r="194" ht="15" customHeight="1" s="131">
      <c r="A194" s="320" t="n"/>
      <c r="B194" s="323" t="n"/>
      <c r="C194" s="320" t="n"/>
      <c r="D194" s="278">
        <f>IF(C194="","",IF(ISNUMBER(SEARCH("-SEM",C194)),VALUE(LEFT(C194,4)&amp;IF(RIGHT(C194,1)="1","01","07")),VALUE(SUBSTITUTE(C194,"-",""))))</f>
        <v/>
      </c>
      <c r="E194" s="320" t="n"/>
      <c r="F194" s="320" t="n"/>
      <c r="G194" s="320" t="n"/>
      <c r="H194" s="323" t="n"/>
    </row>
    <row r="195" ht="15" customHeight="1" s="131">
      <c r="A195" s="320" t="n"/>
      <c r="B195" s="323" t="n"/>
      <c r="C195" s="320" t="n"/>
      <c r="D195" s="278">
        <f>IF(C195="","",IF(ISNUMBER(SEARCH("-SEM",C195)),VALUE(LEFT(C195,4)&amp;IF(RIGHT(C195,1)="1","01","07")),VALUE(SUBSTITUTE(C195,"-",""))))</f>
        <v/>
      </c>
      <c r="E195" s="320" t="n"/>
      <c r="F195" s="320" t="n"/>
      <c r="G195" s="320" t="n"/>
      <c r="H195" s="323" t="n"/>
    </row>
    <row r="196" ht="15" customHeight="1" s="131">
      <c r="A196" s="320" t="n"/>
      <c r="B196" s="323" t="n"/>
      <c r="C196" s="320" t="n"/>
      <c r="D196" s="278">
        <f>IF(C196="","",IF(ISNUMBER(SEARCH("-SEM",C196)),VALUE(LEFT(C196,4)&amp;IF(RIGHT(C196,1)="1","01","07")),VALUE(SUBSTITUTE(C196,"-",""))))</f>
        <v/>
      </c>
      <c r="E196" s="320" t="n"/>
      <c r="F196" s="320" t="n"/>
      <c r="G196" s="320" t="n"/>
      <c r="H196" s="323" t="n"/>
    </row>
    <row r="197" ht="15" customHeight="1" s="131">
      <c r="A197" s="320" t="n"/>
      <c r="B197" s="323" t="n"/>
      <c r="C197" s="320" t="n"/>
      <c r="D197" s="278">
        <f>IF(C197="","",IF(ISNUMBER(SEARCH("-SEM",C197)),VALUE(LEFT(C197,4)&amp;IF(RIGHT(C197,1)="1","01","07")),VALUE(SUBSTITUTE(C197,"-",""))))</f>
        <v/>
      </c>
      <c r="E197" s="320" t="n"/>
      <c r="F197" s="320" t="n"/>
      <c r="G197" s="320" t="n"/>
      <c r="H197" s="323" t="n"/>
    </row>
    <row r="198" ht="15" customHeight="1" s="131">
      <c r="A198" s="320" t="n"/>
      <c r="B198" s="323" t="n"/>
      <c r="C198" s="320" t="n"/>
      <c r="D198" s="278">
        <f>IF(C198="","",IF(ISNUMBER(SEARCH("-SEM",C198)),VALUE(LEFT(C198,4)&amp;IF(RIGHT(C198,1)="1","01","07")),VALUE(SUBSTITUTE(C198,"-",""))))</f>
        <v/>
      </c>
      <c r="E198" s="320" t="n"/>
      <c r="F198" s="320" t="n"/>
      <c r="G198" s="320" t="n"/>
      <c r="H198" s="323" t="n"/>
    </row>
    <row r="199" ht="15" customHeight="1" s="131">
      <c r="A199" s="320" t="n"/>
      <c r="B199" s="323" t="n"/>
      <c r="C199" s="320" t="n"/>
      <c r="D199" s="278">
        <f>IF(C199="","",IF(ISNUMBER(SEARCH("-SEM",C199)),VALUE(LEFT(C199,4)&amp;IF(RIGHT(C199,1)="1","01","07")),VALUE(SUBSTITUTE(C199,"-",""))))</f>
        <v/>
      </c>
      <c r="E199" s="320" t="n"/>
      <c r="F199" s="320" t="n"/>
      <c r="G199" s="320" t="n"/>
      <c r="H199" s="323" t="n"/>
    </row>
    <row r="200" ht="15" customHeight="1" s="131">
      <c r="A200" s="320" t="n"/>
      <c r="B200" s="323" t="n"/>
      <c r="C200" s="320" t="n"/>
      <c r="D200" s="278">
        <f>IF(C200="","",IF(ISNUMBER(SEARCH("-SEM",C200)),VALUE(LEFT(C200,4)&amp;IF(RIGHT(C200,1)="1","01","07")),VALUE(SUBSTITUTE(C200,"-",""))))</f>
        <v/>
      </c>
      <c r="E200" s="320" t="n"/>
      <c r="F200" s="320" t="n"/>
      <c r="G200" s="320" t="n"/>
      <c r="H200" s="323" t="n"/>
    </row>
    <row r="201" ht="15" customHeight="1" s="131">
      <c r="A201" s="320" t="n"/>
      <c r="B201" s="323" t="n"/>
      <c r="C201" s="320" t="n"/>
      <c r="D201" s="278">
        <f>IF(C201="","",IF(ISNUMBER(SEARCH("-SEM",C201)),VALUE(LEFT(C201,4)&amp;IF(RIGHT(C201,1)="1","01","07")),VALUE(SUBSTITUTE(C201,"-",""))))</f>
        <v/>
      </c>
      <c r="E201" s="320" t="n"/>
      <c r="F201" s="320" t="n"/>
      <c r="G201" s="320" t="n"/>
      <c r="H201" s="323" t="n"/>
    </row>
    <row r="202" ht="15" customHeight="1" s="131">
      <c r="A202" s="320" t="n"/>
      <c r="B202" s="323" t="n"/>
      <c r="C202" s="320" t="n"/>
      <c r="D202" s="278">
        <f>IF(C202="","",IF(ISNUMBER(SEARCH("-SEM",C202)),VALUE(LEFT(C202,4)&amp;IF(RIGHT(C202,1)="1","01","07")),VALUE(SUBSTITUTE(C202,"-",""))))</f>
        <v/>
      </c>
      <c r="E202" s="320" t="n"/>
      <c r="F202" s="320" t="n"/>
      <c r="G202" s="320" t="n"/>
      <c r="H202" s="323" t="n"/>
    </row>
    <row r="203" ht="15" customHeight="1" s="131">
      <c r="A203" s="320" t="n"/>
      <c r="B203" s="323" t="n"/>
      <c r="C203" s="320" t="n"/>
      <c r="D203" s="278">
        <f>IF(C203="","",IF(ISNUMBER(SEARCH("-SEM",C203)),VALUE(LEFT(C203,4)&amp;IF(RIGHT(C203,1)="1","01","07")),VALUE(SUBSTITUTE(C203,"-",""))))</f>
        <v/>
      </c>
      <c r="E203" s="320" t="n"/>
      <c r="F203" s="320" t="n"/>
      <c r="G203" s="320" t="n"/>
      <c r="H203" s="323" t="n"/>
    </row>
    <row r="204" ht="15" customHeight="1" s="131">
      <c r="A204" s="320" t="n"/>
      <c r="B204" s="323" t="n"/>
      <c r="C204" s="320" t="n"/>
      <c r="D204" s="278">
        <f>IF(C204="","",IF(ISNUMBER(SEARCH("-SEM",C204)),VALUE(LEFT(C204,4)&amp;IF(RIGHT(C204,1)="1","01","07")),VALUE(SUBSTITUTE(C204,"-",""))))</f>
        <v/>
      </c>
      <c r="E204" s="320" t="n"/>
      <c r="F204" s="320" t="n"/>
      <c r="G204" s="320" t="n"/>
      <c r="H204" s="323" t="n"/>
    </row>
    <row r="205" ht="15" customHeight="1" s="131">
      <c r="A205" s="320" t="n"/>
      <c r="B205" s="323" t="n"/>
      <c r="C205" s="320" t="n"/>
      <c r="D205" s="278">
        <f>IF(C205="","",IF(ISNUMBER(SEARCH("-SEM",C205)),VALUE(LEFT(C205,4)&amp;IF(RIGHT(C205,1)="1","01","07")),VALUE(SUBSTITUTE(C205,"-",""))))</f>
        <v/>
      </c>
      <c r="E205" s="320" t="n"/>
      <c r="F205" s="320" t="n"/>
      <c r="G205" s="320" t="n"/>
      <c r="H205" s="323" t="n"/>
    </row>
    <row r="206" ht="15" customHeight="1" s="131">
      <c r="A206" s="320" t="n"/>
      <c r="B206" s="323" t="n"/>
      <c r="C206" s="320" t="n"/>
      <c r="D206" s="278">
        <f>IF(C206="","",IF(ISNUMBER(SEARCH("-SEM",C206)),VALUE(LEFT(C206,4)&amp;IF(RIGHT(C206,1)="1","01","07")),VALUE(SUBSTITUTE(C206,"-",""))))</f>
        <v/>
      </c>
      <c r="E206" s="320" t="n"/>
      <c r="F206" s="320" t="n"/>
      <c r="G206" s="320" t="n"/>
      <c r="H206" s="323" t="n"/>
    </row>
    <row r="207" ht="15" customHeight="1" s="131">
      <c r="A207" s="320" t="n"/>
      <c r="B207" s="323" t="n"/>
      <c r="C207" s="320" t="n"/>
      <c r="D207" s="278">
        <f>IF(C207="","",IF(ISNUMBER(SEARCH("-SEM",C207)),VALUE(LEFT(C207,4)&amp;IF(RIGHT(C207,1)="1","01","07")),VALUE(SUBSTITUTE(C207,"-",""))))</f>
        <v/>
      </c>
      <c r="E207" s="320" t="n"/>
      <c r="F207" s="320" t="n"/>
      <c r="G207" s="320" t="n"/>
      <c r="H207" s="323" t="n"/>
    </row>
    <row r="208" ht="15" customHeight="1" s="131">
      <c r="A208" s="320" t="n"/>
      <c r="B208" s="323" t="n"/>
      <c r="C208" s="320" t="n"/>
      <c r="D208" s="278">
        <f>IF(C208="","",IF(ISNUMBER(SEARCH("-SEM",C208)),VALUE(LEFT(C208,4)&amp;IF(RIGHT(C208,1)="1","01","07")),VALUE(SUBSTITUTE(C208,"-",""))))</f>
        <v/>
      </c>
      <c r="E208" s="320" t="n"/>
      <c r="F208" s="320" t="n"/>
      <c r="G208" s="320" t="n"/>
      <c r="H208" s="323" t="n"/>
    </row>
    <row r="209" ht="15" customHeight="1" s="131">
      <c r="A209" s="320" t="n"/>
      <c r="B209" s="323" t="n"/>
      <c r="C209" s="320" t="n"/>
      <c r="D209" s="278">
        <f>IF(C209="","",IF(ISNUMBER(SEARCH("-SEM",C209)),VALUE(LEFT(C209,4)&amp;IF(RIGHT(C209,1)="1","01","07")),VALUE(SUBSTITUTE(C209,"-",""))))</f>
        <v/>
      </c>
      <c r="E209" s="320" t="n"/>
      <c r="F209" s="320" t="n"/>
      <c r="G209" s="320" t="n"/>
      <c r="H209" s="323" t="n"/>
    </row>
    <row r="210" ht="15" customHeight="1" s="131">
      <c r="A210" s="320" t="n"/>
      <c r="B210" s="323" t="n"/>
      <c r="C210" s="320" t="n"/>
      <c r="D210" s="278">
        <f>IF(C210="","",IF(ISNUMBER(SEARCH("-SEM",C210)),VALUE(LEFT(C210,4)&amp;IF(RIGHT(C210,1)="1","01","07")),VALUE(SUBSTITUTE(C210,"-",""))))</f>
        <v/>
      </c>
      <c r="E210" s="320" t="n"/>
      <c r="F210" s="320" t="n"/>
      <c r="G210" s="320" t="n"/>
      <c r="H210" s="323" t="n"/>
    </row>
    <row r="211" ht="15" customHeight="1" s="131">
      <c r="A211" s="320" t="n"/>
      <c r="B211" s="323" t="n"/>
      <c r="C211" s="320" t="n"/>
      <c r="D211" s="278">
        <f>IF(C211="","",IF(ISNUMBER(SEARCH("-SEM",C211)),VALUE(LEFT(C211,4)&amp;IF(RIGHT(C211,1)="1","01","07")),VALUE(SUBSTITUTE(C211,"-",""))))</f>
        <v/>
      </c>
      <c r="E211" s="320" t="n"/>
      <c r="F211" s="320" t="n"/>
      <c r="G211" s="320" t="n"/>
      <c r="H211" s="323" t="n"/>
    </row>
    <row r="212" ht="15" customHeight="1" s="131">
      <c r="A212" s="320" t="n"/>
      <c r="B212" s="323" t="n"/>
      <c r="C212" s="320" t="n"/>
      <c r="D212" s="278">
        <f>IF(C212="","",IF(ISNUMBER(SEARCH("-SEM",C212)),VALUE(LEFT(C212,4)&amp;IF(RIGHT(C212,1)="1","01","07")),VALUE(SUBSTITUTE(C212,"-",""))))</f>
        <v/>
      </c>
      <c r="E212" s="320" t="n"/>
      <c r="F212" s="320" t="n"/>
      <c r="G212" s="320" t="n"/>
      <c r="H212" s="323" t="n"/>
    </row>
    <row r="213" ht="15" customHeight="1" s="131">
      <c r="A213" s="320" t="n"/>
      <c r="B213" s="323" t="n"/>
      <c r="C213" s="320" t="n"/>
      <c r="D213" s="278">
        <f>IF(C213="","",IF(ISNUMBER(SEARCH("-SEM",C213)),VALUE(LEFT(C213,4)&amp;IF(RIGHT(C213,1)="1","01","07")),VALUE(SUBSTITUTE(C213,"-",""))))</f>
        <v/>
      </c>
      <c r="E213" s="320" t="n"/>
      <c r="F213" s="320" t="n"/>
      <c r="G213" s="320" t="n"/>
      <c r="H213" s="323" t="n"/>
    </row>
    <row r="214" ht="15" customHeight="1" s="131">
      <c r="A214" s="320" t="n"/>
      <c r="B214" s="323" t="n"/>
      <c r="C214" s="320" t="n"/>
      <c r="D214" s="278">
        <f>IF(C214="","",IF(ISNUMBER(SEARCH("-SEM",C214)),VALUE(LEFT(C214,4)&amp;IF(RIGHT(C214,1)="1","01","07")),VALUE(SUBSTITUTE(C214,"-",""))))</f>
        <v/>
      </c>
      <c r="E214" s="320" t="n"/>
      <c r="F214" s="320" t="n"/>
      <c r="G214" s="320" t="n"/>
      <c r="H214" s="323" t="n"/>
    </row>
    <row r="215" ht="15" customHeight="1" s="131">
      <c r="A215" s="320" t="n"/>
      <c r="B215" s="323" t="n"/>
      <c r="C215" s="320" t="n"/>
      <c r="D215" s="278">
        <f>IF(C215="","",IF(ISNUMBER(SEARCH("-SEM",C215)),VALUE(LEFT(C215,4)&amp;IF(RIGHT(C215,1)="1","01","07")),VALUE(SUBSTITUTE(C215,"-",""))))</f>
        <v/>
      </c>
      <c r="E215" s="320" t="n"/>
      <c r="F215" s="320" t="n"/>
      <c r="G215" s="320" t="n"/>
      <c r="H215" s="323" t="n"/>
    </row>
    <row r="216" ht="15" customHeight="1" s="131">
      <c r="A216" s="320" t="n"/>
      <c r="B216" s="323" t="n"/>
      <c r="C216" s="320" t="n"/>
      <c r="D216" s="278">
        <f>IF(C216="","",IF(ISNUMBER(SEARCH("-SEM",C216)),VALUE(LEFT(C216,4)&amp;IF(RIGHT(C216,1)="1","01","07")),VALUE(SUBSTITUTE(C216,"-",""))))</f>
        <v/>
      </c>
      <c r="E216" s="320" t="n"/>
      <c r="F216" s="320" t="n"/>
      <c r="G216" s="320" t="n"/>
      <c r="H216" s="323" t="n"/>
    </row>
    <row r="217" ht="15" customHeight="1" s="131">
      <c r="A217" s="320" t="n"/>
      <c r="B217" s="323" t="n"/>
      <c r="C217" s="320" t="n"/>
      <c r="D217" s="278">
        <f>IF(C217="","",IF(ISNUMBER(SEARCH("-SEM",C217)),VALUE(LEFT(C217,4)&amp;IF(RIGHT(C217,1)="1","01","07")),VALUE(SUBSTITUTE(C217,"-",""))))</f>
        <v/>
      </c>
      <c r="E217" s="320" t="n"/>
      <c r="F217" s="320" t="n"/>
      <c r="G217" s="320" t="n"/>
      <c r="H217" s="323" t="n"/>
    </row>
    <row r="218" ht="15" customHeight="1" s="131">
      <c r="A218" s="320" t="n"/>
      <c r="B218" s="323" t="n"/>
      <c r="C218" s="320" t="n"/>
      <c r="D218" s="278">
        <f>IF(C218="","",IF(ISNUMBER(SEARCH("-SEM",C218)),VALUE(LEFT(C218,4)&amp;IF(RIGHT(C218,1)="1","01","07")),VALUE(SUBSTITUTE(C218,"-",""))))</f>
        <v/>
      </c>
      <c r="E218" s="320" t="n"/>
      <c r="F218" s="320" t="n"/>
      <c r="G218" s="320" t="n"/>
      <c r="H218" s="323" t="n"/>
    </row>
    <row r="219" ht="15" customHeight="1" s="131">
      <c r="A219" s="320" t="n"/>
      <c r="B219" s="323" t="n"/>
      <c r="C219" s="320" t="n"/>
      <c r="D219" s="278">
        <f>IF(C219="","",IF(ISNUMBER(SEARCH("-SEM",C219)),VALUE(LEFT(C219,4)&amp;IF(RIGHT(C219,1)="1","01","07")),VALUE(SUBSTITUTE(C219,"-",""))))</f>
        <v/>
      </c>
      <c r="E219" s="320" t="n"/>
      <c r="F219" s="320" t="n"/>
      <c r="G219" s="320" t="n"/>
      <c r="H219" s="323" t="n"/>
    </row>
    <row r="220" ht="15" customHeight="1" s="131">
      <c r="A220" s="320" t="n"/>
      <c r="B220" s="323" t="n"/>
      <c r="C220" s="320" t="n"/>
      <c r="D220" s="278">
        <f>IF(C220="","",IF(ISNUMBER(SEARCH("-SEM",C220)),VALUE(LEFT(C220,4)&amp;IF(RIGHT(C220,1)="1","01","07")),VALUE(SUBSTITUTE(C220,"-",""))))</f>
        <v/>
      </c>
      <c r="E220" s="320" t="n"/>
      <c r="F220" s="320" t="n"/>
      <c r="G220" s="320" t="n"/>
      <c r="H220" s="323" t="n"/>
    </row>
    <row r="221" ht="15" customHeight="1" s="131">
      <c r="A221" s="320" t="n"/>
      <c r="B221" s="323" t="n"/>
      <c r="C221" s="320" t="n"/>
      <c r="D221" s="278">
        <f>IF(C221="","",IF(ISNUMBER(SEARCH("-SEM",C221)),VALUE(LEFT(C221,4)&amp;IF(RIGHT(C221,1)="1","01","07")),VALUE(SUBSTITUTE(C221,"-",""))))</f>
        <v/>
      </c>
      <c r="E221" s="320" t="n"/>
      <c r="F221" s="320" t="n"/>
      <c r="G221" s="320" t="n"/>
      <c r="H221" s="323" t="n"/>
    </row>
    <row r="222" ht="15" customHeight="1" s="131">
      <c r="A222" s="320" t="n"/>
      <c r="B222" s="323" t="n"/>
      <c r="C222" s="320" t="n"/>
      <c r="D222" s="278">
        <f>IF(C222="","",IF(ISNUMBER(SEARCH("-SEM",C222)),VALUE(LEFT(C222,4)&amp;IF(RIGHT(C222,1)="1","01","07")),VALUE(SUBSTITUTE(C222,"-",""))))</f>
        <v/>
      </c>
      <c r="E222" s="320" t="n"/>
      <c r="F222" s="320" t="n"/>
      <c r="G222" s="320" t="n"/>
      <c r="H222" s="323" t="n"/>
    </row>
    <row r="223" ht="15" customHeight="1" s="131">
      <c r="A223" s="320" t="n"/>
      <c r="B223" s="323" t="n"/>
      <c r="C223" s="320" t="n"/>
      <c r="D223" s="278">
        <f>IF(C223="","",IF(ISNUMBER(SEARCH("-SEM",C223)),VALUE(LEFT(C223,4)&amp;IF(RIGHT(C223,1)="1","01","07")),VALUE(SUBSTITUTE(C223,"-",""))))</f>
        <v/>
      </c>
      <c r="E223" s="320" t="n"/>
      <c r="F223" s="320" t="n"/>
      <c r="G223" s="320" t="n"/>
      <c r="H223" s="323" t="n"/>
    </row>
    <row r="224" ht="15" customHeight="1" s="131">
      <c r="A224" s="320" t="n"/>
      <c r="B224" s="323" t="n"/>
      <c r="C224" s="320" t="n"/>
      <c r="D224" s="278">
        <f>IF(C224="","",IF(ISNUMBER(SEARCH("-SEM",C224)),VALUE(LEFT(C224,4)&amp;IF(RIGHT(C224,1)="1","01","07")),VALUE(SUBSTITUTE(C224,"-",""))))</f>
        <v/>
      </c>
      <c r="E224" s="320" t="n"/>
      <c r="F224" s="320" t="n"/>
      <c r="G224" s="320" t="n"/>
      <c r="H224" s="323" t="n"/>
    </row>
    <row r="225" ht="15" customHeight="1" s="131">
      <c r="A225" s="320" t="n"/>
      <c r="B225" s="323" t="n"/>
      <c r="C225" s="320" t="n"/>
      <c r="D225" s="278">
        <f>IF(C225="","",IF(ISNUMBER(SEARCH("-SEM",C225)),VALUE(LEFT(C225,4)&amp;IF(RIGHT(C225,1)="1","01","07")),VALUE(SUBSTITUTE(C225,"-",""))))</f>
        <v/>
      </c>
      <c r="E225" s="320" t="n"/>
      <c r="F225" s="320" t="n"/>
      <c r="G225" s="320" t="n"/>
      <c r="H225" s="323" t="n"/>
    </row>
    <row r="226" ht="15" customHeight="1" s="131">
      <c r="A226" s="320" t="n"/>
      <c r="B226" s="323" t="n"/>
      <c r="C226" s="320" t="n"/>
      <c r="D226" s="278">
        <f>IF(C226="","",IF(ISNUMBER(SEARCH("-SEM",C226)),VALUE(LEFT(C226,4)&amp;IF(RIGHT(C226,1)="1","01","07")),VALUE(SUBSTITUTE(C226,"-",""))))</f>
        <v/>
      </c>
      <c r="E226" s="320" t="n"/>
      <c r="F226" s="320" t="n"/>
      <c r="G226" s="320" t="n"/>
      <c r="H226" s="323" t="n"/>
    </row>
    <row r="227" ht="15" customHeight="1" s="131">
      <c r="A227" s="320" t="n"/>
      <c r="B227" s="323" t="n"/>
      <c r="C227" s="320" t="n"/>
      <c r="D227" s="278">
        <f>IF(C227="","",IF(ISNUMBER(SEARCH("-SEM",C227)),VALUE(LEFT(C227,4)&amp;IF(RIGHT(C227,1)="1","01","07")),VALUE(SUBSTITUTE(C227,"-",""))))</f>
        <v/>
      </c>
      <c r="E227" s="320" t="n"/>
      <c r="F227" s="320" t="n"/>
      <c r="G227" s="320" t="n"/>
      <c r="H227" s="323" t="n"/>
    </row>
    <row r="228" ht="15" customHeight="1" s="131">
      <c r="A228" s="320" t="n"/>
      <c r="B228" s="323" t="n"/>
      <c r="C228" s="320" t="n"/>
      <c r="D228" s="278">
        <f>IF(C228="","",IF(ISNUMBER(SEARCH("-SEM",C228)),VALUE(LEFT(C228,4)&amp;IF(RIGHT(C228,1)="1","01","07")),VALUE(SUBSTITUTE(C228,"-",""))))</f>
        <v/>
      </c>
      <c r="E228" s="320" t="n"/>
      <c r="F228" s="320" t="n"/>
      <c r="G228" s="320" t="n"/>
      <c r="H228" s="323" t="n"/>
    </row>
    <row r="229" ht="15" customHeight="1" s="131">
      <c r="A229" s="320" t="n"/>
      <c r="B229" s="323" t="n"/>
      <c r="C229" s="320" t="n"/>
      <c r="D229" s="278">
        <f>IF(C229="","",IF(ISNUMBER(SEARCH("-SEM",C229)),VALUE(LEFT(C229,4)&amp;IF(RIGHT(C229,1)="1","01","07")),VALUE(SUBSTITUTE(C229,"-",""))))</f>
        <v/>
      </c>
      <c r="E229" s="320" t="n"/>
      <c r="F229" s="320" t="n"/>
      <c r="G229" s="320" t="n"/>
      <c r="H229" s="323" t="n"/>
    </row>
    <row r="230" ht="15" customHeight="1" s="131">
      <c r="A230" s="320" t="n"/>
      <c r="B230" s="323" t="n"/>
      <c r="C230" s="320" t="n"/>
      <c r="D230" s="278">
        <f>IF(C230="","",IF(ISNUMBER(SEARCH("-SEM",C230)),VALUE(LEFT(C230,4)&amp;IF(RIGHT(C230,1)="1","01","07")),VALUE(SUBSTITUTE(C230,"-",""))))</f>
        <v/>
      </c>
      <c r="E230" s="320" t="n"/>
      <c r="F230" s="320" t="n"/>
      <c r="G230" s="320" t="n"/>
      <c r="H230" s="323" t="n"/>
    </row>
    <row r="231" ht="15" customHeight="1" s="131">
      <c r="A231" s="320" t="n"/>
      <c r="B231" s="323" t="n"/>
      <c r="C231" s="320" t="n"/>
      <c r="D231" s="278">
        <f>IF(C231="","",IF(ISNUMBER(SEARCH("-SEM",C231)),VALUE(LEFT(C231,4)&amp;IF(RIGHT(C231,1)="1","01","07")),VALUE(SUBSTITUTE(C231,"-",""))))</f>
        <v/>
      </c>
      <c r="E231" s="320" t="n"/>
      <c r="F231" s="320" t="n"/>
      <c r="G231" s="320" t="n"/>
      <c r="H231" s="323" t="n"/>
    </row>
    <row r="232" ht="15" customHeight="1" s="131">
      <c r="A232" s="320" t="n"/>
      <c r="B232" s="323" t="n"/>
      <c r="C232" s="320" t="n"/>
      <c r="D232" s="278">
        <f>IF(C232="","",IF(ISNUMBER(SEARCH("-SEM",C232)),VALUE(LEFT(C232,4)&amp;IF(RIGHT(C232,1)="1","01","07")),VALUE(SUBSTITUTE(C232,"-",""))))</f>
        <v/>
      </c>
      <c r="E232" s="320" t="n"/>
      <c r="F232" s="320" t="n"/>
      <c r="G232" s="320" t="n"/>
      <c r="H232" s="323" t="n"/>
    </row>
    <row r="233" ht="15" customHeight="1" s="131">
      <c r="A233" s="320" t="n"/>
      <c r="B233" s="323" t="n"/>
      <c r="C233" s="320" t="n"/>
      <c r="D233" s="278">
        <f>IF(C233="","",IF(ISNUMBER(SEARCH("-SEM",C233)),VALUE(LEFT(C233,4)&amp;IF(RIGHT(C233,1)="1","01","07")),VALUE(SUBSTITUTE(C233,"-",""))))</f>
        <v/>
      </c>
      <c r="E233" s="320" t="n"/>
      <c r="F233" s="320" t="n"/>
      <c r="G233" s="320" t="n"/>
      <c r="H233" s="323" t="n"/>
    </row>
    <row r="234" ht="15" customHeight="1" s="131">
      <c r="A234" s="320" t="n"/>
      <c r="B234" s="323" t="n"/>
      <c r="C234" s="320" t="n"/>
      <c r="D234" s="278">
        <f>IF(C234="","",IF(ISNUMBER(SEARCH("-SEM",C234)),VALUE(LEFT(C234,4)&amp;IF(RIGHT(C234,1)="1","01","07")),VALUE(SUBSTITUTE(C234,"-",""))))</f>
        <v/>
      </c>
      <c r="E234" s="320" t="n"/>
      <c r="F234" s="320" t="n"/>
      <c r="G234" s="320" t="n"/>
      <c r="H234" s="323" t="n"/>
    </row>
    <row r="235" ht="15" customHeight="1" s="131">
      <c r="A235" s="320" t="n"/>
      <c r="B235" s="323" t="n"/>
      <c r="C235" s="320" t="n"/>
      <c r="D235" s="278">
        <f>IF(C235="","",IF(ISNUMBER(SEARCH("-SEM",C235)),VALUE(LEFT(C235,4)&amp;IF(RIGHT(C235,1)="1","01","07")),VALUE(SUBSTITUTE(C235,"-",""))))</f>
        <v/>
      </c>
      <c r="E235" s="320" t="n"/>
      <c r="F235" s="320" t="n"/>
      <c r="G235" s="320" t="n"/>
      <c r="H235" s="323" t="n"/>
    </row>
    <row r="236" ht="15" customHeight="1" s="131">
      <c r="A236" s="320" t="n"/>
      <c r="B236" s="323" t="n"/>
      <c r="C236" s="320" t="n"/>
      <c r="D236" s="278">
        <f>IF(C236="","",IF(ISNUMBER(SEARCH("-SEM",C236)),VALUE(LEFT(C236,4)&amp;IF(RIGHT(C236,1)="1","01","07")),VALUE(SUBSTITUTE(C236,"-",""))))</f>
        <v/>
      </c>
      <c r="E236" s="320" t="n"/>
      <c r="F236" s="320" t="n"/>
      <c r="G236" s="320" t="n"/>
      <c r="H236" s="323" t="n"/>
    </row>
    <row r="237" ht="15" customHeight="1" s="131">
      <c r="A237" s="320" t="n"/>
      <c r="B237" s="323" t="n"/>
      <c r="C237" s="320" t="n"/>
      <c r="D237" s="278">
        <f>IF(C237="","",IF(ISNUMBER(SEARCH("-SEM",C237)),VALUE(LEFT(C237,4)&amp;IF(RIGHT(C237,1)="1","01","07")),VALUE(SUBSTITUTE(C237,"-",""))))</f>
        <v/>
      </c>
      <c r="E237" s="320" t="n"/>
      <c r="F237" s="320" t="n"/>
      <c r="G237" s="320" t="n"/>
      <c r="H237" s="323" t="n"/>
    </row>
    <row r="238" ht="15" customHeight="1" s="131">
      <c r="A238" s="320" t="n"/>
      <c r="B238" s="323" t="n"/>
      <c r="C238" s="320" t="n"/>
      <c r="D238" s="278">
        <f>IF(C238="","",IF(ISNUMBER(SEARCH("-SEM",C238)),VALUE(LEFT(C238,4)&amp;IF(RIGHT(C238,1)="1","01","07")),VALUE(SUBSTITUTE(C238,"-",""))))</f>
        <v/>
      </c>
      <c r="E238" s="320" t="n"/>
      <c r="F238" s="320" t="n"/>
      <c r="G238" s="320" t="n"/>
      <c r="H238" s="323" t="n"/>
    </row>
    <row r="239" ht="15" customHeight="1" s="131">
      <c r="A239" s="320" t="n"/>
      <c r="B239" s="323" t="n"/>
      <c r="C239" s="320" t="n"/>
      <c r="D239" s="278">
        <f>IF(C239="","",IF(ISNUMBER(SEARCH("-SEM",C239)),VALUE(LEFT(C239,4)&amp;IF(RIGHT(C239,1)="1","01","07")),VALUE(SUBSTITUTE(C239,"-",""))))</f>
        <v/>
      </c>
      <c r="E239" s="320" t="n"/>
      <c r="F239" s="320" t="n"/>
      <c r="G239" s="320" t="n"/>
      <c r="H239" s="323" t="n"/>
    </row>
    <row r="240" ht="15" customHeight="1" s="131">
      <c r="A240" s="320" t="n"/>
      <c r="B240" s="323" t="n"/>
      <c r="C240" s="320" t="n"/>
      <c r="D240" s="278">
        <f>IF(C240="","",IF(ISNUMBER(SEARCH("-SEM",C240)),VALUE(LEFT(C240,4)&amp;IF(RIGHT(C240,1)="1","01","07")),VALUE(SUBSTITUTE(C240,"-",""))))</f>
        <v/>
      </c>
      <c r="E240" s="320" t="n"/>
      <c r="F240" s="320" t="n"/>
      <c r="G240" s="320" t="n"/>
      <c r="H240" s="323" t="n"/>
    </row>
    <row r="241" ht="15" customHeight="1" s="131">
      <c r="A241" s="320" t="n"/>
      <c r="B241" s="323" t="n"/>
      <c r="C241" s="320" t="n"/>
      <c r="D241" s="278">
        <f>IF(C241="","",IF(ISNUMBER(SEARCH("-SEM",C241)),VALUE(LEFT(C241,4)&amp;IF(RIGHT(C241,1)="1","01","07")),VALUE(SUBSTITUTE(C241,"-",""))))</f>
        <v/>
      </c>
      <c r="E241" s="320" t="n"/>
      <c r="F241" s="320" t="n"/>
      <c r="G241" s="320" t="n"/>
      <c r="H241" s="323" t="n"/>
    </row>
    <row r="242" ht="15" customHeight="1" s="131">
      <c r="A242" s="320" t="n"/>
      <c r="B242" s="323" t="n"/>
      <c r="C242" s="320" t="n"/>
      <c r="D242" s="278">
        <f>IF(C242="","",IF(ISNUMBER(SEARCH("-SEM",C242)),VALUE(LEFT(C242,4)&amp;IF(RIGHT(C242,1)="1","01","07")),VALUE(SUBSTITUTE(C242,"-",""))))</f>
        <v/>
      </c>
      <c r="E242" s="320" t="n"/>
      <c r="F242" s="320" t="n"/>
      <c r="G242" s="320" t="n"/>
      <c r="H242" s="323" t="n"/>
    </row>
    <row r="243" ht="15" customHeight="1" s="131">
      <c r="A243" s="320" t="n"/>
      <c r="B243" s="323" t="n"/>
      <c r="C243" s="320" t="n"/>
      <c r="D243" s="278">
        <f>IF(C243="","",IF(ISNUMBER(SEARCH("-SEM",C243)),VALUE(LEFT(C243,4)&amp;IF(RIGHT(C243,1)="1","01","07")),VALUE(SUBSTITUTE(C243,"-",""))))</f>
        <v/>
      </c>
      <c r="E243" s="320" t="n"/>
      <c r="F243" s="320" t="n"/>
      <c r="G243" s="320" t="n"/>
      <c r="H243" s="323" t="n"/>
    </row>
    <row r="244" ht="15" customHeight="1" s="131">
      <c r="A244" s="320" t="n"/>
      <c r="B244" s="323" t="n"/>
      <c r="C244" s="320" t="n"/>
      <c r="D244" s="278">
        <f>IF(C244="","",IF(ISNUMBER(SEARCH("-SEM",C244)),VALUE(LEFT(C244,4)&amp;IF(RIGHT(C244,1)="1","01","07")),VALUE(SUBSTITUTE(C244,"-",""))))</f>
        <v/>
      </c>
      <c r="E244" s="320" t="n"/>
      <c r="F244" s="320" t="n"/>
      <c r="G244" s="320" t="n"/>
      <c r="H244" s="323" t="n"/>
    </row>
    <row r="245" ht="15" customHeight="1" s="131">
      <c r="A245" s="320" t="n"/>
      <c r="B245" s="323" t="n"/>
      <c r="C245" s="320" t="n"/>
      <c r="D245" s="278">
        <f>IF(C245="","",IF(ISNUMBER(SEARCH("-SEM",C245)),VALUE(LEFT(C245,4)&amp;IF(RIGHT(C245,1)="1","01","07")),VALUE(SUBSTITUTE(C245,"-",""))))</f>
        <v/>
      </c>
      <c r="E245" s="320" t="n"/>
      <c r="F245" s="320" t="n"/>
      <c r="G245" s="320" t="n"/>
      <c r="H245" s="323" t="n"/>
    </row>
    <row r="246" ht="15" customHeight="1" s="131">
      <c r="A246" s="320" t="n"/>
      <c r="B246" s="323" t="n"/>
      <c r="C246" s="320" t="n"/>
      <c r="D246" s="278">
        <f>IF(C246="","",IF(ISNUMBER(SEARCH("-SEM",C246)),VALUE(LEFT(C246,4)&amp;IF(RIGHT(C246,1)="1","01","07")),VALUE(SUBSTITUTE(C246,"-",""))))</f>
        <v/>
      </c>
      <c r="E246" s="320" t="n"/>
      <c r="F246" s="320" t="n"/>
      <c r="G246" s="320" t="n"/>
      <c r="H246" s="323" t="n"/>
    </row>
    <row r="247" ht="15" customHeight="1" s="131">
      <c r="A247" s="320" t="n"/>
      <c r="B247" s="323" t="n"/>
      <c r="C247" s="320" t="n"/>
      <c r="D247" s="278">
        <f>IF(C247="","",IF(ISNUMBER(SEARCH("-SEM",C247)),VALUE(LEFT(C247,4)&amp;IF(RIGHT(C247,1)="1","01","07")),VALUE(SUBSTITUTE(C247,"-",""))))</f>
        <v/>
      </c>
      <c r="E247" s="320" t="n"/>
      <c r="F247" s="320" t="n"/>
      <c r="G247" s="320" t="n"/>
      <c r="H247" s="323" t="n"/>
    </row>
    <row r="248" ht="15" customHeight="1" s="131">
      <c r="A248" s="320" t="n"/>
      <c r="B248" s="323" t="n"/>
      <c r="C248" s="320" t="n"/>
      <c r="D248" s="278">
        <f>IF(C248="","",IF(ISNUMBER(SEARCH("-SEM",C248)),VALUE(LEFT(C248,4)&amp;IF(RIGHT(C248,1)="1","01","07")),VALUE(SUBSTITUTE(C248,"-",""))))</f>
        <v/>
      </c>
      <c r="E248" s="320" t="n"/>
      <c r="F248" s="320" t="n"/>
      <c r="G248" s="320" t="n"/>
      <c r="H248" s="323" t="n"/>
    </row>
    <row r="249" ht="15" customHeight="1" s="131">
      <c r="A249" s="320" t="n"/>
      <c r="B249" s="323" t="n"/>
      <c r="C249" s="320" t="n"/>
      <c r="D249" s="278">
        <f>IF(C249="","",IF(ISNUMBER(SEARCH("-SEM",C249)),VALUE(LEFT(C249,4)&amp;IF(RIGHT(C249,1)="1","01","07")),VALUE(SUBSTITUTE(C249,"-",""))))</f>
        <v/>
      </c>
      <c r="E249" s="320" t="n"/>
      <c r="F249" s="320" t="n"/>
      <c r="G249" s="320" t="n"/>
      <c r="H249" s="323" t="n"/>
    </row>
    <row r="250" ht="15" customHeight="1" s="131">
      <c r="A250" s="320" t="n"/>
      <c r="B250" s="323" t="n"/>
      <c r="C250" s="320" t="n"/>
      <c r="D250" s="278">
        <f>IF(C250="","",IF(ISNUMBER(SEARCH("-SEM",C250)),VALUE(LEFT(C250,4)&amp;IF(RIGHT(C250,1)="1","01","07")),VALUE(SUBSTITUTE(C250,"-",""))))</f>
        <v/>
      </c>
      <c r="E250" s="320" t="n"/>
      <c r="F250" s="320" t="n"/>
      <c r="G250" s="320" t="n"/>
      <c r="H250" s="323" t="n"/>
    </row>
    <row r="251" ht="15" customHeight="1" s="131">
      <c r="A251" s="320" t="n"/>
      <c r="B251" s="323" t="n"/>
      <c r="C251" s="320" t="n"/>
      <c r="D251" s="278">
        <f>IF(C251="","",IF(ISNUMBER(SEARCH("-SEM",C251)),VALUE(LEFT(C251,4)&amp;IF(RIGHT(C251,1)="1","01","07")),VALUE(SUBSTITUTE(C251,"-",""))))</f>
        <v/>
      </c>
      <c r="E251" s="320" t="n"/>
      <c r="F251" s="320" t="n"/>
      <c r="G251" s="320" t="n"/>
      <c r="H251" s="323" t="n"/>
    </row>
    <row r="252" ht="15" customHeight="1" s="131">
      <c r="A252" s="320" t="n"/>
      <c r="B252" s="323" t="n"/>
      <c r="C252" s="320" t="n"/>
      <c r="D252" s="278">
        <f>IF(C252="","",IF(ISNUMBER(SEARCH("-SEM",C252)),VALUE(LEFT(C252,4)&amp;IF(RIGHT(C252,1)="1","01","07")),VALUE(SUBSTITUTE(C252,"-",""))))</f>
        <v/>
      </c>
      <c r="E252" s="320" t="n"/>
      <c r="F252" s="320" t="n"/>
      <c r="G252" s="320" t="n"/>
      <c r="H252" s="323" t="n"/>
    </row>
    <row r="253" ht="15" customHeight="1" s="131">
      <c r="A253" s="320" t="n"/>
      <c r="B253" s="323" t="n"/>
      <c r="C253" s="320" t="n"/>
      <c r="D253" s="278">
        <f>IF(C253="","",IF(ISNUMBER(SEARCH("-SEM",C253)),VALUE(LEFT(C253,4)&amp;IF(RIGHT(C253,1)="1","01","07")),VALUE(SUBSTITUTE(C253,"-",""))))</f>
        <v/>
      </c>
      <c r="E253" s="320" t="n"/>
      <c r="F253" s="320" t="n"/>
      <c r="G253" s="320" t="n"/>
      <c r="H253" s="323" t="n"/>
    </row>
    <row r="254" ht="15" customHeight="1" s="131">
      <c r="A254" s="320" t="n"/>
      <c r="B254" s="323" t="n"/>
      <c r="C254" s="320" t="n"/>
      <c r="D254" s="278">
        <f>IF(C254="","",IF(ISNUMBER(SEARCH("-SEM",C254)),VALUE(LEFT(C254,4)&amp;IF(RIGHT(C254,1)="1","01","07")),VALUE(SUBSTITUTE(C254,"-",""))))</f>
        <v/>
      </c>
      <c r="E254" s="320" t="n"/>
      <c r="F254" s="320" t="n"/>
      <c r="G254" s="320" t="n"/>
      <c r="H254" s="323" t="n"/>
    </row>
    <row r="255" ht="15" customHeight="1" s="131">
      <c r="A255" s="320" t="n"/>
      <c r="B255" s="323" t="n"/>
      <c r="C255" s="320" t="n"/>
      <c r="D255" s="278">
        <f>IF(C255="","",IF(ISNUMBER(SEARCH("-SEM",C255)),VALUE(LEFT(C255,4)&amp;IF(RIGHT(C255,1)="1","01","07")),VALUE(SUBSTITUTE(C255,"-",""))))</f>
        <v/>
      </c>
      <c r="E255" s="320" t="n"/>
      <c r="F255" s="320" t="n"/>
      <c r="G255" s="320" t="n"/>
      <c r="H255" s="323" t="n"/>
    </row>
    <row r="256" ht="15" customHeight="1" s="131">
      <c r="A256" s="320" t="n"/>
      <c r="B256" s="323" t="n"/>
      <c r="C256" s="320" t="n"/>
      <c r="D256" s="278">
        <f>IF(C256="","",IF(ISNUMBER(SEARCH("-SEM",C256)),VALUE(LEFT(C256,4)&amp;IF(RIGHT(C256,1)="1","01","07")),VALUE(SUBSTITUTE(C256,"-",""))))</f>
        <v/>
      </c>
      <c r="E256" s="320" t="n"/>
      <c r="F256" s="320" t="n"/>
      <c r="G256" s="320" t="n"/>
      <c r="H256" s="323" t="n"/>
    </row>
    <row r="257" ht="15" customHeight="1" s="131">
      <c r="A257" s="320" t="n"/>
      <c r="B257" s="323" t="n"/>
      <c r="C257" s="320" t="n"/>
      <c r="D257" s="278">
        <f>IF(C257="","",IF(ISNUMBER(SEARCH("-SEM",C257)),VALUE(LEFT(C257,4)&amp;IF(RIGHT(C257,1)="1","01","07")),VALUE(SUBSTITUTE(C257,"-",""))))</f>
        <v/>
      </c>
      <c r="E257" s="320" t="n"/>
      <c r="F257" s="320" t="n"/>
      <c r="G257" s="320" t="n"/>
      <c r="H257" s="323" t="n"/>
    </row>
    <row r="258" ht="15" customHeight="1" s="131">
      <c r="A258" s="320" t="n"/>
      <c r="B258" s="323" t="n"/>
      <c r="C258" s="320" t="n"/>
      <c r="D258" s="278">
        <f>IF(C258="","",IF(ISNUMBER(SEARCH("-SEM",C258)),VALUE(LEFT(C258,4)&amp;IF(RIGHT(C258,1)="1","01","07")),VALUE(SUBSTITUTE(C258,"-",""))))</f>
        <v/>
      </c>
      <c r="E258" s="320" t="n"/>
      <c r="F258" s="320" t="n"/>
      <c r="G258" s="320" t="n"/>
      <c r="H258" s="323" t="n"/>
    </row>
    <row r="259" ht="15" customHeight="1" s="131">
      <c r="A259" s="320" t="n"/>
      <c r="B259" s="323" t="n"/>
      <c r="C259" s="320" t="n"/>
      <c r="D259" s="278">
        <f>IF(C259="","",IF(ISNUMBER(SEARCH("-SEM",C259)),VALUE(LEFT(C259,4)&amp;IF(RIGHT(C259,1)="1","01","07")),VALUE(SUBSTITUTE(C259,"-",""))))</f>
        <v/>
      </c>
      <c r="E259" s="320" t="n"/>
      <c r="F259" s="320" t="n"/>
      <c r="G259" s="320" t="n"/>
      <c r="H259" s="323" t="n"/>
    </row>
    <row r="260" ht="15" customHeight="1" s="131">
      <c r="A260" s="320" t="n"/>
      <c r="B260" s="323" t="n"/>
      <c r="C260" s="320" t="n"/>
      <c r="D260" s="278">
        <f>IF(C260="","",IF(ISNUMBER(SEARCH("-SEM",C260)),VALUE(LEFT(C260,4)&amp;IF(RIGHT(C260,1)="1","01","07")),VALUE(SUBSTITUTE(C260,"-",""))))</f>
        <v/>
      </c>
      <c r="E260" s="320" t="n"/>
      <c r="F260" s="320" t="n"/>
      <c r="G260" s="320" t="n"/>
      <c r="H260" s="323" t="n"/>
    </row>
    <row r="261" ht="15" customHeight="1" s="131">
      <c r="A261" s="320" t="n"/>
      <c r="B261" s="323" t="n"/>
      <c r="C261" s="320" t="n"/>
      <c r="D261" s="278">
        <f>IF(C261="","",IF(ISNUMBER(SEARCH("-SEM",C261)),VALUE(LEFT(C261,4)&amp;IF(RIGHT(C261,1)="1","01","07")),VALUE(SUBSTITUTE(C261,"-",""))))</f>
        <v/>
      </c>
      <c r="E261" s="320" t="n"/>
      <c r="F261" s="320" t="n"/>
      <c r="G261" s="320" t="n"/>
      <c r="H261" s="323" t="n"/>
    </row>
    <row r="262" ht="15" customHeight="1" s="131">
      <c r="A262" s="320" t="n"/>
      <c r="B262" s="323" t="n"/>
      <c r="C262" s="320" t="n"/>
      <c r="D262" s="278">
        <f>IF(C262="","",IF(ISNUMBER(SEARCH("-SEM",C262)),VALUE(LEFT(C262,4)&amp;IF(RIGHT(C262,1)="1","01","07")),VALUE(SUBSTITUTE(C262,"-",""))))</f>
        <v/>
      </c>
      <c r="E262" s="320" t="n"/>
      <c r="F262" s="320" t="n"/>
      <c r="G262" s="320" t="n"/>
      <c r="H262" s="323" t="n"/>
    </row>
    <row r="263" ht="15" customHeight="1" s="131">
      <c r="A263" s="320" t="n"/>
      <c r="B263" s="323" t="n"/>
      <c r="C263" s="320" t="n"/>
      <c r="D263" s="278">
        <f>IF(C263="","",IF(ISNUMBER(SEARCH("-SEM",C263)),VALUE(LEFT(C263,4)&amp;IF(RIGHT(C263,1)="1","01","07")),VALUE(SUBSTITUTE(C263,"-",""))))</f>
        <v/>
      </c>
      <c r="E263" s="320" t="n"/>
      <c r="F263" s="320" t="n"/>
      <c r="G263" s="320" t="n"/>
      <c r="H263" s="323" t="n"/>
    </row>
    <row r="264" ht="15" customHeight="1" s="131">
      <c r="A264" s="320" t="n"/>
      <c r="B264" s="323" t="n"/>
      <c r="C264" s="320" t="n"/>
      <c r="D264" s="278">
        <f>IF(C264="","",IF(ISNUMBER(SEARCH("-SEM",C264)),VALUE(LEFT(C264,4)&amp;IF(RIGHT(C264,1)="1","01","07")),VALUE(SUBSTITUTE(C264,"-",""))))</f>
        <v/>
      </c>
      <c r="E264" s="320" t="n"/>
      <c r="F264" s="320" t="n"/>
      <c r="G264" s="320" t="n"/>
      <c r="H264" s="323" t="n"/>
    </row>
    <row r="265" ht="15" customHeight="1" s="131">
      <c r="A265" s="320" t="n"/>
      <c r="B265" s="323" t="n"/>
      <c r="C265" s="320" t="n"/>
      <c r="D265" s="278">
        <f>IF(C265="","",IF(ISNUMBER(SEARCH("-SEM",C265)),VALUE(LEFT(C265,4)&amp;IF(RIGHT(C265,1)="1","01","07")),VALUE(SUBSTITUTE(C265,"-",""))))</f>
        <v/>
      </c>
      <c r="E265" s="320" t="n"/>
      <c r="F265" s="320" t="n"/>
      <c r="G265" s="320" t="n"/>
      <c r="H265" s="323" t="n"/>
    </row>
    <row r="266" ht="15" customHeight="1" s="131">
      <c r="A266" s="320" t="n"/>
      <c r="B266" s="323" t="n"/>
      <c r="C266" s="320" t="n"/>
      <c r="D266" s="278">
        <f>IF(C266="","",IF(ISNUMBER(SEARCH("-SEM",C266)),VALUE(LEFT(C266,4)&amp;IF(RIGHT(C266,1)="1","01","07")),VALUE(SUBSTITUTE(C266,"-",""))))</f>
        <v/>
      </c>
      <c r="E266" s="320" t="n"/>
      <c r="F266" s="320" t="n"/>
      <c r="G266" s="320" t="n"/>
      <c r="H266" s="323" t="n"/>
    </row>
    <row r="267" ht="15" customHeight="1" s="131">
      <c r="A267" s="320" t="n"/>
      <c r="B267" s="323" t="n"/>
      <c r="C267" s="320" t="n"/>
      <c r="D267" s="278">
        <f>IF(C267="","",IF(ISNUMBER(SEARCH("-SEM",C267)),VALUE(LEFT(C267,4)&amp;IF(RIGHT(C267,1)="1","01","07")),VALUE(SUBSTITUTE(C267,"-",""))))</f>
        <v/>
      </c>
      <c r="E267" s="320" t="n"/>
      <c r="F267" s="320" t="n"/>
      <c r="G267" s="320" t="n"/>
      <c r="H267" s="323" t="n"/>
    </row>
    <row r="268" ht="15" customHeight="1" s="131">
      <c r="A268" s="320" t="n"/>
      <c r="B268" s="323" t="n"/>
      <c r="C268" s="320" t="n"/>
      <c r="D268" s="278">
        <f>IF(C268="","",IF(ISNUMBER(SEARCH("-SEM",C268)),VALUE(LEFT(C268,4)&amp;IF(RIGHT(C268,1)="1","01","07")),VALUE(SUBSTITUTE(C268,"-",""))))</f>
        <v/>
      </c>
      <c r="E268" s="320" t="n"/>
      <c r="F268" s="320" t="n"/>
      <c r="G268" s="320" t="n"/>
      <c r="H268" s="323" t="n"/>
    </row>
    <row r="269" ht="15" customHeight="1" s="131">
      <c r="A269" s="320" t="n"/>
      <c r="B269" s="323" t="n"/>
      <c r="C269" s="320" t="n"/>
      <c r="D269" s="278">
        <f>IF(C269="","",IF(ISNUMBER(SEARCH("-SEM",C269)),VALUE(LEFT(C269,4)&amp;IF(RIGHT(C269,1)="1","01","07")),VALUE(SUBSTITUTE(C269,"-",""))))</f>
        <v/>
      </c>
      <c r="E269" s="320" t="n"/>
      <c r="F269" s="320" t="n"/>
      <c r="G269" s="320" t="n"/>
      <c r="H269" s="323" t="n"/>
    </row>
    <row r="270" ht="15" customHeight="1" s="131">
      <c r="A270" s="320" t="n"/>
      <c r="B270" s="323" t="n"/>
      <c r="C270" s="320" t="n"/>
      <c r="D270" s="278">
        <f>IF(C270="","",IF(ISNUMBER(SEARCH("-SEM",C270)),VALUE(LEFT(C270,4)&amp;IF(RIGHT(C270,1)="1","01","07")),VALUE(SUBSTITUTE(C270,"-",""))))</f>
        <v/>
      </c>
      <c r="E270" s="320" t="n"/>
      <c r="F270" s="320" t="n"/>
      <c r="G270" s="320" t="n"/>
      <c r="H270" s="323" t="n"/>
    </row>
    <row r="271" ht="15" customHeight="1" s="131">
      <c r="A271" s="320" t="n"/>
      <c r="B271" s="323" t="n"/>
      <c r="C271" s="320" t="n"/>
      <c r="D271" s="278">
        <f>IF(C271="","",IF(ISNUMBER(SEARCH("-SEM",C271)),VALUE(LEFT(C271,4)&amp;IF(RIGHT(C271,1)="1","01","07")),VALUE(SUBSTITUTE(C271,"-",""))))</f>
        <v/>
      </c>
      <c r="E271" s="320" t="n"/>
      <c r="F271" s="320" t="n"/>
      <c r="G271" s="320" t="n"/>
      <c r="H271" s="323" t="n"/>
    </row>
    <row r="272" ht="15" customHeight="1" s="131">
      <c r="A272" s="320" t="n"/>
      <c r="B272" s="323" t="n"/>
      <c r="C272" s="320" t="n"/>
      <c r="D272" s="278">
        <f>IF(C272="","",IF(ISNUMBER(SEARCH("-SEM",C272)),VALUE(LEFT(C272,4)&amp;IF(RIGHT(C272,1)="1","01","07")),VALUE(SUBSTITUTE(C272,"-",""))))</f>
        <v/>
      </c>
      <c r="E272" s="320" t="n"/>
      <c r="F272" s="320" t="n"/>
      <c r="G272" s="320" t="n"/>
      <c r="H272" s="323" t="n"/>
    </row>
    <row r="273" ht="15" customHeight="1" s="131">
      <c r="A273" s="320" t="n"/>
      <c r="B273" s="323" t="n"/>
      <c r="C273" s="320" t="n"/>
      <c r="D273" s="278">
        <f>IF(C273="","",IF(ISNUMBER(SEARCH("-SEM",C273)),VALUE(LEFT(C273,4)&amp;IF(RIGHT(C273,1)="1","01","07")),VALUE(SUBSTITUTE(C273,"-",""))))</f>
        <v/>
      </c>
      <c r="E273" s="320" t="n"/>
      <c r="F273" s="320" t="n"/>
      <c r="G273" s="320" t="n"/>
      <c r="H273" s="323" t="n"/>
    </row>
    <row r="274" ht="15" customHeight="1" s="131">
      <c r="A274" s="320" t="n"/>
      <c r="B274" s="323" t="n"/>
      <c r="C274" s="320" t="n"/>
      <c r="D274" s="278">
        <f>IF(C274="","",IF(ISNUMBER(SEARCH("-SEM",C274)),VALUE(LEFT(C274,4)&amp;IF(RIGHT(C274,1)="1","01","07")),VALUE(SUBSTITUTE(C274,"-",""))))</f>
        <v/>
      </c>
      <c r="E274" s="320" t="n"/>
      <c r="F274" s="320" t="n"/>
      <c r="G274" s="320" t="n"/>
      <c r="H274" s="323" t="n"/>
    </row>
    <row r="275" ht="15" customHeight="1" s="131">
      <c r="A275" s="320" t="n"/>
      <c r="B275" s="323" t="n"/>
      <c r="C275" s="320" t="n"/>
      <c r="D275" s="278">
        <f>IF(C275="","",IF(ISNUMBER(SEARCH("-SEM",C275)),VALUE(LEFT(C275,4)&amp;IF(RIGHT(C275,1)="1","01","07")),VALUE(SUBSTITUTE(C275,"-",""))))</f>
        <v/>
      </c>
      <c r="E275" s="320" t="n"/>
      <c r="F275" s="320" t="n"/>
      <c r="G275" s="320" t="n"/>
      <c r="H275" s="323" t="n"/>
    </row>
    <row r="276" ht="15" customHeight="1" s="131">
      <c r="A276" s="320" t="n"/>
      <c r="B276" s="323" t="n"/>
      <c r="C276" s="320" t="n"/>
      <c r="D276" s="278">
        <f>IF(C276="","",IF(ISNUMBER(SEARCH("-SEM",C276)),VALUE(LEFT(C276,4)&amp;IF(RIGHT(C276,1)="1","01","07")),VALUE(SUBSTITUTE(C276,"-",""))))</f>
        <v/>
      </c>
      <c r="E276" s="320" t="n"/>
      <c r="F276" s="320" t="n"/>
      <c r="G276" s="320" t="n"/>
      <c r="H276" s="323" t="n"/>
    </row>
    <row r="277" ht="15" customHeight="1" s="131">
      <c r="A277" s="320" t="n"/>
      <c r="B277" s="323" t="n"/>
      <c r="C277" s="320" t="n"/>
      <c r="D277" s="278">
        <f>IF(C277="","",IF(ISNUMBER(SEARCH("-SEM",C277)),VALUE(LEFT(C277,4)&amp;IF(RIGHT(C277,1)="1","01","07")),VALUE(SUBSTITUTE(C277,"-",""))))</f>
        <v/>
      </c>
      <c r="E277" s="320" t="n"/>
      <c r="F277" s="320" t="n"/>
      <c r="G277" s="320" t="n"/>
      <c r="H277" s="323" t="n"/>
    </row>
    <row r="278" ht="15" customHeight="1" s="131">
      <c r="A278" s="320" t="n"/>
      <c r="B278" s="323" t="n"/>
      <c r="C278" s="320" t="n"/>
      <c r="D278" s="278">
        <f>IF(C278="","",IF(ISNUMBER(SEARCH("-SEM",C278)),VALUE(LEFT(C278,4)&amp;IF(RIGHT(C278,1)="1","01","07")),VALUE(SUBSTITUTE(C278,"-",""))))</f>
        <v/>
      </c>
      <c r="E278" s="320" t="n"/>
      <c r="F278" s="320" t="n"/>
      <c r="G278" s="320" t="n"/>
      <c r="H278" s="323" t="n"/>
    </row>
    <row r="279" ht="15" customHeight="1" s="131">
      <c r="A279" s="320" t="n"/>
      <c r="B279" s="323" t="n"/>
      <c r="C279" s="320" t="n"/>
      <c r="D279" s="278">
        <f>IF(C279="","",IF(ISNUMBER(SEARCH("-SEM",C279)),VALUE(LEFT(C279,4)&amp;IF(RIGHT(C279,1)="1","01","07")),VALUE(SUBSTITUTE(C279,"-",""))))</f>
        <v/>
      </c>
      <c r="E279" s="320" t="n"/>
      <c r="F279" s="320" t="n"/>
      <c r="G279" s="320" t="n"/>
      <c r="H279" s="323" t="n"/>
    </row>
    <row r="280" ht="15" customHeight="1" s="131">
      <c r="A280" s="320" t="n"/>
      <c r="B280" s="323" t="n"/>
      <c r="C280" s="320" t="n"/>
      <c r="D280" s="278">
        <f>IF(C280="","",IF(ISNUMBER(SEARCH("-SEM",C280)),VALUE(LEFT(C280,4)&amp;IF(RIGHT(C280,1)="1","01","07")),VALUE(SUBSTITUTE(C280,"-",""))))</f>
        <v/>
      </c>
      <c r="E280" s="320" t="n"/>
      <c r="F280" s="320" t="n"/>
      <c r="G280" s="320" t="n"/>
      <c r="H280" s="323" t="n"/>
    </row>
    <row r="281" ht="15" customHeight="1" s="131">
      <c r="A281" s="320" t="n"/>
      <c r="B281" s="323" t="n"/>
      <c r="C281" s="320" t="n"/>
      <c r="D281" s="278">
        <f>IF(C281="","",IF(ISNUMBER(SEARCH("-SEM",C281)),VALUE(LEFT(C281,4)&amp;IF(RIGHT(C281,1)="1","01","07")),VALUE(SUBSTITUTE(C281,"-",""))))</f>
        <v/>
      </c>
      <c r="E281" s="320" t="n"/>
      <c r="F281" s="320" t="n"/>
      <c r="G281" s="320" t="n"/>
      <c r="H281" s="323" t="n"/>
    </row>
    <row r="282" ht="15" customHeight="1" s="131">
      <c r="A282" s="320" t="n"/>
      <c r="B282" s="323" t="n"/>
      <c r="C282" s="320" t="n"/>
      <c r="D282" s="278">
        <f>IF(C282="","",IF(ISNUMBER(SEARCH("-SEM",C282)),VALUE(LEFT(C282,4)&amp;IF(RIGHT(C282,1)="1","01","07")),VALUE(SUBSTITUTE(C282,"-",""))))</f>
        <v/>
      </c>
      <c r="E282" s="320" t="n"/>
      <c r="F282" s="320" t="n"/>
      <c r="G282" s="320" t="n"/>
      <c r="H282" s="323" t="n"/>
    </row>
    <row r="283" ht="15" customHeight="1" s="131">
      <c r="A283" s="320" t="n"/>
      <c r="B283" s="323" t="n"/>
      <c r="C283" s="320" t="n"/>
      <c r="D283" s="278">
        <f>IF(C283="","",IF(ISNUMBER(SEARCH("-SEM",C283)),VALUE(LEFT(C283,4)&amp;IF(RIGHT(C283,1)="1","01","07")),VALUE(SUBSTITUTE(C283,"-",""))))</f>
        <v/>
      </c>
      <c r="E283" s="320" t="n"/>
      <c r="F283" s="320" t="n"/>
      <c r="G283" s="320" t="n"/>
      <c r="H283" s="323" t="n"/>
    </row>
    <row r="284" ht="15" customHeight="1" s="131">
      <c r="A284" s="320" t="n"/>
      <c r="B284" s="323" t="n"/>
      <c r="C284" s="320" t="n"/>
      <c r="D284" s="278">
        <f>IF(C284="","",IF(ISNUMBER(SEARCH("-SEM",C284)),VALUE(LEFT(C284,4)&amp;IF(RIGHT(C284,1)="1","01","07")),VALUE(SUBSTITUTE(C284,"-",""))))</f>
        <v/>
      </c>
      <c r="E284" s="320" t="n"/>
      <c r="F284" s="320" t="n"/>
      <c r="G284" s="320" t="n"/>
      <c r="H284" s="323" t="n"/>
    </row>
    <row r="285" ht="15" customHeight="1" s="131">
      <c r="A285" s="320" t="n"/>
      <c r="B285" s="323" t="n"/>
      <c r="C285" s="320" t="n"/>
      <c r="D285" s="278">
        <f>IF(C285="","",IF(ISNUMBER(SEARCH("-SEM",C285)),VALUE(LEFT(C285,4)&amp;IF(RIGHT(C285,1)="1","01","07")),VALUE(SUBSTITUTE(C285,"-",""))))</f>
        <v/>
      </c>
      <c r="E285" s="320" t="n"/>
      <c r="F285" s="320" t="n"/>
      <c r="G285" s="320" t="n"/>
      <c r="H285" s="323" t="n"/>
    </row>
    <row r="286" ht="15" customHeight="1" s="131">
      <c r="A286" s="320" t="n"/>
      <c r="B286" s="323" t="n"/>
      <c r="C286" s="320" t="n"/>
      <c r="D286" s="278">
        <f>IF(C286="","",IF(ISNUMBER(SEARCH("-SEM",C286)),VALUE(LEFT(C286,4)&amp;IF(RIGHT(C286,1)="1","01","07")),VALUE(SUBSTITUTE(C286,"-",""))))</f>
        <v/>
      </c>
      <c r="E286" s="320" t="n"/>
      <c r="F286" s="320" t="n"/>
      <c r="G286" s="320" t="n"/>
      <c r="H286" s="323" t="n"/>
    </row>
    <row r="287" ht="15" customHeight="1" s="131">
      <c r="A287" s="320" t="n"/>
      <c r="B287" s="323" t="n"/>
      <c r="C287" s="320" t="n"/>
      <c r="D287" s="278">
        <f>IF(C287="","",IF(ISNUMBER(SEARCH("-SEM",C287)),VALUE(LEFT(C287,4)&amp;IF(RIGHT(C287,1)="1","01","07")),VALUE(SUBSTITUTE(C287,"-",""))))</f>
        <v/>
      </c>
      <c r="E287" s="320" t="n"/>
      <c r="F287" s="320" t="n"/>
      <c r="G287" s="320" t="n"/>
      <c r="H287" s="323" t="n"/>
    </row>
    <row r="288" ht="15" customHeight="1" s="131">
      <c r="A288" s="320" t="n"/>
      <c r="B288" s="323" t="n"/>
      <c r="C288" s="320" t="n"/>
      <c r="D288" s="278">
        <f>IF(C288="","",IF(ISNUMBER(SEARCH("-SEM",C288)),VALUE(LEFT(C288,4)&amp;IF(RIGHT(C288,1)="1","01","07")),VALUE(SUBSTITUTE(C288,"-",""))))</f>
        <v/>
      </c>
      <c r="E288" s="320" t="n"/>
      <c r="F288" s="320" t="n"/>
      <c r="G288" s="320" t="n"/>
      <c r="H288" s="323" t="n"/>
    </row>
    <row r="289" ht="15" customHeight="1" s="131">
      <c r="A289" s="320" t="n"/>
      <c r="B289" s="323" t="n"/>
      <c r="C289" s="320" t="n"/>
      <c r="D289" s="278">
        <f>IF(C289="","",IF(ISNUMBER(SEARCH("-SEM",C289)),VALUE(LEFT(C289,4)&amp;IF(RIGHT(C289,1)="1","01","07")),VALUE(SUBSTITUTE(C289,"-",""))))</f>
        <v/>
      </c>
      <c r="E289" s="320" t="n"/>
      <c r="F289" s="320" t="n"/>
      <c r="G289" s="320" t="n"/>
      <c r="H289" s="323" t="n"/>
    </row>
    <row r="290" ht="15" customHeight="1" s="131">
      <c r="A290" s="320" t="n"/>
      <c r="B290" s="323" t="n"/>
      <c r="C290" s="320" t="n"/>
      <c r="D290" s="278">
        <f>IF(C290="","",IF(ISNUMBER(SEARCH("-SEM",C290)),VALUE(LEFT(C290,4)&amp;IF(RIGHT(C290,1)="1","01","07")),VALUE(SUBSTITUTE(C290,"-",""))))</f>
        <v/>
      </c>
      <c r="E290" s="320" t="n"/>
      <c r="F290" s="320" t="n"/>
      <c r="G290" s="320" t="n"/>
      <c r="H290" s="323" t="n"/>
    </row>
    <row r="291" ht="15" customHeight="1" s="131">
      <c r="A291" s="320" t="n"/>
      <c r="B291" s="323" t="n"/>
      <c r="C291" s="320" t="n"/>
      <c r="D291" s="278">
        <f>IF(C291="","",IF(ISNUMBER(SEARCH("-SEM",C291)),VALUE(LEFT(C291,4)&amp;IF(RIGHT(C291,1)="1","01","07")),VALUE(SUBSTITUTE(C291,"-",""))))</f>
        <v/>
      </c>
      <c r="E291" s="320" t="n"/>
      <c r="F291" s="320" t="n"/>
      <c r="G291" s="320" t="n"/>
      <c r="H291" s="323" t="n"/>
    </row>
    <row r="292" ht="15" customHeight="1" s="131">
      <c r="A292" s="320" t="n"/>
      <c r="B292" s="323" t="n"/>
      <c r="C292" s="320" t="n"/>
      <c r="D292" s="278">
        <f>IF(C292="","",IF(ISNUMBER(SEARCH("-SEM",C292)),VALUE(LEFT(C292,4)&amp;IF(RIGHT(C292,1)="1","01","07")),VALUE(SUBSTITUTE(C292,"-",""))))</f>
        <v/>
      </c>
      <c r="E292" s="320" t="n"/>
      <c r="F292" s="320" t="n"/>
      <c r="G292" s="320" t="n"/>
      <c r="H292" s="323" t="n"/>
    </row>
    <row r="293" ht="15" customHeight="1" s="131">
      <c r="A293" s="320" t="n"/>
      <c r="B293" s="323" t="n"/>
      <c r="C293" s="320" t="n"/>
      <c r="D293" s="278">
        <f>IF(C293="","",IF(ISNUMBER(SEARCH("-SEM",C293)),VALUE(LEFT(C293,4)&amp;IF(RIGHT(C293,1)="1","01","07")),VALUE(SUBSTITUTE(C293,"-",""))))</f>
        <v/>
      </c>
      <c r="E293" s="320" t="n"/>
      <c r="F293" s="320" t="n"/>
      <c r="G293" s="320" t="n"/>
      <c r="H293" s="323" t="n"/>
    </row>
    <row r="294" ht="15" customHeight="1" s="131">
      <c r="A294" s="320" t="n"/>
      <c r="B294" s="323" t="n"/>
      <c r="C294" s="320" t="n"/>
      <c r="D294" s="278">
        <f>IF(C294="","",IF(ISNUMBER(SEARCH("-SEM",C294)),VALUE(LEFT(C294,4)&amp;IF(RIGHT(C294,1)="1","01","07")),VALUE(SUBSTITUTE(C294,"-",""))))</f>
        <v/>
      </c>
      <c r="E294" s="320" t="n"/>
      <c r="F294" s="320" t="n"/>
      <c r="G294" s="320" t="n"/>
      <c r="H294" s="323" t="n"/>
    </row>
    <row r="295" ht="15" customHeight="1" s="131">
      <c r="A295" s="320" t="n"/>
      <c r="B295" s="323" t="n"/>
      <c r="C295" s="320" t="n"/>
      <c r="D295" s="278">
        <f>IF(C295="","",IF(ISNUMBER(SEARCH("-SEM",C295)),VALUE(LEFT(C295,4)&amp;IF(RIGHT(C295,1)="1","01","07")),VALUE(SUBSTITUTE(C295,"-",""))))</f>
        <v/>
      </c>
      <c r="E295" s="320" t="n"/>
      <c r="F295" s="320" t="n"/>
      <c r="G295" s="320" t="n"/>
      <c r="H295" s="323" t="n"/>
    </row>
    <row r="296" ht="15" customHeight="1" s="131">
      <c r="A296" s="320" t="n"/>
      <c r="B296" s="323" t="n"/>
      <c r="C296" s="320" t="n"/>
      <c r="D296" s="278">
        <f>IF(C296="","",IF(ISNUMBER(SEARCH("-SEM",C296)),VALUE(LEFT(C296,4)&amp;IF(RIGHT(C296,1)="1","01","07")),VALUE(SUBSTITUTE(C296,"-",""))))</f>
        <v/>
      </c>
      <c r="E296" s="320" t="n"/>
      <c r="F296" s="320" t="n"/>
      <c r="G296" s="320" t="n"/>
      <c r="H296" s="323" t="n"/>
    </row>
    <row r="297" ht="15" customHeight="1" s="131">
      <c r="A297" s="320" t="n"/>
      <c r="B297" s="323" t="n"/>
      <c r="C297" s="320" t="n"/>
      <c r="D297" s="278">
        <f>IF(C297="","",IF(ISNUMBER(SEARCH("-SEM",C297)),VALUE(LEFT(C297,4)&amp;IF(RIGHT(C297,1)="1","01","07")),VALUE(SUBSTITUTE(C297,"-",""))))</f>
        <v/>
      </c>
      <c r="E297" s="320" t="n"/>
      <c r="F297" s="320" t="n"/>
      <c r="G297" s="320" t="n"/>
      <c r="H297" s="323" t="n"/>
    </row>
    <row r="298" ht="15" customHeight="1" s="131">
      <c r="A298" s="320" t="n"/>
      <c r="B298" s="323" t="n"/>
      <c r="C298" s="320" t="n"/>
      <c r="D298" s="278">
        <f>IF(C298="","",IF(ISNUMBER(SEARCH("-SEM",C298)),VALUE(LEFT(C298,4)&amp;IF(RIGHT(C298,1)="1","01","07")),VALUE(SUBSTITUTE(C298,"-",""))))</f>
        <v/>
      </c>
      <c r="E298" s="320" t="n"/>
      <c r="F298" s="320" t="n"/>
      <c r="G298" s="320" t="n"/>
      <c r="H298" s="323" t="n"/>
    </row>
    <row r="299" ht="15" customHeight="1" s="131">
      <c r="A299" s="320" t="n"/>
      <c r="B299" s="323" t="n"/>
      <c r="C299" s="320" t="n"/>
      <c r="D299" s="278">
        <f>IF(C299="","",IF(ISNUMBER(SEARCH("-SEM",C299)),VALUE(LEFT(C299,4)&amp;IF(RIGHT(C299,1)="1","01","07")),VALUE(SUBSTITUTE(C299,"-",""))))</f>
        <v/>
      </c>
      <c r="E299" s="320" t="n"/>
      <c r="F299" s="320" t="n"/>
      <c r="G299" s="320" t="n"/>
      <c r="H299" s="323" t="n"/>
    </row>
    <row r="300" ht="15" customHeight="1" s="131">
      <c r="A300" s="320" t="n"/>
      <c r="B300" s="323" t="n"/>
      <c r="C300" s="320" t="n"/>
      <c r="D300" s="278">
        <f>IF(C300="","",IF(ISNUMBER(SEARCH("-SEM",C300)),VALUE(LEFT(C300,4)&amp;IF(RIGHT(C300,1)="1","01","07")),VALUE(SUBSTITUTE(C300,"-",""))))</f>
        <v/>
      </c>
      <c r="E300" s="320" t="n"/>
      <c r="F300" s="320" t="n"/>
      <c r="G300" s="320" t="n"/>
      <c r="H300" s="323" t="n"/>
    </row>
    <row r="301" ht="15" customHeight="1" s="131">
      <c r="A301" s="320" t="n"/>
      <c r="B301" s="323" t="n"/>
      <c r="C301" s="320" t="n"/>
      <c r="D301" s="278">
        <f>IF(C301="","",IF(ISNUMBER(SEARCH("-SEM",C301)),VALUE(LEFT(C301,4)&amp;IF(RIGHT(C301,1)="1","01","07")),VALUE(SUBSTITUTE(C301,"-",""))))</f>
        <v/>
      </c>
      <c r="E301" s="320" t="n"/>
      <c r="F301" s="320" t="n"/>
      <c r="G301" s="320" t="n"/>
      <c r="H301" s="323" t="n"/>
    </row>
    <row r="302" ht="15" customHeight="1" s="131">
      <c r="A302" s="320" t="n"/>
      <c r="B302" s="323" t="n"/>
      <c r="C302" s="320" t="n"/>
      <c r="D302" s="278">
        <f>IF(C302="","",IF(ISNUMBER(SEARCH("-SEM",C302)),VALUE(LEFT(C302,4)&amp;IF(RIGHT(C302,1)="1","01","07")),VALUE(SUBSTITUTE(C302,"-",""))))</f>
        <v/>
      </c>
      <c r="E302" s="320" t="n"/>
      <c r="F302" s="320" t="n"/>
      <c r="G302" s="320" t="n"/>
      <c r="H302" s="323" t="n"/>
    </row>
    <row r="303" ht="15" customHeight="1" s="131">
      <c r="A303" s="320" t="n"/>
      <c r="B303" s="323" t="n"/>
      <c r="C303" s="320" t="n"/>
      <c r="D303" s="278">
        <f>IF(C303="","",IF(ISNUMBER(SEARCH("-SEM",C303)),VALUE(LEFT(C303,4)&amp;IF(RIGHT(C303,1)="1","01","07")),VALUE(SUBSTITUTE(C303,"-",""))))</f>
        <v/>
      </c>
      <c r="E303" s="320" t="n"/>
      <c r="F303" s="320" t="n"/>
      <c r="G303" s="320" t="n"/>
      <c r="H303" s="323" t="n"/>
    </row>
    <row r="304" ht="15" customHeight="1" s="131">
      <c r="A304" s="320" t="n"/>
      <c r="B304" s="323" t="n"/>
      <c r="C304" s="320" t="n"/>
      <c r="D304" s="278">
        <f>IF(C304="","",IF(ISNUMBER(SEARCH("-SEM",C304)),VALUE(LEFT(C304,4)&amp;IF(RIGHT(C304,1)="1","01","07")),VALUE(SUBSTITUTE(C304,"-",""))))</f>
        <v/>
      </c>
      <c r="E304" s="320" t="n"/>
      <c r="F304" s="320" t="n"/>
      <c r="G304" s="320" t="n"/>
      <c r="H304" s="323" t="n"/>
    </row>
    <row r="305" ht="15" customHeight="1" s="131">
      <c r="A305" s="320" t="n"/>
      <c r="B305" s="323" t="n"/>
      <c r="C305" s="320" t="n"/>
      <c r="D305" s="278">
        <f>IF(C305="","",IF(ISNUMBER(SEARCH("-SEM",C305)),VALUE(LEFT(C305,4)&amp;IF(RIGHT(C305,1)="1","01","07")),VALUE(SUBSTITUTE(C305,"-",""))))</f>
        <v/>
      </c>
      <c r="E305" s="320" t="n"/>
      <c r="F305" s="320" t="n"/>
      <c r="G305" s="320" t="n"/>
      <c r="H305" s="323" t="n"/>
    </row>
    <row r="306" ht="15" customHeight="1" s="131">
      <c r="A306" s="320" t="n"/>
      <c r="B306" s="323" t="n"/>
      <c r="C306" s="320" t="n"/>
      <c r="D306" s="278">
        <f>IF(C306="","",IF(ISNUMBER(SEARCH("-SEM",C306)),VALUE(LEFT(C306,4)&amp;IF(RIGHT(C306,1)="1","01","07")),VALUE(SUBSTITUTE(C306,"-",""))))</f>
        <v/>
      </c>
      <c r="E306" s="320" t="n"/>
      <c r="F306" s="320" t="n"/>
      <c r="G306" s="320" t="n"/>
      <c r="H306" s="323" t="n"/>
    </row>
    <row r="307" ht="15" customHeight="1" s="131">
      <c r="A307" s="320" t="n"/>
      <c r="B307" s="323" t="n"/>
      <c r="C307" s="320" t="n"/>
      <c r="D307" s="278">
        <f>IF(C307="","",IF(ISNUMBER(SEARCH("-SEM",C307)),VALUE(LEFT(C307,4)&amp;IF(RIGHT(C307,1)="1","01","07")),VALUE(SUBSTITUTE(C307,"-",""))))</f>
        <v/>
      </c>
      <c r="E307" s="320" t="n"/>
      <c r="F307" s="320" t="n"/>
      <c r="G307" s="320" t="n"/>
      <c r="H307" s="323" t="n"/>
    </row>
    <row r="308" ht="15" customHeight="1" s="131">
      <c r="A308" s="320" t="n"/>
      <c r="B308" s="323" t="n"/>
      <c r="C308" s="320" t="n"/>
      <c r="D308" s="278">
        <f>IF(C308="","",IF(ISNUMBER(SEARCH("-SEM",C308)),VALUE(LEFT(C308,4)&amp;IF(RIGHT(C308,1)="1","01","07")),VALUE(SUBSTITUTE(C308,"-",""))))</f>
        <v/>
      </c>
      <c r="E308" s="320" t="n"/>
      <c r="F308" s="320" t="n"/>
      <c r="G308" s="320" t="n"/>
      <c r="H308" s="323" t="n"/>
    </row>
    <row r="309" ht="15" customHeight="1" s="131">
      <c r="A309" s="320" t="n"/>
      <c r="B309" s="323" t="n"/>
      <c r="C309" s="320" t="n"/>
      <c r="D309" s="278">
        <f>IF(C309="","",IF(ISNUMBER(SEARCH("-SEM",C309)),VALUE(LEFT(C309,4)&amp;IF(RIGHT(C309,1)="1","01","07")),VALUE(SUBSTITUTE(C309,"-",""))))</f>
        <v/>
      </c>
      <c r="E309" s="320" t="n"/>
      <c r="F309" s="320" t="n"/>
      <c r="G309" s="320" t="n"/>
      <c r="H309" s="323" t="n"/>
    </row>
    <row r="310" ht="15" customHeight="1" s="131">
      <c r="A310" s="320" t="n"/>
      <c r="B310" s="323" t="n"/>
      <c r="C310" s="320" t="n"/>
      <c r="D310" s="278">
        <f>IF(C310="","",IF(ISNUMBER(SEARCH("-SEM",C310)),VALUE(LEFT(C310,4)&amp;IF(RIGHT(C310,1)="1","01","07")),VALUE(SUBSTITUTE(C310,"-",""))))</f>
        <v/>
      </c>
      <c r="E310" s="320" t="n"/>
      <c r="F310" s="320" t="n"/>
      <c r="G310" s="320" t="n"/>
      <c r="H310" s="323" t="n"/>
    </row>
    <row r="311" ht="15" customHeight="1" s="131">
      <c r="A311" s="320" t="n"/>
      <c r="B311" s="323" t="n"/>
      <c r="C311" s="320" t="n"/>
      <c r="D311" s="278">
        <f>IF(C311="","",IF(ISNUMBER(SEARCH("-SEM",C311)),VALUE(LEFT(C311,4)&amp;IF(RIGHT(C311,1)="1","01","07")),VALUE(SUBSTITUTE(C311,"-",""))))</f>
        <v/>
      </c>
      <c r="E311" s="320" t="n"/>
      <c r="F311" s="320" t="n"/>
      <c r="G311" s="320" t="n"/>
      <c r="H311" s="323" t="n"/>
    </row>
    <row r="312" ht="15" customHeight="1" s="131">
      <c r="A312" s="320" t="n"/>
      <c r="B312" s="323" t="n"/>
      <c r="C312" s="320" t="n"/>
      <c r="D312" s="278">
        <f>IF(C312="","",IF(ISNUMBER(SEARCH("-SEM",C312)),VALUE(LEFT(C312,4)&amp;IF(RIGHT(C312,1)="1","01","07")),VALUE(SUBSTITUTE(C312,"-",""))))</f>
        <v/>
      </c>
      <c r="E312" s="320" t="n"/>
      <c r="F312" s="320" t="n"/>
      <c r="G312" s="320" t="n"/>
      <c r="H312" s="323" t="n"/>
    </row>
    <row r="313" ht="15" customHeight="1" s="131">
      <c r="A313" s="320" t="n"/>
      <c r="B313" s="323" t="n"/>
      <c r="C313" s="320" t="n"/>
      <c r="D313" s="278">
        <f>IF(C313="","",IF(ISNUMBER(SEARCH("-SEM",C313)),VALUE(LEFT(C313,4)&amp;IF(RIGHT(C313,1)="1","01","07")),VALUE(SUBSTITUTE(C313,"-",""))))</f>
        <v/>
      </c>
      <c r="E313" s="320" t="n"/>
      <c r="F313" s="320" t="n"/>
      <c r="G313" s="320" t="n"/>
      <c r="H313" s="323" t="n"/>
    </row>
    <row r="314" ht="15" customHeight="1" s="131">
      <c r="A314" s="320" t="n"/>
      <c r="B314" s="323" t="n"/>
      <c r="C314" s="320" t="n"/>
      <c r="D314" s="278">
        <f>IF(C314="","",IF(ISNUMBER(SEARCH("-SEM",C314)),VALUE(LEFT(C314,4)&amp;IF(RIGHT(C314,1)="1","01","07")),VALUE(SUBSTITUTE(C314,"-",""))))</f>
        <v/>
      </c>
      <c r="E314" s="320" t="n"/>
      <c r="F314" s="320" t="n"/>
      <c r="G314" s="320" t="n"/>
      <c r="H314" s="323" t="n"/>
    </row>
    <row r="315" ht="15" customHeight="1" s="131">
      <c r="A315" s="320" t="n"/>
      <c r="B315" s="323" t="n"/>
      <c r="C315" s="320" t="n"/>
      <c r="D315" s="278">
        <f>IF(C315="","",IF(ISNUMBER(SEARCH("-SEM",C315)),VALUE(LEFT(C315,4)&amp;IF(RIGHT(C315,1)="1","01","07")),VALUE(SUBSTITUTE(C315,"-",""))))</f>
        <v/>
      </c>
      <c r="E315" s="320" t="n"/>
      <c r="F315" s="320" t="n"/>
      <c r="G315" s="320" t="n"/>
      <c r="H315" s="323" t="n"/>
    </row>
    <row r="316" ht="15" customHeight="1" s="131">
      <c r="A316" s="320" t="n"/>
      <c r="B316" s="323" t="n"/>
      <c r="C316" s="320" t="n"/>
      <c r="D316" s="278">
        <f>IF(C316="","",IF(ISNUMBER(SEARCH("-SEM",C316)),VALUE(LEFT(C316,4)&amp;IF(RIGHT(C316,1)="1","01","07")),VALUE(SUBSTITUTE(C316,"-",""))))</f>
        <v/>
      </c>
      <c r="E316" s="320" t="n"/>
      <c r="F316" s="320" t="n"/>
      <c r="G316" s="320" t="n"/>
      <c r="H316" s="323" t="n"/>
    </row>
    <row r="317" ht="15" customHeight="1" s="131">
      <c r="A317" s="320" t="n"/>
      <c r="B317" s="323" t="n"/>
      <c r="C317" s="320" t="n"/>
      <c r="D317" s="278">
        <f>IF(C317="","",IF(ISNUMBER(SEARCH("-SEM",C317)),VALUE(LEFT(C317,4)&amp;IF(RIGHT(C317,1)="1","01","07")),VALUE(SUBSTITUTE(C317,"-",""))))</f>
        <v/>
      </c>
      <c r="E317" s="320" t="n"/>
      <c r="F317" s="320" t="n"/>
      <c r="G317" s="320" t="n"/>
      <c r="H317" s="323" t="n"/>
    </row>
    <row r="318" ht="15" customHeight="1" s="131">
      <c r="A318" s="320" t="n"/>
      <c r="B318" s="323" t="n"/>
      <c r="C318" s="320" t="n"/>
      <c r="D318" s="278">
        <f>IF(C318="","",IF(ISNUMBER(SEARCH("-SEM",C318)),VALUE(LEFT(C318,4)&amp;IF(RIGHT(C318,1)="1","01","07")),VALUE(SUBSTITUTE(C318,"-",""))))</f>
        <v/>
      </c>
      <c r="E318" s="320" t="n"/>
      <c r="F318" s="320" t="n"/>
      <c r="G318" s="320" t="n"/>
      <c r="H318" s="323" t="n"/>
    </row>
    <row r="319" ht="15" customHeight="1" s="131">
      <c r="A319" s="320" t="n"/>
      <c r="B319" s="323" t="n"/>
      <c r="C319" s="320" t="n"/>
      <c r="D319" s="278">
        <f>IF(C319="","",IF(ISNUMBER(SEARCH("-SEM",C319)),VALUE(LEFT(C319,4)&amp;IF(RIGHT(C319,1)="1","01","07")),VALUE(SUBSTITUTE(C319,"-",""))))</f>
        <v/>
      </c>
      <c r="E319" s="320" t="n"/>
      <c r="F319" s="320" t="n"/>
      <c r="G319" s="320" t="n"/>
      <c r="H319" s="323" t="n"/>
    </row>
    <row r="320" ht="15" customHeight="1" s="131">
      <c r="A320" s="320" t="n"/>
      <c r="B320" s="323" t="n"/>
      <c r="C320" s="320" t="n"/>
      <c r="D320" s="278">
        <f>IF(C320="","",IF(ISNUMBER(SEARCH("-SEM",C320)),VALUE(LEFT(C320,4)&amp;IF(RIGHT(C320,1)="1","01","07")),VALUE(SUBSTITUTE(C320,"-",""))))</f>
        <v/>
      </c>
      <c r="E320" s="320" t="n"/>
      <c r="F320" s="320" t="n"/>
      <c r="G320" s="320" t="n"/>
      <c r="H320" s="323" t="n"/>
    </row>
    <row r="321" ht="15" customHeight="1" s="131">
      <c r="A321" s="320" t="n"/>
      <c r="B321" s="323" t="n"/>
      <c r="C321" s="320" t="n"/>
      <c r="D321" s="278">
        <f>IF(C321="","",IF(ISNUMBER(SEARCH("-SEM",C321)),VALUE(LEFT(C321,4)&amp;IF(RIGHT(C321,1)="1","01","07")),VALUE(SUBSTITUTE(C321,"-",""))))</f>
        <v/>
      </c>
      <c r="E321" s="320" t="n"/>
      <c r="F321" s="320" t="n"/>
      <c r="G321" s="320" t="n"/>
      <c r="H321" s="323" t="n"/>
    </row>
    <row r="322" ht="15" customHeight="1" s="131">
      <c r="A322" s="320" t="n"/>
      <c r="B322" s="323" t="n"/>
      <c r="C322" s="320" t="n"/>
      <c r="D322" s="278">
        <f>IF(C322="","",IF(ISNUMBER(SEARCH("-SEM",C322)),VALUE(LEFT(C322,4)&amp;IF(RIGHT(C322,1)="1","01","07")),VALUE(SUBSTITUTE(C322,"-",""))))</f>
        <v/>
      </c>
      <c r="E322" s="320" t="n"/>
      <c r="F322" s="320" t="n"/>
      <c r="G322" s="320" t="n"/>
      <c r="H322" s="323" t="n"/>
    </row>
    <row r="323" ht="15" customHeight="1" s="131">
      <c r="A323" s="320" t="n"/>
      <c r="B323" s="323" t="n"/>
      <c r="C323" s="320" t="n"/>
      <c r="D323" s="278">
        <f>IF(C323="","",IF(ISNUMBER(SEARCH("-SEM",C323)),VALUE(LEFT(C323,4)&amp;IF(RIGHT(C323,1)="1","01","07")),VALUE(SUBSTITUTE(C323,"-",""))))</f>
        <v/>
      </c>
      <c r="E323" s="320" t="n"/>
      <c r="F323" s="320" t="n"/>
      <c r="G323" s="320" t="n"/>
      <c r="H323" s="323" t="n"/>
    </row>
    <row r="324" ht="15" customHeight="1" s="131">
      <c r="A324" s="320" t="n"/>
      <c r="B324" s="323" t="n"/>
      <c r="C324" s="320" t="n"/>
      <c r="D324" s="278">
        <f>IF(C324="","",IF(ISNUMBER(SEARCH("-SEM",C324)),VALUE(LEFT(C324,4)&amp;IF(RIGHT(C324,1)="1","01","07")),VALUE(SUBSTITUTE(C324,"-",""))))</f>
        <v/>
      </c>
      <c r="E324" s="320" t="n"/>
      <c r="F324" s="320" t="n"/>
      <c r="G324" s="320" t="n"/>
      <c r="H324" s="323" t="n"/>
    </row>
    <row r="325" ht="15" customHeight="1" s="131">
      <c r="A325" s="320" t="n"/>
      <c r="B325" s="323" t="n"/>
      <c r="C325" s="320" t="n"/>
      <c r="D325" s="278">
        <f>IF(C325="","",IF(ISNUMBER(SEARCH("-SEM",C325)),VALUE(LEFT(C325,4)&amp;IF(RIGHT(C325,1)="1","01","07")),VALUE(SUBSTITUTE(C325,"-",""))))</f>
        <v/>
      </c>
      <c r="E325" s="320" t="n"/>
      <c r="F325" s="320" t="n"/>
      <c r="G325" s="320" t="n"/>
      <c r="H325" s="323" t="n"/>
    </row>
    <row r="326" ht="15" customHeight="1" s="131">
      <c r="A326" s="320" t="n"/>
      <c r="B326" s="323" t="n"/>
      <c r="C326" s="320" t="n"/>
      <c r="D326" s="278">
        <f>IF(C326="","",IF(ISNUMBER(SEARCH("-SEM",C326)),VALUE(LEFT(C326,4)&amp;IF(RIGHT(C326,1)="1","01","07")),VALUE(SUBSTITUTE(C326,"-",""))))</f>
        <v/>
      </c>
      <c r="E326" s="320" t="n"/>
      <c r="F326" s="320" t="n"/>
      <c r="G326" s="320" t="n"/>
      <c r="H326" s="323" t="n"/>
    </row>
    <row r="327" ht="15" customHeight="1" s="131">
      <c r="A327" s="320" t="n"/>
      <c r="B327" s="323" t="n"/>
      <c r="C327" s="320" t="n"/>
      <c r="D327" s="278">
        <f>IF(C327="","",IF(ISNUMBER(SEARCH("-SEM",C327)),VALUE(LEFT(C327,4)&amp;IF(RIGHT(C327,1)="1","01","07")),VALUE(SUBSTITUTE(C327,"-",""))))</f>
        <v/>
      </c>
      <c r="E327" s="320" t="n"/>
      <c r="F327" s="320" t="n"/>
      <c r="G327" s="320" t="n"/>
      <c r="H327" s="323" t="n"/>
    </row>
    <row r="328" ht="15" customHeight="1" s="131">
      <c r="A328" s="320" t="n"/>
      <c r="B328" s="323" t="n"/>
      <c r="C328" s="320" t="n"/>
      <c r="D328" s="278">
        <f>IF(C328="","",IF(ISNUMBER(SEARCH("-SEM",C328)),VALUE(LEFT(C328,4)&amp;IF(RIGHT(C328,1)="1","01","07")),VALUE(SUBSTITUTE(C328,"-",""))))</f>
        <v/>
      </c>
      <c r="E328" s="320" t="n"/>
      <c r="F328" s="320" t="n"/>
      <c r="G328" s="320" t="n"/>
      <c r="H328" s="323" t="n"/>
    </row>
    <row r="329" ht="15" customHeight="1" s="131">
      <c r="A329" s="320" t="n"/>
      <c r="B329" s="323" t="n"/>
      <c r="C329" s="320" t="n"/>
      <c r="D329" s="278">
        <f>IF(C329="","",IF(ISNUMBER(SEARCH("-SEM",C329)),VALUE(LEFT(C329,4)&amp;IF(RIGHT(C329,1)="1","01","07")),VALUE(SUBSTITUTE(C329,"-",""))))</f>
        <v/>
      </c>
      <c r="E329" s="320" t="n"/>
      <c r="F329" s="320" t="n"/>
      <c r="G329" s="320" t="n"/>
      <c r="H329" s="323" t="n"/>
    </row>
    <row r="330" ht="15" customHeight="1" s="131">
      <c r="A330" s="320" t="n"/>
      <c r="B330" s="323" t="n"/>
      <c r="C330" s="320" t="n"/>
      <c r="D330" s="278">
        <f>IF(C330="","",IF(ISNUMBER(SEARCH("-SEM",C330)),VALUE(LEFT(C330,4)&amp;IF(RIGHT(C330,1)="1","01","07")),VALUE(SUBSTITUTE(C330,"-",""))))</f>
        <v/>
      </c>
      <c r="E330" s="320" t="n"/>
      <c r="F330" s="320" t="n"/>
      <c r="G330" s="320" t="n"/>
      <c r="H330" s="323" t="n"/>
    </row>
    <row r="331" ht="15" customHeight="1" s="131">
      <c r="A331" s="320" t="n"/>
      <c r="B331" s="323" t="n"/>
      <c r="C331" s="320" t="n"/>
      <c r="D331" s="278">
        <f>IF(C331="","",IF(ISNUMBER(SEARCH("-SEM",C331)),VALUE(LEFT(C331,4)&amp;IF(RIGHT(C331,1)="1","01","07")),VALUE(SUBSTITUTE(C331,"-",""))))</f>
        <v/>
      </c>
      <c r="E331" s="320" t="n"/>
      <c r="F331" s="320" t="n"/>
      <c r="G331" s="320" t="n"/>
      <c r="H331" s="323" t="n"/>
    </row>
    <row r="332" ht="15" customHeight="1" s="131">
      <c r="A332" s="320" t="n"/>
      <c r="B332" s="323" t="n"/>
      <c r="C332" s="320" t="n"/>
      <c r="D332" s="278">
        <f>IF(C332="","",IF(ISNUMBER(SEARCH("-SEM",C332)),VALUE(LEFT(C332,4)&amp;IF(RIGHT(C332,1)="1","01","07")),VALUE(SUBSTITUTE(C332,"-",""))))</f>
        <v/>
      </c>
      <c r="E332" s="320" t="n"/>
      <c r="F332" s="320" t="n"/>
      <c r="G332" s="320" t="n"/>
      <c r="H332" s="323" t="n"/>
    </row>
    <row r="333" ht="15" customHeight="1" s="131">
      <c r="A333" s="320" t="n"/>
      <c r="B333" s="323" t="n"/>
      <c r="C333" s="320" t="n"/>
      <c r="D333" s="278">
        <f>IF(C333="","",IF(ISNUMBER(SEARCH("-SEM",C333)),VALUE(LEFT(C333,4)&amp;IF(RIGHT(C333,1)="1","01","07")),VALUE(SUBSTITUTE(C333,"-",""))))</f>
        <v/>
      </c>
      <c r="E333" s="320" t="n"/>
      <c r="F333" s="320" t="n"/>
      <c r="G333" s="320" t="n"/>
      <c r="H333" s="323" t="n"/>
    </row>
    <row r="334" ht="15" customHeight="1" s="131">
      <c r="A334" s="320" t="n"/>
      <c r="B334" s="323" t="n"/>
      <c r="C334" s="320" t="n"/>
      <c r="D334" s="278">
        <f>IF(C334="","",IF(ISNUMBER(SEARCH("-SEM",C334)),VALUE(LEFT(C334,4)&amp;IF(RIGHT(C334,1)="1","01","07")),VALUE(SUBSTITUTE(C334,"-",""))))</f>
        <v/>
      </c>
      <c r="E334" s="320" t="n"/>
      <c r="F334" s="320" t="n"/>
      <c r="G334" s="320" t="n"/>
      <c r="H334" s="323" t="n"/>
    </row>
    <row r="335" ht="15" customHeight="1" s="131">
      <c r="A335" s="320" t="n"/>
      <c r="B335" s="323" t="n"/>
      <c r="C335" s="320" t="n"/>
      <c r="D335" s="278">
        <f>IF(C335="","",IF(ISNUMBER(SEARCH("-SEM",C335)),VALUE(LEFT(C335,4)&amp;IF(RIGHT(C335,1)="1","01","07")),VALUE(SUBSTITUTE(C335,"-",""))))</f>
        <v/>
      </c>
      <c r="E335" s="320" t="n"/>
      <c r="F335" s="320" t="n"/>
      <c r="G335" s="320" t="n"/>
      <c r="H335" s="323" t="n"/>
    </row>
    <row r="336" ht="15" customHeight="1" s="131">
      <c r="A336" s="320" t="n"/>
      <c r="B336" s="323" t="n"/>
      <c r="C336" s="320" t="n"/>
      <c r="D336" s="278">
        <f>IF(C336="","",IF(ISNUMBER(SEARCH("-SEM",C336)),VALUE(LEFT(C336,4)&amp;IF(RIGHT(C336,1)="1","01","07")),VALUE(SUBSTITUTE(C336,"-",""))))</f>
        <v/>
      </c>
      <c r="E336" s="320" t="n"/>
      <c r="F336" s="320" t="n"/>
      <c r="G336" s="320" t="n"/>
      <c r="H336" s="323" t="n"/>
    </row>
    <row r="337" ht="15" customHeight="1" s="131">
      <c r="A337" s="320" t="n"/>
      <c r="B337" s="323" t="n"/>
      <c r="C337" s="320" t="n"/>
      <c r="D337" s="278">
        <f>IF(C337="","",IF(ISNUMBER(SEARCH("-SEM",C337)),VALUE(LEFT(C337,4)&amp;IF(RIGHT(C337,1)="1","01","07")),VALUE(SUBSTITUTE(C337,"-",""))))</f>
        <v/>
      </c>
      <c r="E337" s="320" t="n"/>
      <c r="F337" s="320" t="n"/>
      <c r="G337" s="320" t="n"/>
      <c r="H337" s="323" t="n"/>
    </row>
    <row r="338" ht="15" customHeight="1" s="131">
      <c r="A338" s="320" t="n"/>
      <c r="B338" s="323" t="n"/>
      <c r="C338" s="320" t="n"/>
      <c r="D338" s="278">
        <f>IF(C338="","",IF(ISNUMBER(SEARCH("-SEM",C338)),VALUE(LEFT(C338,4)&amp;IF(RIGHT(C338,1)="1","01","07")),VALUE(SUBSTITUTE(C338,"-",""))))</f>
        <v/>
      </c>
      <c r="E338" s="320" t="n"/>
      <c r="F338" s="320" t="n"/>
      <c r="G338" s="320" t="n"/>
      <c r="H338" s="323" t="n"/>
    </row>
    <row r="339" ht="15" customHeight="1" s="131">
      <c r="A339" s="320" t="n"/>
      <c r="B339" s="323" t="n"/>
      <c r="C339" s="320" t="n"/>
      <c r="D339" s="278">
        <f>IF(C339="","",IF(ISNUMBER(SEARCH("-SEM",C339)),VALUE(LEFT(C339,4)&amp;IF(RIGHT(C339,1)="1","01","07")),VALUE(SUBSTITUTE(C339,"-",""))))</f>
        <v/>
      </c>
      <c r="E339" s="320" t="n"/>
      <c r="F339" s="320" t="n"/>
      <c r="G339" s="320" t="n"/>
      <c r="H339" s="323" t="n"/>
    </row>
    <row r="340" ht="15" customHeight="1" s="131">
      <c r="A340" s="320" t="n"/>
      <c r="B340" s="323" t="n"/>
      <c r="C340" s="320" t="n"/>
      <c r="D340" s="278">
        <f>IF(C340="","",IF(ISNUMBER(SEARCH("-SEM",C340)),VALUE(LEFT(C340,4)&amp;IF(RIGHT(C340,1)="1","01","07")),VALUE(SUBSTITUTE(C340,"-",""))))</f>
        <v/>
      </c>
      <c r="E340" s="320" t="n"/>
      <c r="F340" s="320" t="n"/>
      <c r="G340" s="320" t="n"/>
      <c r="H340" s="323" t="n"/>
    </row>
    <row r="341" ht="15" customHeight="1" s="131">
      <c r="A341" s="320" t="n"/>
      <c r="B341" s="323" t="n"/>
      <c r="C341" s="320" t="n"/>
      <c r="D341" s="278">
        <f>IF(C341="","",IF(ISNUMBER(SEARCH("-SEM",C341)),VALUE(LEFT(C341,4)&amp;IF(RIGHT(C341,1)="1","01","07")),VALUE(SUBSTITUTE(C341,"-",""))))</f>
        <v/>
      </c>
      <c r="E341" s="320" t="n"/>
      <c r="F341" s="320" t="n"/>
      <c r="G341" s="320" t="n"/>
      <c r="H341" s="323" t="n"/>
    </row>
    <row r="342" ht="15" customHeight="1" s="131">
      <c r="A342" s="320" t="n"/>
      <c r="B342" s="323" t="n"/>
      <c r="C342" s="320" t="n"/>
      <c r="D342" s="278">
        <f>IF(C342="","",IF(ISNUMBER(SEARCH("-SEM",C342)),VALUE(LEFT(C342,4)&amp;IF(RIGHT(C342,1)="1","01","07")),VALUE(SUBSTITUTE(C342,"-",""))))</f>
        <v/>
      </c>
      <c r="E342" s="320" t="n"/>
      <c r="F342" s="320" t="n"/>
      <c r="G342" s="320" t="n"/>
      <c r="H342" s="323" t="n"/>
    </row>
    <row r="343" ht="15" customHeight="1" s="131">
      <c r="A343" s="320" t="n"/>
      <c r="B343" s="323" t="n"/>
      <c r="C343" s="320" t="n"/>
      <c r="D343" s="278">
        <f>IF(C343="","",IF(ISNUMBER(SEARCH("-SEM",C343)),VALUE(LEFT(C343,4)&amp;IF(RIGHT(C343,1)="1","01","07")),VALUE(SUBSTITUTE(C343,"-",""))))</f>
        <v/>
      </c>
      <c r="E343" s="320" t="n"/>
      <c r="F343" s="320" t="n"/>
      <c r="G343" s="320" t="n"/>
      <c r="H343" s="323" t="n"/>
    </row>
    <row r="344" ht="15" customHeight="1" s="131">
      <c r="A344" s="320" t="n"/>
      <c r="B344" s="323" t="n"/>
      <c r="C344" s="320" t="n"/>
      <c r="D344" s="278">
        <f>IF(C344="","",IF(ISNUMBER(SEARCH("-SEM",C344)),VALUE(LEFT(C344,4)&amp;IF(RIGHT(C344,1)="1","01","07")),VALUE(SUBSTITUTE(C344,"-",""))))</f>
        <v/>
      </c>
      <c r="E344" s="320" t="n"/>
      <c r="F344" s="320" t="n"/>
      <c r="G344" s="320" t="n"/>
      <c r="H344" s="323" t="n"/>
    </row>
    <row r="345" ht="15" customHeight="1" s="131">
      <c r="A345" s="320" t="n"/>
      <c r="B345" s="323" t="n"/>
      <c r="C345" s="320" t="n"/>
      <c r="D345" s="278">
        <f>IF(C345="","",IF(ISNUMBER(SEARCH("-SEM",C345)),VALUE(LEFT(C345,4)&amp;IF(RIGHT(C345,1)="1","01","07")),VALUE(SUBSTITUTE(C345,"-",""))))</f>
        <v/>
      </c>
      <c r="E345" s="320" t="n"/>
      <c r="F345" s="320" t="n"/>
      <c r="G345" s="320" t="n"/>
      <c r="H345" s="323" t="n"/>
    </row>
    <row r="346" ht="15" customHeight="1" s="131">
      <c r="A346" s="320" t="n"/>
      <c r="B346" s="323" t="n"/>
      <c r="C346" s="320" t="n"/>
      <c r="D346" s="278">
        <f>IF(C346="","",IF(ISNUMBER(SEARCH("-SEM",C346)),VALUE(LEFT(C346,4)&amp;IF(RIGHT(C346,1)="1","01","07")),VALUE(SUBSTITUTE(C346,"-",""))))</f>
        <v/>
      </c>
      <c r="E346" s="320" t="n"/>
      <c r="F346" s="320" t="n"/>
      <c r="G346" s="320" t="n"/>
      <c r="H346" s="323" t="n"/>
    </row>
    <row r="347" ht="15" customHeight="1" s="131">
      <c r="A347" s="320" t="n"/>
      <c r="B347" s="323" t="n"/>
      <c r="C347" s="320" t="n"/>
      <c r="D347" s="278">
        <f>IF(C347="","",IF(ISNUMBER(SEARCH("-SEM",C347)),VALUE(LEFT(C347,4)&amp;IF(RIGHT(C347,1)="1","01","07")),VALUE(SUBSTITUTE(C347,"-",""))))</f>
        <v/>
      </c>
      <c r="E347" s="320" t="n"/>
      <c r="F347" s="320" t="n"/>
      <c r="G347" s="320" t="n"/>
      <c r="H347" s="323" t="n"/>
    </row>
    <row r="348" ht="15" customHeight="1" s="131">
      <c r="A348" s="320" t="n"/>
      <c r="B348" s="323" t="n"/>
      <c r="C348" s="320" t="n"/>
      <c r="D348" s="278">
        <f>IF(C348="","",IF(ISNUMBER(SEARCH("-SEM",C348)),VALUE(LEFT(C348,4)&amp;IF(RIGHT(C348,1)="1","01","07")),VALUE(SUBSTITUTE(C348,"-",""))))</f>
        <v/>
      </c>
      <c r="E348" s="320" t="n"/>
      <c r="F348" s="320" t="n"/>
      <c r="G348" s="320" t="n"/>
      <c r="H348" s="323" t="n"/>
    </row>
    <row r="349" ht="15" customHeight="1" s="131">
      <c r="A349" s="320" t="n"/>
      <c r="B349" s="323" t="n"/>
      <c r="C349" s="320" t="n"/>
      <c r="D349" s="278">
        <f>IF(C349="","",IF(ISNUMBER(SEARCH("-SEM",C349)),VALUE(LEFT(C349,4)&amp;IF(RIGHT(C349,1)="1","01","07")),VALUE(SUBSTITUTE(C349,"-",""))))</f>
        <v/>
      </c>
      <c r="E349" s="320" t="n"/>
      <c r="F349" s="320" t="n"/>
      <c r="G349" s="320" t="n"/>
      <c r="H349" s="323" t="n"/>
    </row>
    <row r="350" ht="15" customHeight="1" s="131">
      <c r="A350" s="320" t="n"/>
      <c r="B350" s="323" t="n"/>
      <c r="C350" s="320" t="n"/>
      <c r="D350" s="278">
        <f>IF(C350="","",IF(ISNUMBER(SEARCH("-SEM",C350)),VALUE(LEFT(C350,4)&amp;IF(RIGHT(C350,1)="1","01","07")),VALUE(SUBSTITUTE(C350,"-",""))))</f>
        <v/>
      </c>
      <c r="E350" s="320" t="n"/>
      <c r="F350" s="320" t="n"/>
      <c r="G350" s="320" t="n"/>
      <c r="H350" s="323" t="n"/>
    </row>
    <row r="351" ht="15" customHeight="1" s="131">
      <c r="A351" s="320" t="n"/>
      <c r="B351" s="323" t="n"/>
      <c r="C351" s="320" t="n"/>
      <c r="D351" s="278">
        <f>IF(C351="","",IF(ISNUMBER(SEARCH("-SEM",C351)),VALUE(LEFT(C351,4)&amp;IF(RIGHT(C351,1)="1","01","07")),VALUE(SUBSTITUTE(C351,"-",""))))</f>
        <v/>
      </c>
      <c r="E351" s="320" t="n"/>
      <c r="F351" s="320" t="n"/>
      <c r="G351" s="320" t="n"/>
      <c r="H351" s="323" t="n"/>
    </row>
    <row r="352" ht="15" customHeight="1" s="131">
      <c r="A352" s="320" t="n"/>
      <c r="B352" s="323" t="n"/>
      <c r="C352" s="320" t="n"/>
      <c r="D352" s="278">
        <f>IF(C352="","",IF(ISNUMBER(SEARCH("-SEM",C352)),VALUE(LEFT(C352,4)&amp;IF(RIGHT(C352,1)="1","01","07")),VALUE(SUBSTITUTE(C352,"-",""))))</f>
        <v/>
      </c>
      <c r="E352" s="320" t="n"/>
      <c r="F352" s="320" t="n"/>
      <c r="G352" s="320" t="n"/>
      <c r="H352" s="323" t="n"/>
    </row>
    <row r="353" ht="15" customHeight="1" s="131">
      <c r="A353" s="320" t="n"/>
      <c r="B353" s="323" t="n"/>
      <c r="C353" s="320" t="n"/>
      <c r="D353" s="278">
        <f>IF(C353="","",IF(ISNUMBER(SEARCH("-SEM",C353)),VALUE(LEFT(C353,4)&amp;IF(RIGHT(C353,1)="1","01","07")),VALUE(SUBSTITUTE(C353,"-",""))))</f>
        <v/>
      </c>
      <c r="E353" s="320" t="n"/>
      <c r="F353" s="320" t="n"/>
      <c r="G353" s="320" t="n"/>
      <c r="H353" s="323" t="n"/>
    </row>
    <row r="354" ht="15" customHeight="1" s="131">
      <c r="A354" s="320" t="n"/>
      <c r="B354" s="323" t="n"/>
      <c r="C354" s="320" t="n"/>
      <c r="D354" s="278">
        <f>IF(C354="","",IF(ISNUMBER(SEARCH("-SEM",C354)),VALUE(LEFT(C354,4)&amp;IF(RIGHT(C354,1)="1","01","07")),VALUE(SUBSTITUTE(C354,"-",""))))</f>
        <v/>
      </c>
      <c r="E354" s="320" t="n"/>
      <c r="F354" s="320" t="n"/>
      <c r="G354" s="320" t="n"/>
      <c r="H354" s="323" t="n"/>
    </row>
    <row r="355" ht="15" customHeight="1" s="131">
      <c r="A355" s="320" t="n"/>
      <c r="B355" s="323" t="n"/>
      <c r="C355" s="320" t="n"/>
      <c r="D355" s="278">
        <f>IF(C355="","",IF(ISNUMBER(SEARCH("-SEM",C355)),VALUE(LEFT(C355,4)&amp;IF(RIGHT(C355,1)="1","01","07")),VALUE(SUBSTITUTE(C355,"-",""))))</f>
        <v/>
      </c>
      <c r="E355" s="320" t="n"/>
      <c r="F355" s="320" t="n"/>
      <c r="G355" s="320" t="n"/>
      <c r="H355" s="323" t="n"/>
    </row>
    <row r="356" ht="15" customHeight="1" s="131">
      <c r="A356" s="320" t="n"/>
      <c r="B356" s="323" t="n"/>
      <c r="C356" s="320" t="n"/>
      <c r="D356" s="278">
        <f>IF(C356="","",IF(ISNUMBER(SEARCH("-SEM",C356)),VALUE(LEFT(C356,4)&amp;IF(RIGHT(C356,1)="1","01","07")),VALUE(SUBSTITUTE(C356,"-",""))))</f>
        <v/>
      </c>
      <c r="E356" s="320" t="n"/>
      <c r="F356" s="320" t="n"/>
      <c r="G356" s="320" t="n"/>
      <c r="H356" s="323" t="n"/>
    </row>
    <row r="357" ht="15" customHeight="1" s="131">
      <c r="A357" s="320" t="n"/>
      <c r="B357" s="323" t="n"/>
      <c r="C357" s="320" t="n"/>
      <c r="D357" s="278">
        <f>IF(C357="","",IF(ISNUMBER(SEARCH("-SEM",C357)),VALUE(LEFT(C357,4)&amp;IF(RIGHT(C357,1)="1","01","07")),VALUE(SUBSTITUTE(C357,"-",""))))</f>
        <v/>
      </c>
      <c r="E357" s="320" t="n"/>
      <c r="F357" s="320" t="n"/>
      <c r="G357" s="320" t="n"/>
      <c r="H357" s="323" t="n"/>
    </row>
    <row r="358" ht="15" customHeight="1" s="131">
      <c r="A358" s="320" t="n"/>
      <c r="B358" s="323" t="n"/>
      <c r="C358" s="320" t="n"/>
      <c r="D358" s="278">
        <f>IF(C358="","",IF(ISNUMBER(SEARCH("-SEM",C358)),VALUE(LEFT(C358,4)&amp;IF(RIGHT(C358,1)="1","01","07")),VALUE(SUBSTITUTE(C358,"-",""))))</f>
        <v/>
      </c>
      <c r="E358" s="320" t="n"/>
      <c r="F358" s="320" t="n"/>
      <c r="G358" s="320" t="n"/>
      <c r="H358" s="323" t="n"/>
    </row>
    <row r="359" ht="15" customHeight="1" s="131">
      <c r="A359" s="320" t="n"/>
      <c r="B359" s="323" t="n"/>
      <c r="C359" s="320" t="n"/>
      <c r="D359" s="278">
        <f>IF(C359="","",IF(ISNUMBER(SEARCH("-SEM",C359)),VALUE(LEFT(C359,4)&amp;IF(RIGHT(C359,1)="1","01","07")),VALUE(SUBSTITUTE(C359,"-",""))))</f>
        <v/>
      </c>
      <c r="E359" s="320" t="n"/>
      <c r="F359" s="320" t="n"/>
      <c r="G359" s="320" t="n"/>
      <c r="H359" s="323" t="n"/>
    </row>
    <row r="360" ht="15" customHeight="1" s="131">
      <c r="A360" s="320" t="n"/>
      <c r="B360" s="323" t="n"/>
      <c r="C360" s="320" t="n"/>
      <c r="D360" s="278">
        <f>IF(C360="","",IF(ISNUMBER(SEARCH("-SEM",C360)),VALUE(LEFT(C360,4)&amp;IF(RIGHT(C360,1)="1","01","07")),VALUE(SUBSTITUTE(C360,"-",""))))</f>
        <v/>
      </c>
      <c r="E360" s="320" t="n"/>
      <c r="F360" s="320" t="n"/>
      <c r="G360" s="320" t="n"/>
      <c r="H360" s="323" t="n"/>
    </row>
    <row r="361" ht="15" customHeight="1" s="131">
      <c r="A361" s="320" t="n"/>
      <c r="B361" s="323" t="n"/>
      <c r="C361" s="320" t="n"/>
      <c r="D361" s="278">
        <f>IF(C361="","",IF(ISNUMBER(SEARCH("-SEM",C361)),VALUE(LEFT(C361,4)&amp;IF(RIGHT(C361,1)="1","01","07")),VALUE(SUBSTITUTE(C361,"-",""))))</f>
        <v/>
      </c>
      <c r="E361" s="320" t="n"/>
      <c r="F361" s="320" t="n"/>
      <c r="G361" s="320" t="n"/>
      <c r="H361" s="323" t="n"/>
    </row>
    <row r="362" ht="15" customHeight="1" s="131">
      <c r="A362" s="320" t="n"/>
      <c r="B362" s="323" t="n"/>
      <c r="C362" s="320" t="n"/>
      <c r="D362" s="278">
        <f>IF(C362="","",IF(ISNUMBER(SEARCH("-SEM",C362)),VALUE(LEFT(C362,4)&amp;IF(RIGHT(C362,1)="1","01","07")),VALUE(SUBSTITUTE(C362,"-",""))))</f>
        <v/>
      </c>
      <c r="E362" s="320" t="n"/>
      <c r="F362" s="320" t="n"/>
      <c r="G362" s="320" t="n"/>
      <c r="H362" s="323" t="n"/>
    </row>
    <row r="363" ht="15" customHeight="1" s="131">
      <c r="A363" s="320" t="n"/>
      <c r="B363" s="323" t="n"/>
      <c r="C363" s="320" t="n"/>
      <c r="D363" s="278">
        <f>IF(C363="","",IF(ISNUMBER(SEARCH("-SEM",C363)),VALUE(LEFT(C363,4)&amp;IF(RIGHT(C363,1)="1","01","07")),VALUE(SUBSTITUTE(C363,"-",""))))</f>
        <v/>
      </c>
      <c r="E363" s="320" t="n"/>
      <c r="F363" s="320" t="n"/>
      <c r="G363" s="320" t="n"/>
      <c r="H363" s="323" t="n"/>
    </row>
    <row r="364" ht="15" customHeight="1" s="131">
      <c r="A364" s="320" t="n"/>
      <c r="B364" s="323" t="n"/>
      <c r="C364" s="320" t="n"/>
      <c r="D364" s="278">
        <f>IF(C364="","",IF(ISNUMBER(SEARCH("-SEM",C364)),VALUE(LEFT(C364,4)&amp;IF(RIGHT(C364,1)="1","01","07")),VALUE(SUBSTITUTE(C364,"-",""))))</f>
        <v/>
      </c>
      <c r="E364" s="320" t="n"/>
      <c r="F364" s="320" t="n"/>
      <c r="G364" s="320" t="n"/>
      <c r="H364" s="323" t="n"/>
    </row>
    <row r="365" ht="15" customHeight="1" s="131">
      <c r="A365" s="320" t="n"/>
      <c r="B365" s="323" t="n"/>
      <c r="C365" s="320" t="n"/>
      <c r="D365" s="278">
        <f>IF(C365="","",IF(ISNUMBER(SEARCH("-SEM",C365)),VALUE(LEFT(C365,4)&amp;IF(RIGHT(C365,1)="1","01","07")),VALUE(SUBSTITUTE(C365,"-",""))))</f>
        <v/>
      </c>
      <c r="E365" s="320" t="n"/>
      <c r="F365" s="320" t="n"/>
      <c r="G365" s="320" t="n"/>
      <c r="H365" s="323" t="n"/>
    </row>
    <row r="366" ht="15" customHeight="1" s="131">
      <c r="A366" s="320" t="n"/>
      <c r="B366" s="323" t="n"/>
      <c r="C366" s="320" t="n"/>
      <c r="D366" s="278">
        <f>IF(C366="","",IF(ISNUMBER(SEARCH("-SEM",C366)),VALUE(LEFT(C366,4)&amp;IF(RIGHT(C366,1)="1","01","07")),VALUE(SUBSTITUTE(C366,"-",""))))</f>
        <v/>
      </c>
      <c r="E366" s="320" t="n"/>
      <c r="F366" s="320" t="n"/>
      <c r="G366" s="320" t="n"/>
      <c r="H366" s="323" t="n"/>
    </row>
    <row r="367" ht="15" customHeight="1" s="131">
      <c r="A367" s="320" t="n"/>
      <c r="B367" s="323" t="n"/>
      <c r="C367" s="320" t="n"/>
      <c r="D367" s="278">
        <f>IF(C367="","",IF(ISNUMBER(SEARCH("-SEM",C367)),VALUE(LEFT(C367,4)&amp;IF(RIGHT(C367,1)="1","01","07")),VALUE(SUBSTITUTE(C367,"-",""))))</f>
        <v/>
      </c>
      <c r="E367" s="320" t="n"/>
      <c r="F367" s="320" t="n"/>
      <c r="G367" s="320" t="n"/>
      <c r="H367" s="323" t="n"/>
    </row>
    <row r="368" ht="15" customHeight="1" s="131">
      <c r="A368" s="320" t="n"/>
      <c r="B368" s="323" t="n"/>
      <c r="C368" s="320" t="n"/>
      <c r="D368" s="278">
        <f>IF(C368="","",IF(ISNUMBER(SEARCH("-SEM",C368)),VALUE(LEFT(C368,4)&amp;IF(RIGHT(C368,1)="1","01","07")),VALUE(SUBSTITUTE(C368,"-",""))))</f>
        <v/>
      </c>
      <c r="E368" s="320" t="n"/>
      <c r="F368" s="320" t="n"/>
      <c r="G368" s="320" t="n"/>
      <c r="H368" s="323" t="n"/>
    </row>
    <row r="369" ht="15" customHeight="1" s="131">
      <c r="A369" s="320" t="n"/>
      <c r="B369" s="323" t="n"/>
      <c r="C369" s="320" t="n"/>
      <c r="D369" s="278">
        <f>IF(C369="","",IF(ISNUMBER(SEARCH("-SEM",C369)),VALUE(LEFT(C369,4)&amp;IF(RIGHT(C369,1)="1","01","07")),VALUE(SUBSTITUTE(C369,"-",""))))</f>
        <v/>
      </c>
      <c r="E369" s="320" t="n"/>
      <c r="F369" s="320" t="n"/>
      <c r="G369" s="320" t="n"/>
      <c r="H369" s="323" t="n"/>
    </row>
    <row r="370" ht="15" customHeight="1" s="131">
      <c r="A370" s="320" t="n"/>
      <c r="B370" s="323" t="n"/>
      <c r="C370" s="320" t="n"/>
      <c r="D370" s="278">
        <f>IF(C370="","",IF(ISNUMBER(SEARCH("-SEM",C370)),VALUE(LEFT(C370,4)&amp;IF(RIGHT(C370,1)="1","01","07")),VALUE(SUBSTITUTE(C370,"-",""))))</f>
        <v/>
      </c>
      <c r="E370" s="320" t="n"/>
      <c r="F370" s="320" t="n"/>
      <c r="G370" s="320" t="n"/>
      <c r="H370" s="323" t="n"/>
    </row>
    <row r="371" ht="15" customHeight="1" s="131">
      <c r="A371" s="320" t="n"/>
      <c r="B371" s="323" t="n"/>
      <c r="C371" s="320" t="n"/>
      <c r="D371" s="278">
        <f>IF(C371="","",IF(ISNUMBER(SEARCH("-SEM",C371)),VALUE(LEFT(C371,4)&amp;IF(RIGHT(C371,1)="1","01","07")),VALUE(SUBSTITUTE(C371,"-",""))))</f>
        <v/>
      </c>
      <c r="E371" s="320" t="n"/>
      <c r="F371" s="320" t="n"/>
      <c r="G371" s="320" t="n"/>
      <c r="H371" s="323" t="n"/>
    </row>
    <row r="372" ht="15" customHeight="1" s="131">
      <c r="A372" s="320" t="n"/>
      <c r="B372" s="323" t="n"/>
      <c r="C372" s="320" t="n"/>
      <c r="D372" s="278">
        <f>IF(C372="","",IF(ISNUMBER(SEARCH("-SEM",C372)),VALUE(LEFT(C372,4)&amp;IF(RIGHT(C372,1)="1","01","07")),VALUE(SUBSTITUTE(C372,"-",""))))</f>
        <v/>
      </c>
      <c r="E372" s="320" t="n"/>
      <c r="F372" s="320" t="n"/>
      <c r="G372" s="320" t="n"/>
      <c r="H372" s="323" t="n"/>
    </row>
    <row r="373" ht="15" customHeight="1" s="131">
      <c r="A373" s="320" t="n"/>
      <c r="B373" s="323" t="n"/>
      <c r="C373" s="320" t="n"/>
      <c r="D373" s="278">
        <f>IF(C373="","",IF(ISNUMBER(SEARCH("-SEM",C373)),VALUE(LEFT(C373,4)&amp;IF(RIGHT(C373,1)="1","01","07")),VALUE(SUBSTITUTE(C373,"-",""))))</f>
        <v/>
      </c>
      <c r="E373" s="320" t="n"/>
      <c r="F373" s="320" t="n"/>
      <c r="G373" s="320" t="n"/>
      <c r="H373" s="323" t="n"/>
    </row>
    <row r="374" ht="15" customHeight="1" s="131">
      <c r="A374" s="320" t="n"/>
      <c r="B374" s="323" t="n"/>
      <c r="C374" s="320" t="n"/>
      <c r="D374" s="278">
        <f>IF(C374="","",IF(ISNUMBER(SEARCH("-SEM",C374)),VALUE(LEFT(C374,4)&amp;IF(RIGHT(C374,1)="1","01","07")),VALUE(SUBSTITUTE(C374,"-",""))))</f>
        <v/>
      </c>
      <c r="E374" s="320" t="n"/>
      <c r="F374" s="320" t="n"/>
      <c r="G374" s="320" t="n"/>
      <c r="H374" s="323" t="n"/>
    </row>
    <row r="375" ht="15" customHeight="1" s="131">
      <c r="A375" s="320" t="n"/>
      <c r="B375" s="323" t="n"/>
      <c r="C375" s="320" t="n"/>
      <c r="D375" s="278">
        <f>IF(C375="","",IF(ISNUMBER(SEARCH("-SEM",C375)),VALUE(LEFT(C375,4)&amp;IF(RIGHT(C375,1)="1","01","07")),VALUE(SUBSTITUTE(C375,"-",""))))</f>
        <v/>
      </c>
      <c r="E375" s="320" t="n"/>
      <c r="F375" s="320" t="n"/>
      <c r="G375" s="320" t="n"/>
      <c r="H375" s="323" t="n"/>
    </row>
    <row r="376" ht="15" customHeight="1" s="131">
      <c r="A376" s="320" t="n"/>
      <c r="B376" s="323" t="n"/>
      <c r="C376" s="320" t="n"/>
      <c r="D376" s="278">
        <f>IF(C376="","",IF(ISNUMBER(SEARCH("-SEM",C376)),VALUE(LEFT(C376,4)&amp;IF(RIGHT(C376,1)="1","01","07")),VALUE(SUBSTITUTE(C376,"-",""))))</f>
        <v/>
      </c>
      <c r="E376" s="320" t="n"/>
      <c r="F376" s="320" t="n"/>
      <c r="G376" s="320" t="n"/>
      <c r="H376" s="323" t="n"/>
    </row>
    <row r="377" ht="15" customHeight="1" s="131">
      <c r="A377" s="320" t="n"/>
      <c r="B377" s="323" t="n"/>
      <c r="C377" s="320" t="n"/>
      <c r="D377" s="278">
        <f>IF(C377="","",IF(ISNUMBER(SEARCH("-SEM",C377)),VALUE(LEFT(C377,4)&amp;IF(RIGHT(C377,1)="1","01","07")),VALUE(SUBSTITUTE(C377,"-",""))))</f>
        <v/>
      </c>
      <c r="E377" s="320" t="n"/>
      <c r="F377" s="320" t="n"/>
      <c r="G377" s="320" t="n"/>
      <c r="H377" s="323" t="n"/>
    </row>
    <row r="378" ht="15" customHeight="1" s="131">
      <c r="A378" s="320" t="n"/>
      <c r="B378" s="323" t="n"/>
      <c r="C378" s="320" t="n"/>
      <c r="D378" s="278">
        <f>IF(C378="","",IF(ISNUMBER(SEARCH("-SEM",C378)),VALUE(LEFT(C378,4)&amp;IF(RIGHT(C378,1)="1","01","07")),VALUE(SUBSTITUTE(C378,"-",""))))</f>
        <v/>
      </c>
      <c r="E378" s="320" t="n"/>
      <c r="F378" s="320" t="n"/>
      <c r="G378" s="320" t="n"/>
      <c r="H378" s="323" t="n"/>
    </row>
    <row r="379" ht="15" customHeight="1" s="131">
      <c r="A379" s="320" t="n"/>
      <c r="B379" s="323" t="n"/>
      <c r="C379" s="320" t="n"/>
      <c r="D379" s="278">
        <f>IF(C379="","",IF(ISNUMBER(SEARCH("-SEM",C379)),VALUE(LEFT(C379,4)&amp;IF(RIGHT(C379,1)="1","01","07")),VALUE(SUBSTITUTE(C379,"-",""))))</f>
        <v/>
      </c>
      <c r="E379" s="320" t="n"/>
      <c r="F379" s="320" t="n"/>
      <c r="G379" s="320" t="n"/>
      <c r="H379" s="323" t="n"/>
    </row>
    <row r="380" ht="15" customHeight="1" s="131">
      <c r="A380" s="320" t="n"/>
      <c r="B380" s="323" t="n"/>
      <c r="C380" s="320" t="n"/>
      <c r="D380" s="278">
        <f>IF(C380="","",IF(ISNUMBER(SEARCH("-SEM",C380)),VALUE(LEFT(C380,4)&amp;IF(RIGHT(C380,1)="1","01","07")),VALUE(SUBSTITUTE(C380,"-",""))))</f>
        <v/>
      </c>
      <c r="E380" s="320" t="n"/>
      <c r="F380" s="320" t="n"/>
      <c r="G380" s="320" t="n"/>
      <c r="H380" s="323" t="n"/>
    </row>
    <row r="381" ht="15" customHeight="1" s="131">
      <c r="A381" s="320" t="n"/>
      <c r="B381" s="323" t="n"/>
      <c r="C381" s="320" t="n"/>
      <c r="D381" s="278">
        <f>IF(C381="","",IF(ISNUMBER(SEARCH("-SEM",C381)),VALUE(LEFT(C381,4)&amp;IF(RIGHT(C381,1)="1","01","07")),VALUE(SUBSTITUTE(C381,"-",""))))</f>
        <v/>
      </c>
      <c r="E381" s="320" t="n"/>
      <c r="F381" s="320" t="n"/>
      <c r="G381" s="320" t="n"/>
      <c r="H381" s="323" t="n"/>
    </row>
    <row r="382" ht="15" customHeight="1" s="131">
      <c r="A382" s="320" t="n"/>
      <c r="B382" s="323" t="n"/>
      <c r="C382" s="320" t="n"/>
      <c r="D382" s="278">
        <f>IF(C382="","",IF(ISNUMBER(SEARCH("-SEM",C382)),VALUE(LEFT(C382,4)&amp;IF(RIGHT(C382,1)="1","01","07")),VALUE(SUBSTITUTE(C382,"-",""))))</f>
        <v/>
      </c>
      <c r="E382" s="320" t="n"/>
      <c r="F382" s="320" t="n"/>
      <c r="G382" s="320" t="n"/>
      <c r="H382" s="323" t="n"/>
    </row>
    <row r="383" ht="15" customHeight="1" s="131">
      <c r="A383" s="320" t="n"/>
      <c r="B383" s="323" t="n"/>
      <c r="C383" s="320" t="n"/>
      <c r="D383" s="278">
        <f>IF(C383="","",IF(ISNUMBER(SEARCH("-SEM",C383)),VALUE(LEFT(C383,4)&amp;IF(RIGHT(C383,1)="1","01","07")),VALUE(SUBSTITUTE(C383,"-",""))))</f>
        <v/>
      </c>
      <c r="E383" s="320" t="n"/>
      <c r="F383" s="320" t="n"/>
      <c r="G383" s="320" t="n"/>
      <c r="H383" s="323" t="n"/>
    </row>
    <row r="384" ht="15" customHeight="1" s="131">
      <c r="A384" s="320" t="n"/>
      <c r="B384" s="323" t="n"/>
      <c r="C384" s="320" t="n"/>
      <c r="D384" s="278">
        <f>IF(C384="","",IF(ISNUMBER(SEARCH("-SEM",C384)),VALUE(LEFT(C384,4)&amp;IF(RIGHT(C384,1)="1","01","07")),VALUE(SUBSTITUTE(C384,"-",""))))</f>
        <v/>
      </c>
      <c r="E384" s="320" t="n"/>
      <c r="F384" s="320" t="n"/>
      <c r="G384" s="320" t="n"/>
      <c r="H384" s="323" t="n"/>
    </row>
    <row r="385" ht="15" customHeight="1" s="131">
      <c r="A385" s="320" t="n"/>
      <c r="B385" s="323" t="n"/>
      <c r="C385" s="320" t="n"/>
      <c r="D385" s="278">
        <f>IF(C385="","",IF(ISNUMBER(SEARCH("-SEM",C385)),VALUE(LEFT(C385,4)&amp;IF(RIGHT(C385,1)="1","01","07")),VALUE(SUBSTITUTE(C385,"-",""))))</f>
        <v/>
      </c>
      <c r="E385" s="320" t="n"/>
      <c r="F385" s="320" t="n"/>
      <c r="G385" s="320" t="n"/>
      <c r="H385" s="323" t="n"/>
    </row>
    <row r="386" ht="15" customHeight="1" s="131">
      <c r="A386" s="320" t="n"/>
      <c r="B386" s="323" t="n"/>
      <c r="C386" s="320" t="n"/>
      <c r="D386" s="278">
        <f>IF(C386="","",IF(ISNUMBER(SEARCH("-SEM",C386)),VALUE(LEFT(C386,4)&amp;IF(RIGHT(C386,1)="1","01","07")),VALUE(SUBSTITUTE(C386,"-",""))))</f>
        <v/>
      </c>
      <c r="E386" s="320" t="n"/>
      <c r="F386" s="320" t="n"/>
      <c r="G386" s="320" t="n"/>
      <c r="H386" s="323" t="n"/>
    </row>
    <row r="387" ht="15" customHeight="1" s="131">
      <c r="A387" s="320" t="n"/>
      <c r="B387" s="323" t="n"/>
      <c r="C387" s="320" t="n"/>
      <c r="D387" s="278">
        <f>IF(C387="","",IF(ISNUMBER(SEARCH("-SEM",C387)),VALUE(LEFT(C387,4)&amp;IF(RIGHT(C387,1)="1","01","07")),VALUE(SUBSTITUTE(C387,"-",""))))</f>
        <v/>
      </c>
      <c r="E387" s="320" t="n"/>
      <c r="F387" s="320" t="n"/>
      <c r="G387" s="320" t="n"/>
      <c r="H387" s="323" t="n"/>
    </row>
    <row r="388" ht="15" customHeight="1" s="131">
      <c r="A388" s="320" t="n"/>
      <c r="B388" s="323" t="n"/>
      <c r="C388" s="320" t="n"/>
      <c r="D388" s="278">
        <f>IF(C388="","",IF(ISNUMBER(SEARCH("-SEM",C388)),VALUE(LEFT(C388,4)&amp;IF(RIGHT(C388,1)="1","01","07")),VALUE(SUBSTITUTE(C388,"-",""))))</f>
        <v/>
      </c>
      <c r="E388" s="320" t="n"/>
      <c r="F388" s="320" t="n"/>
      <c r="G388" s="320" t="n"/>
      <c r="H388" s="323" t="n"/>
    </row>
    <row r="389" ht="15" customHeight="1" s="131">
      <c r="A389" s="320" t="n"/>
      <c r="B389" s="323" t="n"/>
      <c r="C389" s="320" t="n"/>
      <c r="D389" s="278">
        <f>IF(C389="","",IF(ISNUMBER(SEARCH("-SEM",C389)),VALUE(LEFT(C389,4)&amp;IF(RIGHT(C389,1)="1","01","07")),VALUE(SUBSTITUTE(C389,"-",""))))</f>
        <v/>
      </c>
      <c r="E389" s="320" t="n"/>
      <c r="F389" s="320" t="n"/>
      <c r="G389" s="320" t="n"/>
      <c r="H389" s="323" t="n"/>
    </row>
    <row r="390" ht="15" customHeight="1" s="131">
      <c r="A390" s="320" t="n"/>
      <c r="B390" s="323" t="n"/>
      <c r="C390" s="320" t="n"/>
      <c r="D390" s="278">
        <f>IF(C390="","",IF(ISNUMBER(SEARCH("-SEM",C390)),VALUE(LEFT(C390,4)&amp;IF(RIGHT(C390,1)="1","01","07")),VALUE(SUBSTITUTE(C390,"-",""))))</f>
        <v/>
      </c>
      <c r="E390" s="320" t="n"/>
      <c r="F390" s="320" t="n"/>
      <c r="G390" s="320" t="n"/>
      <c r="H390" s="323" t="n"/>
    </row>
    <row r="391" ht="15" customHeight="1" s="131">
      <c r="A391" s="320" t="n"/>
      <c r="B391" s="323" t="n"/>
      <c r="C391" s="320" t="n"/>
      <c r="D391" s="278">
        <f>IF(C391="","",IF(ISNUMBER(SEARCH("-SEM",C391)),VALUE(LEFT(C391,4)&amp;IF(RIGHT(C391,1)="1","01","07")),VALUE(SUBSTITUTE(C391,"-",""))))</f>
        <v/>
      </c>
      <c r="E391" s="320" t="n"/>
      <c r="F391" s="320" t="n"/>
      <c r="G391" s="320" t="n"/>
      <c r="H391" s="323" t="n"/>
    </row>
    <row r="392" ht="15" customHeight="1" s="131">
      <c r="A392" s="320" t="n"/>
      <c r="B392" s="323" t="n"/>
      <c r="C392" s="320" t="n"/>
      <c r="D392" s="278">
        <f>IF(C392="","",IF(ISNUMBER(SEARCH("-SEM",C392)),VALUE(LEFT(C392,4)&amp;IF(RIGHT(C392,1)="1","01","07")),VALUE(SUBSTITUTE(C392,"-",""))))</f>
        <v/>
      </c>
      <c r="E392" s="320" t="n"/>
      <c r="F392" s="320" t="n"/>
      <c r="G392" s="320" t="n"/>
      <c r="H392" s="323" t="n"/>
    </row>
    <row r="393" ht="15" customHeight="1" s="131">
      <c r="A393" s="320" t="n"/>
      <c r="B393" s="323" t="n"/>
      <c r="C393" s="320" t="n"/>
      <c r="D393" s="278">
        <f>IF(C393="","",IF(ISNUMBER(SEARCH("-SEM",C393)),VALUE(LEFT(C393,4)&amp;IF(RIGHT(C393,1)="1","01","07")),VALUE(SUBSTITUTE(C393,"-",""))))</f>
        <v/>
      </c>
      <c r="E393" s="320" t="n"/>
      <c r="F393" s="320" t="n"/>
      <c r="G393" s="320" t="n"/>
      <c r="H393" s="323" t="n"/>
    </row>
    <row r="394" ht="15" customHeight="1" s="131">
      <c r="A394" s="320" t="n"/>
      <c r="B394" s="323" t="n"/>
      <c r="C394" s="320" t="n"/>
      <c r="D394" s="278">
        <f>IF(C394="","",IF(ISNUMBER(SEARCH("-SEM",C394)),VALUE(LEFT(C394,4)&amp;IF(RIGHT(C394,1)="1","01","07")),VALUE(SUBSTITUTE(C394,"-",""))))</f>
        <v/>
      </c>
      <c r="E394" s="320" t="n"/>
      <c r="F394" s="320" t="n"/>
      <c r="G394" s="320" t="n"/>
      <c r="H394" s="323" t="n"/>
    </row>
    <row r="395" ht="15" customHeight="1" s="131">
      <c r="A395" s="320" t="n"/>
      <c r="B395" s="323" t="n"/>
      <c r="C395" s="320" t="n"/>
      <c r="D395" s="278">
        <f>IF(C395="","",IF(ISNUMBER(SEARCH("-SEM",C395)),VALUE(LEFT(C395,4)&amp;IF(RIGHT(C395,1)="1","01","07")),VALUE(SUBSTITUTE(C395,"-",""))))</f>
        <v/>
      </c>
      <c r="E395" s="320" t="n"/>
      <c r="F395" s="320" t="n"/>
      <c r="G395" s="320" t="n"/>
      <c r="H395" s="323" t="n"/>
    </row>
    <row r="396" ht="15" customHeight="1" s="131">
      <c r="A396" s="320" t="n"/>
      <c r="B396" s="323" t="n"/>
      <c r="C396" s="320" t="n"/>
      <c r="D396" s="278">
        <f>IF(C396="","",IF(ISNUMBER(SEARCH("-SEM",C396)),VALUE(LEFT(C396,4)&amp;IF(RIGHT(C396,1)="1","01","07")),VALUE(SUBSTITUTE(C396,"-",""))))</f>
        <v/>
      </c>
      <c r="E396" s="320" t="n"/>
      <c r="F396" s="320" t="n"/>
      <c r="G396" s="320" t="n"/>
      <c r="H396" s="323" t="n"/>
    </row>
    <row r="397" ht="15" customHeight="1" s="131">
      <c r="A397" s="320" t="n"/>
      <c r="B397" s="323" t="n"/>
      <c r="C397" s="320" t="n"/>
      <c r="D397" s="278">
        <f>IF(C397="","",IF(ISNUMBER(SEARCH("-SEM",C397)),VALUE(LEFT(C397,4)&amp;IF(RIGHT(C397,1)="1","01","07")),VALUE(SUBSTITUTE(C397,"-",""))))</f>
        <v/>
      </c>
      <c r="E397" s="320" t="n"/>
      <c r="F397" s="320" t="n"/>
      <c r="G397" s="320" t="n"/>
      <c r="H397" s="323" t="n"/>
    </row>
    <row r="398" ht="15" customHeight="1" s="131">
      <c r="A398" s="320" t="n"/>
      <c r="B398" s="323" t="n"/>
      <c r="C398" s="320" t="n"/>
      <c r="D398" s="278">
        <f>IF(C398="","",IF(ISNUMBER(SEARCH("-SEM",C398)),VALUE(LEFT(C398,4)&amp;IF(RIGHT(C398,1)="1","01","07")),VALUE(SUBSTITUTE(C398,"-",""))))</f>
        <v/>
      </c>
      <c r="E398" s="320" t="n"/>
      <c r="F398" s="320" t="n"/>
      <c r="G398" s="320" t="n"/>
      <c r="H398" s="323" t="n"/>
    </row>
    <row r="399" ht="15" customHeight="1" s="131">
      <c r="A399" s="320" t="n"/>
      <c r="B399" s="323" t="n"/>
      <c r="C399" s="320" t="n"/>
      <c r="D399" s="278">
        <f>IF(C399="","",IF(ISNUMBER(SEARCH("-SEM",C399)),VALUE(LEFT(C399,4)&amp;IF(RIGHT(C399,1)="1","01","07")),VALUE(SUBSTITUTE(C399,"-",""))))</f>
        <v/>
      </c>
      <c r="E399" s="320" t="n"/>
      <c r="F399" s="320" t="n"/>
      <c r="G399" s="320" t="n"/>
      <c r="H399" s="323" t="n"/>
    </row>
    <row r="400" ht="15" customHeight="1" s="131">
      <c r="A400" s="320" t="n"/>
      <c r="B400" s="323" t="n"/>
      <c r="C400" s="320" t="n"/>
      <c r="D400" s="278">
        <f>IF(C400="","",IF(ISNUMBER(SEARCH("-SEM",C400)),VALUE(LEFT(C400,4)&amp;IF(RIGHT(C400,1)="1","01","07")),VALUE(SUBSTITUTE(C400,"-",""))))</f>
        <v/>
      </c>
      <c r="E400" s="320" t="n"/>
      <c r="F400" s="320" t="n"/>
      <c r="G400" s="320" t="n"/>
      <c r="H400" s="323" t="n"/>
    </row>
    <row r="401" ht="15" customHeight="1" s="131">
      <c r="A401" s="320" t="n"/>
      <c r="B401" s="323" t="n"/>
      <c r="C401" s="320" t="n"/>
      <c r="D401" s="278">
        <f>IF(C401="","",IF(ISNUMBER(SEARCH("-SEM",C401)),VALUE(LEFT(C401,4)&amp;IF(RIGHT(C401,1)="1","01","07")),VALUE(SUBSTITUTE(C401,"-",""))))</f>
        <v/>
      </c>
      <c r="E401" s="320" t="n"/>
      <c r="F401" s="320" t="n"/>
      <c r="G401" s="320" t="n"/>
      <c r="H401" s="323" t="n"/>
    </row>
    <row r="402" ht="15" customHeight="1" s="131">
      <c r="A402" s="320" t="n"/>
      <c r="B402" s="323" t="n"/>
      <c r="C402" s="320" t="n"/>
      <c r="D402" s="278">
        <f>IF(C402="","",IF(ISNUMBER(SEARCH("-SEM",C402)),VALUE(LEFT(C402,4)&amp;IF(RIGHT(C402,1)="1","01","07")),VALUE(SUBSTITUTE(C402,"-",""))))</f>
        <v/>
      </c>
      <c r="E402" s="320" t="n"/>
      <c r="F402" s="320" t="n"/>
      <c r="G402" s="320" t="n"/>
      <c r="H402" s="323" t="n"/>
    </row>
    <row r="403" ht="15" customHeight="1" s="131">
      <c r="A403" s="320" t="n"/>
      <c r="B403" s="323" t="n"/>
      <c r="C403" s="320" t="n"/>
      <c r="D403" s="278">
        <f>IF(C403="","",IF(ISNUMBER(SEARCH("-SEM",C403)),VALUE(LEFT(C403,4)&amp;IF(RIGHT(C403,1)="1","01","07")),VALUE(SUBSTITUTE(C403,"-",""))))</f>
        <v/>
      </c>
      <c r="E403" s="320" t="n"/>
      <c r="F403" s="320" t="n"/>
      <c r="G403" s="320" t="n"/>
      <c r="H403" s="323" t="n"/>
    </row>
    <row r="404" ht="15" customHeight="1" s="131">
      <c r="A404" s="320" t="n"/>
      <c r="B404" s="323" t="n"/>
      <c r="C404" s="320" t="n"/>
      <c r="D404" s="278">
        <f>IF(C404="","",IF(ISNUMBER(SEARCH("-SEM",C404)),VALUE(LEFT(C404,4)&amp;IF(RIGHT(C404,1)="1","01","07")),VALUE(SUBSTITUTE(C404,"-",""))))</f>
        <v/>
      </c>
      <c r="E404" s="320" t="n"/>
      <c r="F404" s="320" t="n"/>
      <c r="G404" s="320" t="n"/>
      <c r="H404" s="32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D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130" min="1" max="1"/>
    <col width="12" customWidth="1" style="130" min="2" max="2"/>
    <col width="18" customWidth="1" style="130" min="3" max="4"/>
    <col width="18" customWidth="1" style="131" min="4" max="4"/>
  </cols>
  <sheetData>
    <row r="1" ht="24" customHeight="1" s="131">
      <c r="A1" s="262" t="inlineStr">
        <is>
          <t>CURSOS DA DTNH</t>
        </is>
      </c>
    </row>
    <row r="2" ht="30" customHeight="1" s="131">
      <c r="A2" s="263" t="inlineStr">
        <is>
          <t>Catálogo institucional. No site, cursos novos também podem nascer automaticamente das importações.</t>
        </is>
      </c>
    </row>
    <row r="3"/>
    <row r="4" ht="30" customHeight="1" s="131">
      <c r="A4" s="282" t="inlineStr">
        <is>
          <t>Curso</t>
        </is>
      </c>
      <c r="B4" s="282" t="inlineStr">
        <is>
          <t>Ativo</t>
        </is>
      </c>
      <c r="C4" s="282" t="inlineStr">
        <is>
          <t>Vigência início</t>
        </is>
      </c>
      <c r="D4" s="282" t="inlineStr">
        <is>
          <t>Vigência fim</t>
        </is>
      </c>
    </row>
    <row r="5" ht="15" customHeight="1" s="131">
      <c r="A5" s="333" t="inlineStr">
        <is>
          <t>Administração</t>
        </is>
      </c>
      <c r="B5" s="320" t="inlineStr">
        <is>
          <t>S</t>
        </is>
      </c>
      <c r="C5" s="320" t="inlineStr">
        <is>
          <t>2026-SEM1</t>
        </is>
      </c>
      <c r="D5" s="320" t="n"/>
    </row>
    <row r="6" ht="15" customHeight="1" s="131">
      <c r="A6" s="333" t="inlineStr">
        <is>
          <t>Análise e Desenvolvimento de Sistemas</t>
        </is>
      </c>
      <c r="B6" s="320" t="inlineStr">
        <is>
          <t>S</t>
        </is>
      </c>
      <c r="C6" s="320" t="inlineStr">
        <is>
          <t>2026-SEM1</t>
        </is>
      </c>
      <c r="D6" s="320" t="n"/>
    </row>
    <row r="7" ht="15" customHeight="1" s="131">
      <c r="A7" s="333" t="inlineStr">
        <is>
          <t>Agronomia</t>
        </is>
      </c>
      <c r="B7" s="320" t="inlineStr">
        <is>
          <t>S</t>
        </is>
      </c>
      <c r="C7" s="320" t="inlineStr">
        <is>
          <t>2026-SEM1</t>
        </is>
      </c>
      <c r="D7" s="320" t="n"/>
    </row>
    <row r="8" ht="15" customHeight="1" s="131">
      <c r="A8" s="333" t="inlineStr">
        <is>
          <t>Arquitetura e Urbanismo</t>
        </is>
      </c>
      <c r="B8" s="320" t="inlineStr">
        <is>
          <t>S</t>
        </is>
      </c>
      <c r="C8" s="320" t="inlineStr">
        <is>
          <t>2026-SEM1</t>
        </is>
      </c>
      <c r="D8" s="320" t="n"/>
    </row>
    <row r="9" ht="15" customHeight="1" s="131">
      <c r="A9" s="333" t="inlineStr">
        <is>
          <t>Ciências Contábeis</t>
        </is>
      </c>
      <c r="B9" s="320" t="inlineStr">
        <is>
          <t>S</t>
        </is>
      </c>
      <c r="C9" s="320" t="inlineStr">
        <is>
          <t>2026-SEM1</t>
        </is>
      </c>
      <c r="D9" s="320" t="n"/>
    </row>
    <row r="10" ht="15" customHeight="1" s="131">
      <c r="A10" s="333" t="inlineStr">
        <is>
          <t>Direito</t>
        </is>
      </c>
      <c r="B10" s="320" t="inlineStr">
        <is>
          <t>S</t>
        </is>
      </c>
      <c r="C10" s="320" t="inlineStr">
        <is>
          <t>2026-SEM1</t>
        </is>
      </c>
      <c r="D10" s="320" t="n"/>
    </row>
    <row r="11" ht="15" customHeight="1" s="131">
      <c r="A11" s="333" t="inlineStr">
        <is>
          <t>Engenharia de Produção</t>
        </is>
      </c>
      <c r="B11" s="320" t="inlineStr">
        <is>
          <t>S</t>
        </is>
      </c>
      <c r="C11" s="320" t="inlineStr">
        <is>
          <t>2026-SEM1</t>
        </is>
      </c>
      <c r="D11" s="320" t="n"/>
    </row>
    <row r="12" ht="15" customHeight="1" s="131">
      <c r="A12" s="333" t="inlineStr">
        <is>
          <t>Engenharia Mecânica</t>
        </is>
      </c>
      <c r="B12" s="320" t="inlineStr">
        <is>
          <t>S</t>
        </is>
      </c>
      <c r="C12" s="320" t="inlineStr">
        <is>
          <t>2026-SEM1</t>
        </is>
      </c>
      <c r="D12" s="320" t="n"/>
    </row>
    <row r="13" ht="15" customHeight="1" s="131">
      <c r="A13" s="333" t="inlineStr">
        <is>
          <t>Comunicação Social - Publicidade e Propaganda</t>
        </is>
      </c>
      <c r="B13" s="320" t="inlineStr">
        <is>
          <t>S</t>
        </is>
      </c>
      <c r="C13" s="320" t="inlineStr">
        <is>
          <t>2026-SEM1</t>
        </is>
      </c>
      <c r="D13" s="320" t="n"/>
    </row>
    <row r="14">
      <c r="A14" s="271" t="n"/>
      <c r="B14" s="271" t="n"/>
      <c r="C14" s="271" t="n"/>
      <c r="D14" s="271" t="n"/>
    </row>
    <row r="15">
      <c r="A15" s="271" t="n"/>
      <c r="B15" s="271" t="n"/>
      <c r="C15" s="271" t="n"/>
      <c r="D15" s="271" t="n"/>
    </row>
    <row r="16">
      <c r="A16" s="271" t="n"/>
      <c r="B16" s="271" t="n"/>
      <c r="C16" s="271" t="n"/>
      <c r="D16" s="271" t="n"/>
    </row>
    <row r="17">
      <c r="A17" s="271" t="n"/>
      <c r="B17" s="271" t="n"/>
      <c r="C17" s="271" t="n"/>
      <c r="D17" s="271" t="n"/>
    </row>
    <row r="18">
      <c r="A18" s="271" t="n"/>
      <c r="B18" s="271" t="n"/>
      <c r="C18" s="271" t="n"/>
      <c r="D18" s="271" t="n"/>
    </row>
    <row r="19">
      <c r="A19" s="271" t="n"/>
      <c r="B19" s="271" t="n"/>
      <c r="C19" s="271" t="n"/>
      <c r="D19" s="271" t="n"/>
    </row>
    <row r="20">
      <c r="A20" s="271" t="n"/>
      <c r="B20" s="271" t="n"/>
      <c r="C20" s="271" t="n"/>
      <c r="D20" s="271" t="n"/>
    </row>
    <row r="21">
      <c r="A21" s="271" t="n"/>
      <c r="B21" s="271" t="n"/>
      <c r="C21" s="271" t="n"/>
      <c r="D21" s="271" t="n"/>
    </row>
    <row r="22">
      <c r="A22" s="271" t="n"/>
      <c r="B22" s="271" t="n"/>
      <c r="C22" s="271" t="n"/>
      <c r="D22" s="271" t="n"/>
    </row>
    <row r="23">
      <c r="A23" s="271" t="n"/>
      <c r="B23" s="271" t="n"/>
      <c r="C23" s="271" t="n"/>
      <c r="D23" s="271" t="n"/>
    </row>
    <row r="24">
      <c r="A24" s="271" t="n"/>
      <c r="B24" s="271" t="n"/>
      <c r="C24" s="271" t="n"/>
      <c r="D24" s="271" t="n"/>
    </row>
    <row r="25">
      <c r="A25" s="271" t="n"/>
      <c r="B25" s="271" t="n"/>
      <c r="C25" s="271" t="n"/>
      <c r="D25" s="271" t="n"/>
    </row>
    <row r="26">
      <c r="A26" s="271" t="n"/>
      <c r="B26" s="271" t="n"/>
      <c r="C26" s="271" t="n"/>
      <c r="D26" s="271" t="n"/>
    </row>
    <row r="27">
      <c r="A27" s="271" t="n"/>
      <c r="B27" s="271" t="n"/>
      <c r="C27" s="271" t="n"/>
      <c r="D27" s="271" t="n"/>
    </row>
    <row r="28">
      <c r="A28" s="271" t="n"/>
      <c r="B28" s="271" t="n"/>
      <c r="C28" s="271" t="n"/>
      <c r="D28" s="271" t="n"/>
    </row>
    <row r="29">
      <c r="A29" s="271" t="n"/>
      <c r="B29" s="271" t="n"/>
      <c r="C29" s="271" t="n"/>
      <c r="D29" s="271" t="n"/>
    </row>
    <row r="30">
      <c r="A30" s="271" t="n"/>
      <c r="B30" s="271" t="n"/>
      <c r="C30" s="271" t="n"/>
      <c r="D30" s="271" t="n"/>
    </row>
    <row r="31">
      <c r="A31" s="271" t="n"/>
      <c r="B31" s="271" t="n"/>
      <c r="C31" s="271" t="n"/>
      <c r="D31" s="271" t="n"/>
    </row>
    <row r="32">
      <c r="A32" s="271" t="n"/>
      <c r="B32" s="271" t="n"/>
      <c r="C32" s="271" t="n"/>
      <c r="D32" s="271" t="n"/>
    </row>
    <row r="33">
      <c r="A33" s="271" t="n"/>
      <c r="B33" s="271" t="n"/>
      <c r="C33" s="271" t="n"/>
      <c r="D33" s="271" t="n"/>
    </row>
    <row r="34">
      <c r="A34" s="271" t="n"/>
      <c r="B34" s="271" t="n"/>
      <c r="C34" s="271" t="n"/>
      <c r="D34" s="271" t="n"/>
    </row>
    <row r="35">
      <c r="A35" s="271" t="n"/>
      <c r="B35" s="271" t="n"/>
      <c r="C35" s="271" t="n"/>
      <c r="D35" s="271" t="n"/>
    </row>
    <row r="36">
      <c r="A36" s="271" t="n"/>
      <c r="B36" s="271" t="n"/>
      <c r="C36" s="271" t="n"/>
      <c r="D36" s="271" t="n"/>
    </row>
    <row r="37">
      <c r="A37" s="271" t="n"/>
      <c r="B37" s="271" t="n"/>
      <c r="C37" s="271" t="n"/>
      <c r="D37" s="271" t="n"/>
    </row>
    <row r="38">
      <c r="A38" s="271" t="n"/>
      <c r="B38" s="271" t="n"/>
      <c r="C38" s="271" t="n"/>
      <c r="D38" s="271" t="n"/>
    </row>
    <row r="39">
      <c r="A39" s="271" t="n"/>
      <c r="B39" s="271" t="n"/>
      <c r="C39" s="271" t="n"/>
      <c r="D39" s="271" t="n"/>
    </row>
    <row r="40">
      <c r="A40" s="271" t="n"/>
      <c r="B40" s="271" t="n"/>
      <c r="C40" s="271" t="n"/>
      <c r="D40" s="271" t="n"/>
    </row>
    <row r="41">
      <c r="A41" s="271" t="n"/>
      <c r="B41" s="271" t="n"/>
      <c r="C41" s="271" t="n"/>
      <c r="D41" s="271" t="n"/>
    </row>
    <row r="42">
      <c r="A42" s="271" t="n"/>
      <c r="B42" s="271" t="n"/>
      <c r="C42" s="271" t="n"/>
      <c r="D42" s="271" t="n"/>
    </row>
    <row r="43">
      <c r="A43" s="271" t="n"/>
      <c r="B43" s="271" t="n"/>
      <c r="C43" s="271" t="n"/>
      <c r="D43" s="271" t="n"/>
    </row>
    <row r="44">
      <c r="A44" s="271" t="n"/>
      <c r="B44" s="271" t="n"/>
      <c r="C44" s="271" t="n"/>
      <c r="D44" s="271" t="n"/>
    </row>
    <row r="45">
      <c r="A45" s="271" t="n"/>
      <c r="B45" s="271" t="n"/>
      <c r="C45" s="271" t="n"/>
      <c r="D45" s="271" t="n"/>
    </row>
    <row r="46">
      <c r="A46" s="271" t="n"/>
      <c r="B46" s="271" t="n"/>
      <c r="C46" s="271" t="n"/>
      <c r="D46" s="271" t="n"/>
    </row>
    <row r="47">
      <c r="A47" s="271" t="n"/>
      <c r="B47" s="271" t="n"/>
      <c r="C47" s="271" t="n"/>
      <c r="D47" s="271" t="n"/>
    </row>
    <row r="48">
      <c r="A48" s="271" t="n"/>
      <c r="B48" s="271" t="n"/>
      <c r="C48" s="271" t="n"/>
      <c r="D48" s="271" t="n"/>
    </row>
    <row r="49">
      <c r="A49" s="271" t="n"/>
      <c r="B49" s="271" t="n"/>
      <c r="C49" s="271" t="n"/>
      <c r="D49" s="271" t="n"/>
    </row>
    <row r="50">
      <c r="A50" s="271" t="n"/>
      <c r="B50" s="271" t="n"/>
      <c r="C50" s="271" t="n"/>
      <c r="D50" s="271" t="n"/>
    </row>
    <row r="51">
      <c r="A51" s="271" t="n"/>
      <c r="B51" s="271" t="n"/>
      <c r="C51" s="271" t="n"/>
      <c r="D51" s="271" t="n"/>
    </row>
    <row r="52">
      <c r="A52" s="271" t="n"/>
      <c r="B52" s="271" t="n"/>
      <c r="C52" s="271" t="n"/>
      <c r="D52" s="271" t="n"/>
    </row>
    <row r="53">
      <c r="A53" s="271" t="n"/>
      <c r="B53" s="271" t="n"/>
      <c r="C53" s="271" t="n"/>
      <c r="D53" s="271" t="n"/>
    </row>
    <row r="54">
      <c r="A54" s="271" t="n"/>
      <c r="B54" s="271" t="n"/>
      <c r="C54" s="271" t="n"/>
      <c r="D54" s="271" t="n"/>
    </row>
    <row r="55">
      <c r="A55" s="271" t="n"/>
      <c r="B55" s="271" t="n"/>
      <c r="C55" s="271" t="n"/>
      <c r="D55" s="271" t="n"/>
    </row>
    <row r="56">
      <c r="A56" s="271" t="n"/>
      <c r="B56" s="271" t="n"/>
      <c r="C56" s="271" t="n"/>
      <c r="D56" s="271" t="n"/>
    </row>
    <row r="57">
      <c r="A57" s="271" t="n"/>
      <c r="B57" s="271" t="n"/>
      <c r="C57" s="271" t="n"/>
      <c r="D57" s="271" t="n"/>
    </row>
    <row r="58">
      <c r="A58" s="271" t="n"/>
      <c r="B58" s="271" t="n"/>
      <c r="C58" s="271" t="n"/>
      <c r="D58" s="271" t="n"/>
    </row>
    <row r="59">
      <c r="A59" s="271" t="n"/>
      <c r="B59" s="271" t="n"/>
      <c r="C59" s="271" t="n"/>
      <c r="D59" s="271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F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8" customWidth="1" style="130" min="1" max="2"/>
    <col width="46" customWidth="1" style="131" min="2" max="2"/>
    <col width="12" customWidth="1" style="130" min="3" max="3"/>
    <col width="18" customWidth="1" style="130" min="4" max="5"/>
    <col width="18" customWidth="1" style="131" min="5" max="5"/>
    <col width="60" customWidth="1" style="130" min="6" max="6"/>
  </cols>
  <sheetData>
    <row r="1" ht="24" customHeight="1" s="131">
      <c r="A1" s="262" t="inlineStr">
        <is>
          <t>DISCIPLINAS (AULAS) POR CURSO</t>
        </is>
      </c>
    </row>
    <row r="2" ht="30" customHeight="1" s="131">
      <c r="A2" s="263" t="inlineStr">
        <is>
          <t>O export do site preenche o catálogo real. Em um template novo, esta aba pode começar vazia.</t>
        </is>
      </c>
    </row>
    <row r="3"/>
    <row r="4" ht="30" customHeight="1" s="131">
      <c r="A4" s="282" t="inlineStr">
        <is>
          <t>Curso</t>
        </is>
      </c>
      <c r="B4" s="282" t="inlineStr">
        <is>
          <t>Disciplina</t>
        </is>
      </c>
      <c r="C4" s="282" t="inlineStr">
        <is>
          <t>Ativo</t>
        </is>
      </c>
      <c r="D4" s="282" t="inlineStr">
        <is>
          <t>Vigência início</t>
        </is>
      </c>
      <c r="E4" s="282" t="inlineStr">
        <is>
          <t>Vigência fim</t>
        </is>
      </c>
      <c r="F4" s="282" t="inlineStr">
        <is>
          <t>Recorte para METAS</t>
        </is>
      </c>
    </row>
    <row r="5" ht="15" customHeight="1" s="131">
      <c r="A5" s="333" t="n"/>
      <c r="B5" s="333" t="n"/>
      <c r="C5" s="320" t="n"/>
      <c r="D5" s="320" t="n"/>
      <c r="E5" s="320" t="n"/>
      <c r="F5" s="336">
        <f>IF(OR($A5="",$B5=""),"",$A5&amp;" » "&amp;$B5)</f>
        <v/>
      </c>
    </row>
    <row r="6" ht="15" customHeight="1" s="131">
      <c r="A6" s="333" t="n"/>
      <c r="B6" s="333" t="n"/>
      <c r="C6" s="320" t="n"/>
      <c r="D6" s="320" t="n"/>
      <c r="E6" s="320" t="n"/>
      <c r="F6" s="336">
        <f>IF(OR($A6="",$B6=""),"",$A6&amp;" » "&amp;$B6)</f>
        <v/>
      </c>
    </row>
    <row r="7" ht="15" customHeight="1" s="131">
      <c r="A7" s="333" t="n"/>
      <c r="B7" s="333" t="n"/>
      <c r="C7" s="320" t="n"/>
      <c r="D7" s="320" t="n"/>
      <c r="E7" s="320" t="n"/>
      <c r="F7" s="336">
        <f>IF(OR($A7="",$B7=""),"",$A7&amp;" » "&amp;$B7)</f>
        <v/>
      </c>
    </row>
    <row r="8" ht="15" customHeight="1" s="131">
      <c r="A8" s="333" t="n"/>
      <c r="B8" s="333" t="n"/>
      <c r="C8" s="320" t="n"/>
      <c r="D8" s="320" t="n"/>
      <c r="E8" s="320" t="n"/>
      <c r="F8" s="336">
        <f>IF(OR($A8="",$B8=""),"",$A8&amp;" » "&amp;$B8)</f>
        <v/>
      </c>
    </row>
    <row r="9" ht="15" customHeight="1" s="131">
      <c r="A9" s="333" t="n"/>
      <c r="B9" s="333" t="n"/>
      <c r="C9" s="320" t="n"/>
      <c r="D9" s="320" t="n"/>
      <c r="E9" s="320" t="n"/>
      <c r="F9" s="336">
        <f>IF(OR($A9="",$B9=""),"",$A9&amp;" » "&amp;$B9)</f>
        <v/>
      </c>
    </row>
    <row r="10" ht="15" customHeight="1" s="131">
      <c r="A10" s="333" t="n"/>
      <c r="B10" s="333" t="n"/>
      <c r="C10" s="320" t="n"/>
      <c r="D10" s="320" t="n"/>
      <c r="E10" s="320" t="n"/>
      <c r="F10" s="336">
        <f>IF(OR($A10="",$B10=""),"",$A10&amp;" » "&amp;$B10)</f>
        <v/>
      </c>
    </row>
    <row r="11" ht="15" customHeight="1" s="131">
      <c r="A11" s="333" t="n"/>
      <c r="B11" s="333" t="n"/>
      <c r="C11" s="320" t="n"/>
      <c r="D11" s="320" t="n"/>
      <c r="E11" s="320" t="n"/>
      <c r="F11" s="336">
        <f>IF(OR($A11="",$B11=""),"",$A11&amp;" » "&amp;$B11)</f>
        <v/>
      </c>
    </row>
    <row r="12" ht="15" customHeight="1" s="131">
      <c r="A12" s="333" t="n"/>
      <c r="B12" s="333" t="n"/>
      <c r="C12" s="320" t="n"/>
      <c r="D12" s="320" t="n"/>
      <c r="E12" s="320" t="n"/>
      <c r="F12" s="336">
        <f>IF(OR($A12="",$B12=""),"",$A12&amp;" » "&amp;$B12)</f>
        <v/>
      </c>
    </row>
    <row r="13" ht="15" customHeight="1" s="131">
      <c r="A13" s="333" t="n"/>
      <c r="B13" s="333" t="n"/>
      <c r="C13" s="320" t="n"/>
      <c r="D13" s="320" t="n"/>
      <c r="E13" s="320" t="n"/>
      <c r="F13" s="336">
        <f>IF(OR($A13="",$B13=""),"",$A13&amp;" » "&amp;$B13)</f>
        <v/>
      </c>
    </row>
    <row r="14" ht="15" customHeight="1" s="131">
      <c r="A14" s="333" t="n"/>
      <c r="B14" s="333" t="n"/>
      <c r="C14" s="320" t="n"/>
      <c r="D14" s="320" t="n"/>
      <c r="E14" s="320" t="n"/>
      <c r="F14" s="336">
        <f>IF(OR($A14="",$B14=""),"",$A14&amp;" » "&amp;$B14)</f>
        <v/>
      </c>
    </row>
    <row r="15" ht="15" customHeight="1" s="131">
      <c r="A15" s="333" t="n"/>
      <c r="B15" s="333" t="n"/>
      <c r="C15" s="320" t="n"/>
      <c r="D15" s="320" t="n"/>
      <c r="E15" s="320" t="n"/>
      <c r="F15" s="336">
        <f>IF(OR($A15="",$B15=""),"",$A15&amp;" » "&amp;$B15)</f>
        <v/>
      </c>
    </row>
    <row r="16" ht="15" customHeight="1" s="131">
      <c r="A16" s="333" t="n"/>
      <c r="B16" s="333" t="n"/>
      <c r="C16" s="320" t="n"/>
      <c r="D16" s="320" t="n"/>
      <c r="E16" s="320" t="n"/>
      <c r="F16" s="336">
        <f>IF(OR($A16="",$B16=""),"",$A16&amp;" » "&amp;$B16)</f>
        <v/>
      </c>
    </row>
    <row r="17" ht="15" customHeight="1" s="131">
      <c r="A17" s="333" t="n"/>
      <c r="B17" s="333" t="n"/>
      <c r="C17" s="320" t="n"/>
      <c r="D17" s="320" t="n"/>
      <c r="E17" s="320" t="n"/>
      <c r="F17" s="336">
        <f>IF(OR($A17="",$B17=""),"",$A17&amp;" » "&amp;$B17)</f>
        <v/>
      </c>
    </row>
    <row r="18" ht="15" customHeight="1" s="131">
      <c r="A18" s="333" t="n"/>
      <c r="B18" s="333" t="n"/>
      <c r="C18" s="320" t="n"/>
      <c r="D18" s="320" t="n"/>
      <c r="E18" s="320" t="n"/>
      <c r="F18" s="336">
        <f>IF(OR($A18="",$B18=""),"",$A18&amp;" » "&amp;$B18)</f>
        <v/>
      </c>
    </row>
    <row r="19" ht="15" customHeight="1" s="131">
      <c r="A19" s="333" t="n"/>
      <c r="B19" s="333" t="n"/>
      <c r="C19" s="320" t="n"/>
      <c r="D19" s="320" t="n"/>
      <c r="E19" s="320" t="n"/>
      <c r="F19" s="336">
        <f>IF(OR($A19="",$B19=""),"",$A19&amp;" » "&amp;$B19)</f>
        <v/>
      </c>
    </row>
    <row r="20" ht="15" customHeight="1" s="131">
      <c r="A20" s="333" t="n"/>
      <c r="B20" s="333" t="n"/>
      <c r="C20" s="320" t="n"/>
      <c r="D20" s="320" t="n"/>
      <c r="E20" s="320" t="n"/>
      <c r="F20" s="336">
        <f>IF(OR($A20="",$B20=""),"",$A20&amp;" » "&amp;$B20)</f>
        <v/>
      </c>
    </row>
    <row r="21" ht="15" customHeight="1" s="131">
      <c r="A21" s="333" t="n"/>
      <c r="B21" s="333" t="n"/>
      <c r="C21" s="320" t="n"/>
      <c r="D21" s="320" t="n"/>
      <c r="E21" s="320" t="n"/>
      <c r="F21" s="336">
        <f>IF(OR($A21="",$B21=""),"",$A21&amp;" » "&amp;$B21)</f>
        <v/>
      </c>
    </row>
    <row r="22" ht="15" customHeight="1" s="131">
      <c r="A22" s="333" t="n"/>
      <c r="B22" s="333" t="n"/>
      <c r="C22" s="320" t="n"/>
      <c r="D22" s="320" t="n"/>
      <c r="E22" s="320" t="n"/>
      <c r="F22" s="336">
        <f>IF(OR($A22="",$B22=""),"",$A22&amp;" » "&amp;$B22)</f>
        <v/>
      </c>
    </row>
    <row r="23" ht="15" customHeight="1" s="131">
      <c r="A23" s="333" t="n"/>
      <c r="B23" s="333" t="n"/>
      <c r="C23" s="320" t="n"/>
      <c r="D23" s="320" t="n"/>
      <c r="E23" s="320" t="n"/>
      <c r="F23" s="336">
        <f>IF(OR($A23="",$B23=""),"",$A23&amp;" » "&amp;$B23)</f>
        <v/>
      </c>
    </row>
    <row r="24" ht="15" customHeight="1" s="131">
      <c r="A24" s="333" t="n"/>
      <c r="B24" s="333" t="n"/>
      <c r="C24" s="320" t="n"/>
      <c r="D24" s="320" t="n"/>
      <c r="E24" s="320" t="n"/>
      <c r="F24" s="336">
        <f>IF(OR($A24="",$B24=""),"",$A24&amp;" » "&amp;$B24)</f>
        <v/>
      </c>
    </row>
    <row r="25" ht="15" customHeight="1" s="131">
      <c r="A25" s="333" t="n"/>
      <c r="B25" s="333" t="n"/>
      <c r="C25" s="320" t="n"/>
      <c r="D25" s="320" t="n"/>
      <c r="E25" s="320" t="n"/>
      <c r="F25" s="336">
        <f>IF(OR($A25="",$B25=""),"",$A25&amp;" » "&amp;$B25)</f>
        <v/>
      </c>
    </row>
    <row r="26" ht="15" customHeight="1" s="131">
      <c r="A26" s="333" t="n"/>
      <c r="B26" s="333" t="n"/>
      <c r="C26" s="320" t="n"/>
      <c r="D26" s="320" t="n"/>
      <c r="E26" s="320" t="n"/>
      <c r="F26" s="336">
        <f>IF(OR($A26="",$B26=""),"",$A26&amp;" » "&amp;$B26)</f>
        <v/>
      </c>
    </row>
    <row r="27" ht="15" customHeight="1" s="131">
      <c r="A27" s="333" t="n"/>
      <c r="B27" s="333" t="n"/>
      <c r="C27" s="320" t="n"/>
      <c r="D27" s="320" t="n"/>
      <c r="E27" s="320" t="n"/>
      <c r="F27" s="336">
        <f>IF(OR($A27="",$B27=""),"",$A27&amp;" » "&amp;$B27)</f>
        <v/>
      </c>
    </row>
    <row r="28" ht="15" customHeight="1" s="131">
      <c r="A28" s="333" t="n"/>
      <c r="B28" s="333" t="n"/>
      <c r="C28" s="320" t="n"/>
      <c r="D28" s="320" t="n"/>
      <c r="E28" s="320" t="n"/>
      <c r="F28" s="336">
        <f>IF(OR($A28="",$B28=""),"",$A28&amp;" » "&amp;$B28)</f>
        <v/>
      </c>
    </row>
    <row r="29" ht="15" customHeight="1" s="131">
      <c r="A29" s="333" t="n"/>
      <c r="B29" s="333" t="n"/>
      <c r="C29" s="320" t="n"/>
      <c r="D29" s="320" t="n"/>
      <c r="E29" s="320" t="n"/>
      <c r="F29" s="336">
        <f>IF(OR($A29="",$B29=""),"",$A29&amp;" » "&amp;$B29)</f>
        <v/>
      </c>
    </row>
    <row r="30" ht="15" customHeight="1" s="131">
      <c r="A30" s="333" t="n"/>
      <c r="B30" s="333" t="n"/>
      <c r="C30" s="320" t="n"/>
      <c r="D30" s="320" t="n"/>
      <c r="E30" s="320" t="n"/>
      <c r="F30" s="336">
        <f>IF(OR($A30="",$B30=""),"",$A30&amp;" » "&amp;$B30)</f>
        <v/>
      </c>
    </row>
    <row r="31" ht="15" customHeight="1" s="131">
      <c r="A31" s="333" t="n"/>
      <c r="B31" s="333" t="n"/>
      <c r="C31" s="320" t="n"/>
      <c r="D31" s="320" t="n"/>
      <c r="E31" s="320" t="n"/>
      <c r="F31" s="336">
        <f>IF(OR($A31="",$B31=""),"",$A31&amp;" » "&amp;$B31)</f>
        <v/>
      </c>
    </row>
    <row r="32" ht="15" customHeight="1" s="131">
      <c r="A32" s="333" t="n"/>
      <c r="B32" s="333" t="n"/>
      <c r="C32" s="320" t="n"/>
      <c r="D32" s="320" t="n"/>
      <c r="E32" s="320" t="n"/>
      <c r="F32" s="336">
        <f>IF(OR($A32="",$B32=""),"",$A32&amp;" » "&amp;$B32)</f>
        <v/>
      </c>
    </row>
    <row r="33" ht="15" customHeight="1" s="131">
      <c r="A33" s="333" t="n"/>
      <c r="B33" s="333" t="n"/>
      <c r="C33" s="320" t="n"/>
      <c r="D33" s="320" t="n"/>
      <c r="E33" s="320" t="n"/>
      <c r="F33" s="336">
        <f>IF(OR($A33="",$B33=""),"",$A33&amp;" » "&amp;$B33)</f>
        <v/>
      </c>
    </row>
    <row r="34" ht="15" customHeight="1" s="131">
      <c r="A34" s="333" t="n"/>
      <c r="B34" s="333" t="n"/>
      <c r="C34" s="320" t="n"/>
      <c r="D34" s="320" t="n"/>
      <c r="E34" s="320" t="n"/>
      <c r="F34" s="336">
        <f>IF(OR($A34="",$B34=""),"",$A34&amp;" » "&amp;$B34)</f>
        <v/>
      </c>
    </row>
    <row r="35" ht="15" customHeight="1" s="131">
      <c r="A35" s="333" t="n"/>
      <c r="B35" s="333" t="n"/>
      <c r="C35" s="320" t="n"/>
      <c r="D35" s="320" t="n"/>
      <c r="E35" s="320" t="n"/>
      <c r="F35" s="336">
        <f>IF(OR($A35="",$B35=""),"",$A35&amp;" » "&amp;$B35)</f>
        <v/>
      </c>
    </row>
    <row r="36" ht="15" customHeight="1" s="131">
      <c r="A36" s="333" t="n"/>
      <c r="B36" s="333" t="n"/>
      <c r="C36" s="320" t="n"/>
      <c r="D36" s="320" t="n"/>
      <c r="E36" s="320" t="n"/>
      <c r="F36" s="336">
        <f>IF(OR($A36="",$B36=""),"",$A36&amp;" » "&amp;$B36)</f>
        <v/>
      </c>
    </row>
    <row r="37" ht="15" customHeight="1" s="131">
      <c r="A37" s="333" t="n"/>
      <c r="B37" s="333" t="n"/>
      <c r="C37" s="320" t="n"/>
      <c r="D37" s="320" t="n"/>
      <c r="E37" s="320" t="n"/>
      <c r="F37" s="336">
        <f>IF(OR($A37="",$B37=""),"",$A37&amp;" » "&amp;$B37)</f>
        <v/>
      </c>
    </row>
    <row r="38" ht="15" customHeight="1" s="131">
      <c r="A38" s="333" t="n"/>
      <c r="B38" s="333" t="n"/>
      <c r="C38" s="320" t="n"/>
      <c r="D38" s="320" t="n"/>
      <c r="E38" s="320" t="n"/>
      <c r="F38" s="336">
        <f>IF(OR($A38="",$B38=""),"",$A38&amp;" » "&amp;$B38)</f>
        <v/>
      </c>
    </row>
    <row r="39" ht="15" customHeight="1" s="131">
      <c r="A39" s="333" t="n"/>
      <c r="B39" s="333" t="n"/>
      <c r="C39" s="320" t="n"/>
      <c r="D39" s="320" t="n"/>
      <c r="E39" s="320" t="n"/>
      <c r="F39" s="336">
        <f>IF(OR($A39="",$B39=""),"",$A39&amp;" » "&amp;$B39)</f>
        <v/>
      </c>
    </row>
    <row r="40" ht="15" customHeight="1" s="131">
      <c r="A40" s="333" t="n"/>
      <c r="B40" s="333" t="n"/>
      <c r="C40" s="320" t="n"/>
      <c r="D40" s="320" t="n"/>
      <c r="E40" s="320" t="n"/>
      <c r="F40" s="336">
        <f>IF(OR($A40="",$B40=""),"",$A40&amp;" » "&amp;$B40)</f>
        <v/>
      </c>
    </row>
    <row r="41" ht="15" customHeight="1" s="131">
      <c r="A41" s="333" t="n"/>
      <c r="B41" s="333" t="n"/>
      <c r="C41" s="320" t="n"/>
      <c r="D41" s="320" t="n"/>
      <c r="E41" s="320" t="n"/>
      <c r="F41" s="336">
        <f>IF(OR($A41="",$B41=""),"",$A41&amp;" » "&amp;$B41)</f>
        <v/>
      </c>
    </row>
    <row r="42" ht="15" customHeight="1" s="131">
      <c r="A42" s="323" t="n"/>
      <c r="B42" s="323" t="n"/>
      <c r="C42" s="320" t="n"/>
      <c r="D42" s="320" t="n"/>
      <c r="E42" s="323" t="n"/>
      <c r="F42" s="336">
        <f>IF(OR($A42="",$B42=""),"",$A42&amp;" » "&amp;$B42)</f>
        <v/>
      </c>
    </row>
    <row r="43" ht="15" customHeight="1" s="131">
      <c r="A43" s="323" t="n"/>
      <c r="B43" s="323" t="n"/>
      <c r="C43" s="320" t="n"/>
      <c r="D43" s="320" t="n"/>
      <c r="E43" s="323" t="n"/>
      <c r="F43" s="336">
        <f>IF(OR($A43="",$B43=""),"",$A43&amp;" » "&amp;$B43)</f>
        <v/>
      </c>
    </row>
    <row r="44" ht="15" customHeight="1" s="131">
      <c r="A44" s="323" t="n"/>
      <c r="B44" s="323" t="n"/>
      <c r="C44" s="320" t="n"/>
      <c r="D44" s="320" t="n"/>
      <c r="E44" s="323" t="n"/>
      <c r="F44" s="336">
        <f>IF(OR($A44="",$B44=""),"",$A44&amp;" » "&amp;$B44)</f>
        <v/>
      </c>
    </row>
    <row r="45" ht="15" customHeight="1" s="131">
      <c r="A45" s="323" t="n"/>
      <c r="B45" s="323" t="n"/>
      <c r="C45" s="320" t="n"/>
      <c r="D45" s="320" t="n"/>
      <c r="E45" s="323" t="n"/>
      <c r="F45" s="336">
        <f>IF(OR($A45="",$B45=""),"",$A45&amp;" » "&amp;$B45)</f>
        <v/>
      </c>
    </row>
    <row r="46" ht="15" customHeight="1" s="131">
      <c r="A46" s="323" t="n"/>
      <c r="B46" s="323" t="n"/>
      <c r="C46" s="320" t="n"/>
      <c r="D46" s="320" t="n"/>
      <c r="E46" s="323" t="n"/>
      <c r="F46" s="336">
        <f>IF(OR($A46="",$B46=""),"",$A46&amp;" » "&amp;$B46)</f>
        <v/>
      </c>
    </row>
    <row r="47" ht="15" customHeight="1" s="131">
      <c r="A47" s="323" t="n"/>
      <c r="B47" s="323" t="n"/>
      <c r="C47" s="320" t="n"/>
      <c r="D47" s="320" t="n"/>
      <c r="E47" s="323" t="n"/>
      <c r="F47" s="336">
        <f>IF(OR($A47="",$B47=""),"",$A47&amp;" » "&amp;$B47)</f>
        <v/>
      </c>
    </row>
    <row r="48" ht="15" customHeight="1" s="131">
      <c r="A48" s="323" t="n"/>
      <c r="B48" s="323" t="n"/>
      <c r="C48" s="320" t="n"/>
      <c r="D48" s="320" t="n"/>
      <c r="E48" s="323" t="n"/>
      <c r="F48" s="336">
        <f>IF(OR($A48="",$B48=""),"",$A48&amp;" » "&amp;$B48)</f>
        <v/>
      </c>
    </row>
    <row r="49" ht="15" customHeight="1" s="131">
      <c r="A49" s="323" t="n"/>
      <c r="B49" s="323" t="n"/>
      <c r="C49" s="320" t="n"/>
      <c r="D49" s="320" t="n"/>
      <c r="E49" s="323" t="n"/>
      <c r="F49" s="336">
        <f>IF(OR($A49="",$B49=""),"",$A49&amp;" » "&amp;$B49)</f>
        <v/>
      </c>
    </row>
    <row r="50" ht="15" customHeight="1" s="131">
      <c r="A50" s="323" t="n"/>
      <c r="B50" s="323" t="n"/>
      <c r="C50" s="320" t="n"/>
      <c r="D50" s="320" t="n"/>
      <c r="E50" s="323" t="n"/>
      <c r="F50" s="336">
        <f>IF(OR($A50="",$B50=""),"",$A50&amp;" » "&amp;$B50)</f>
        <v/>
      </c>
    </row>
    <row r="51" ht="15" customHeight="1" s="131">
      <c r="A51" s="323" t="n"/>
      <c r="B51" s="323" t="n"/>
      <c r="C51" s="320" t="n"/>
      <c r="D51" s="320" t="n"/>
      <c r="E51" s="323" t="n"/>
      <c r="F51" s="336">
        <f>IF(OR($A51="",$B51=""),"",$A51&amp;" » "&amp;$B51)</f>
        <v/>
      </c>
    </row>
    <row r="52" ht="15" customHeight="1" s="131">
      <c r="A52" s="323" t="n"/>
      <c r="B52" s="323" t="n"/>
      <c r="C52" s="320" t="n"/>
      <c r="D52" s="320" t="n"/>
      <c r="E52" s="323" t="n"/>
      <c r="F52" s="336">
        <f>IF(OR($A52="",$B52=""),"",$A52&amp;" » "&amp;$B52)</f>
        <v/>
      </c>
    </row>
    <row r="53" ht="15" customHeight="1" s="131">
      <c r="A53" s="323" t="n"/>
      <c r="B53" s="323" t="n"/>
      <c r="C53" s="320" t="n"/>
      <c r="D53" s="320" t="n"/>
      <c r="E53" s="323" t="n"/>
      <c r="F53" s="336">
        <f>IF(OR($A53="",$B53=""),"",$A53&amp;" » "&amp;$B53)</f>
        <v/>
      </c>
    </row>
    <row r="54" ht="15" customHeight="1" s="131">
      <c r="A54" s="323" t="n"/>
      <c r="B54" s="323" t="n"/>
      <c r="C54" s="320" t="n"/>
      <c r="D54" s="320" t="n"/>
      <c r="E54" s="323" t="n"/>
      <c r="F54" s="336">
        <f>IF(OR($A54="",$B54=""),"",$A54&amp;" » "&amp;$B54)</f>
        <v/>
      </c>
    </row>
    <row r="55" ht="15" customHeight="1" s="131">
      <c r="A55" s="323" t="n"/>
      <c r="B55" s="323" t="n"/>
      <c r="C55" s="320" t="n"/>
      <c r="D55" s="320" t="n"/>
      <c r="E55" s="323" t="n"/>
      <c r="F55" s="336">
        <f>IF(OR($A55="",$B55=""),"",$A55&amp;" » "&amp;$B55)</f>
        <v/>
      </c>
    </row>
    <row r="56" ht="15" customHeight="1" s="131">
      <c r="A56" s="323" t="n"/>
      <c r="B56" s="323" t="n"/>
      <c r="C56" s="320" t="n"/>
      <c r="D56" s="320" t="n"/>
      <c r="E56" s="323" t="n"/>
      <c r="F56" s="336">
        <f>IF(OR($A56="",$B56=""),"",$A56&amp;" » "&amp;$B56)</f>
        <v/>
      </c>
    </row>
    <row r="57" ht="15" customHeight="1" s="131">
      <c r="A57" s="323" t="n"/>
      <c r="B57" s="323" t="n"/>
      <c r="C57" s="320" t="n"/>
      <c r="D57" s="320" t="n"/>
      <c r="E57" s="323" t="n"/>
      <c r="F57" s="336">
        <f>IF(OR($A57="",$B57=""),"",$A57&amp;" » "&amp;$B57)</f>
        <v/>
      </c>
    </row>
    <row r="58" ht="15" customHeight="1" s="131">
      <c r="A58" s="323" t="n"/>
      <c r="B58" s="323" t="n"/>
      <c r="C58" s="320" t="n"/>
      <c r="D58" s="320" t="n"/>
      <c r="E58" s="323" t="n"/>
      <c r="F58" s="336">
        <f>IF(OR($A58="",$B58=""),"",$A58&amp;" » "&amp;$B58)</f>
        <v/>
      </c>
    </row>
    <row r="59" ht="15" customHeight="1" s="131">
      <c r="A59" s="323" t="n"/>
      <c r="B59" s="323" t="n"/>
      <c r="C59" s="320" t="n"/>
      <c r="D59" s="320" t="n"/>
      <c r="E59" s="323" t="n"/>
      <c r="F59" s="336">
        <f>IF(OR($A59="",$B59=""),"",$A59&amp;" » "&amp;$B59)</f>
        <v/>
      </c>
    </row>
    <row r="60" ht="15" customHeight="1" s="131">
      <c r="A60" s="323" t="n"/>
      <c r="B60" s="323" t="n"/>
      <c r="C60" s="320" t="n"/>
      <c r="D60" s="320" t="n"/>
      <c r="E60" s="323" t="n"/>
      <c r="F60" s="336">
        <f>IF(OR($A60="",$B60=""),"",$A60&amp;" » "&amp;$B60)</f>
        <v/>
      </c>
    </row>
    <row r="61" ht="15" customHeight="1" s="131">
      <c r="A61" s="323" t="n"/>
      <c r="B61" s="323" t="n"/>
      <c r="C61" s="320" t="n"/>
      <c r="D61" s="320" t="n"/>
      <c r="E61" s="323" t="n"/>
      <c r="F61" s="336">
        <f>IF(OR($A61="",$B61=""),"",$A61&amp;" » "&amp;$B61)</f>
        <v/>
      </c>
    </row>
    <row r="62" ht="15" customHeight="1" s="131">
      <c r="A62" s="323" t="n"/>
      <c r="B62" s="323" t="n"/>
      <c r="C62" s="320" t="n"/>
      <c r="D62" s="320" t="n"/>
      <c r="E62" s="323" t="n"/>
      <c r="F62" s="336">
        <f>IF(OR($A62="",$B62=""),"",$A62&amp;" » "&amp;$B62)</f>
        <v/>
      </c>
    </row>
    <row r="63" ht="15" customHeight="1" s="131">
      <c r="A63" s="323" t="n"/>
      <c r="B63" s="323" t="n"/>
      <c r="C63" s="320" t="n"/>
      <c r="D63" s="320" t="n"/>
      <c r="E63" s="323" t="n"/>
      <c r="F63" s="336">
        <f>IF(OR($A63="",$B63=""),"",$A63&amp;" » "&amp;$B63)</f>
        <v/>
      </c>
    </row>
    <row r="64" ht="15" customHeight="1" s="131">
      <c r="A64" s="323" t="n"/>
      <c r="B64" s="323" t="n"/>
      <c r="C64" s="320" t="n"/>
      <c r="D64" s="320" t="n"/>
      <c r="E64" s="323" t="n"/>
      <c r="F64" s="336">
        <f>IF(OR($A64="",$B64=""),"",$A64&amp;" » "&amp;$B64)</f>
        <v/>
      </c>
    </row>
    <row r="65" ht="15" customHeight="1" s="131">
      <c r="A65" s="323" t="n"/>
      <c r="B65" s="323" t="n"/>
      <c r="C65" s="320" t="n"/>
      <c r="D65" s="320" t="n"/>
      <c r="E65" s="323" t="n"/>
      <c r="F65" s="336">
        <f>IF(OR($A65="",$B65=""),"",$A65&amp;" » "&amp;$B65)</f>
        <v/>
      </c>
    </row>
    <row r="66" ht="15" customHeight="1" s="131">
      <c r="A66" s="323" t="n"/>
      <c r="B66" s="323" t="n"/>
      <c r="C66" s="320" t="n"/>
      <c r="D66" s="320" t="n"/>
      <c r="E66" s="323" t="n"/>
      <c r="F66" s="336">
        <f>IF(OR($A66="",$B66=""),"",$A66&amp;" » "&amp;$B66)</f>
        <v/>
      </c>
    </row>
    <row r="67" ht="15" customHeight="1" s="131">
      <c r="A67" s="323" t="n"/>
      <c r="B67" s="323" t="n"/>
      <c r="C67" s="320" t="n"/>
      <c r="D67" s="320" t="n"/>
      <c r="E67" s="323" t="n"/>
      <c r="F67" s="336">
        <f>IF(OR($A67="",$B67=""),"",$A67&amp;" » "&amp;$B67)</f>
        <v/>
      </c>
    </row>
    <row r="68" ht="15" customHeight="1" s="131">
      <c r="A68" s="323" t="n"/>
      <c r="B68" s="323" t="n"/>
      <c r="C68" s="320" t="n"/>
      <c r="D68" s="320" t="n"/>
      <c r="E68" s="323" t="n"/>
      <c r="F68" s="336">
        <f>IF(OR($A68="",$B68=""),"",$A68&amp;" » "&amp;$B68)</f>
        <v/>
      </c>
    </row>
    <row r="69" ht="15" customHeight="1" s="131">
      <c r="A69" s="323" t="n"/>
      <c r="B69" s="323" t="n"/>
      <c r="C69" s="320" t="n"/>
      <c r="D69" s="320" t="n"/>
      <c r="E69" s="323" t="n"/>
      <c r="F69" s="336">
        <f>IF(OR($A69="",$B69=""),"",$A69&amp;" » "&amp;$B69)</f>
        <v/>
      </c>
    </row>
    <row r="70" ht="15" customHeight="1" s="131">
      <c r="A70" s="323" t="n"/>
      <c r="B70" s="323" t="n"/>
      <c r="C70" s="320" t="n"/>
      <c r="D70" s="320" t="n"/>
      <c r="E70" s="323" t="n"/>
      <c r="F70" s="336">
        <f>IF(OR($A70="",$B70=""),"",$A70&amp;" » "&amp;$B70)</f>
        <v/>
      </c>
    </row>
    <row r="71" ht="15" customHeight="1" s="131">
      <c r="A71" s="323" t="n"/>
      <c r="B71" s="323" t="n"/>
      <c r="C71" s="320" t="n"/>
      <c r="D71" s="320" t="n"/>
      <c r="E71" s="323" t="n"/>
      <c r="F71" s="336">
        <f>IF(OR($A71="",$B71=""),"",$A71&amp;" » "&amp;$B71)</f>
        <v/>
      </c>
    </row>
    <row r="72" ht="15" customHeight="1" s="131">
      <c r="A72" s="323" t="n"/>
      <c r="B72" s="323" t="n"/>
      <c r="C72" s="320" t="n"/>
      <c r="D72" s="320" t="n"/>
      <c r="E72" s="323" t="n"/>
      <c r="F72" s="336">
        <f>IF(OR($A72="",$B72=""),"",$A72&amp;" » "&amp;$B72)</f>
        <v/>
      </c>
    </row>
    <row r="73" ht="15" customHeight="1" s="131">
      <c r="A73" s="323" t="n"/>
      <c r="B73" s="323" t="n"/>
      <c r="C73" s="320" t="n"/>
      <c r="D73" s="320" t="n"/>
      <c r="E73" s="323" t="n"/>
      <c r="F73" s="336">
        <f>IF(OR($A73="",$B73=""),"",$A73&amp;" » "&amp;$B73)</f>
        <v/>
      </c>
    </row>
    <row r="74" ht="15" customHeight="1" s="131">
      <c r="A74" s="323" t="n"/>
      <c r="B74" s="323" t="n"/>
      <c r="C74" s="320" t="n"/>
      <c r="D74" s="320" t="n"/>
      <c r="E74" s="323" t="n"/>
      <c r="F74" s="336">
        <f>IF(OR($A74="",$B74=""),"",$A74&amp;" » "&amp;$B74)</f>
        <v/>
      </c>
    </row>
    <row r="75" ht="15" customHeight="1" s="131">
      <c r="A75" s="323" t="n"/>
      <c r="B75" s="323" t="n"/>
      <c r="C75" s="320" t="n"/>
      <c r="D75" s="320" t="n"/>
      <c r="E75" s="323" t="n"/>
      <c r="F75" s="336">
        <f>IF(OR($A75="",$B75=""),"",$A75&amp;" » "&amp;$B75)</f>
        <v/>
      </c>
    </row>
    <row r="76" ht="15" customHeight="1" s="131">
      <c r="A76" s="323" t="n"/>
      <c r="B76" s="323" t="n"/>
      <c r="C76" s="320" t="n"/>
      <c r="D76" s="320" t="n"/>
      <c r="E76" s="323" t="n"/>
      <c r="F76" s="336">
        <f>IF(OR($A76="",$B76=""),"",$A76&amp;" » "&amp;$B76)</f>
        <v/>
      </c>
    </row>
    <row r="77" ht="15" customHeight="1" s="131">
      <c r="A77" s="323" t="n"/>
      <c r="B77" s="323" t="n"/>
      <c r="C77" s="320" t="n"/>
      <c r="D77" s="320" t="n"/>
      <c r="E77" s="323" t="n"/>
      <c r="F77" s="336">
        <f>IF(OR($A77="",$B77=""),"",$A77&amp;" » "&amp;$B77)</f>
        <v/>
      </c>
    </row>
    <row r="78" ht="15" customHeight="1" s="131">
      <c r="A78" s="323" t="n"/>
      <c r="B78" s="323" t="n"/>
      <c r="C78" s="320" t="n"/>
      <c r="D78" s="320" t="n"/>
      <c r="E78" s="323" t="n"/>
      <c r="F78" s="336">
        <f>IF(OR($A78="",$B78=""),"",$A78&amp;" » "&amp;$B78)</f>
        <v/>
      </c>
    </row>
    <row r="79" ht="15" customHeight="1" s="131">
      <c r="A79" s="323" t="n"/>
      <c r="B79" s="323" t="n"/>
      <c r="C79" s="320" t="n"/>
      <c r="D79" s="320" t="n"/>
      <c r="E79" s="323" t="n"/>
      <c r="F79" s="336">
        <f>IF(OR($A79="",$B79=""),"",$A79&amp;" » "&amp;$B79)</f>
        <v/>
      </c>
    </row>
    <row r="80" ht="15" customHeight="1" s="131">
      <c r="A80" s="323" t="n"/>
      <c r="B80" s="323" t="n"/>
      <c r="C80" s="320" t="n"/>
      <c r="D80" s="320" t="n"/>
      <c r="E80" s="323" t="n"/>
      <c r="F80" s="336">
        <f>IF(OR($A80="",$B80=""),"",$A80&amp;" » "&amp;$B80)</f>
        <v/>
      </c>
    </row>
    <row r="81" ht="15" customHeight="1" s="131">
      <c r="A81" s="323" t="n"/>
      <c r="B81" s="323" t="n"/>
      <c r="C81" s="320" t="n"/>
      <c r="D81" s="320" t="n"/>
      <c r="E81" s="323" t="n"/>
      <c r="F81" s="336">
        <f>IF(OR($A81="",$B81=""),"",$A81&amp;" » "&amp;$B81)</f>
        <v/>
      </c>
    </row>
    <row r="82" ht="15" customHeight="1" s="131">
      <c r="A82" s="323" t="n"/>
      <c r="B82" s="323" t="n"/>
      <c r="C82" s="320" t="n"/>
      <c r="D82" s="320" t="n"/>
      <c r="E82" s="323" t="n"/>
      <c r="F82" s="336">
        <f>IF(OR($A82="",$B82=""),"",$A82&amp;" » "&amp;$B82)</f>
        <v/>
      </c>
    </row>
    <row r="83" ht="15" customHeight="1" s="131">
      <c r="A83" s="323" t="n"/>
      <c r="B83" s="323" t="n"/>
      <c r="C83" s="320" t="n"/>
      <c r="D83" s="320" t="n"/>
      <c r="E83" s="323" t="n"/>
      <c r="F83" s="336">
        <f>IF(OR($A83="",$B83=""),"",$A83&amp;" » "&amp;$B83)</f>
        <v/>
      </c>
    </row>
    <row r="84" ht="15" customHeight="1" s="131">
      <c r="A84" s="323" t="n"/>
      <c r="B84" s="323" t="n"/>
      <c r="C84" s="320" t="n"/>
      <c r="D84" s="320" t="n"/>
      <c r="E84" s="323" t="n"/>
      <c r="F84" s="336">
        <f>IF(OR($A84="",$B84=""),"",$A84&amp;" » "&amp;$B84)</f>
        <v/>
      </c>
    </row>
    <row r="85" ht="15" customHeight="1" s="131">
      <c r="A85" s="323" t="n"/>
      <c r="B85" s="323" t="n"/>
      <c r="C85" s="320" t="n"/>
      <c r="D85" s="320" t="n"/>
      <c r="E85" s="323" t="n"/>
      <c r="F85" s="336">
        <f>IF(OR($A85="",$B85=""),"",$A85&amp;" » "&amp;$B85)</f>
        <v/>
      </c>
    </row>
    <row r="86" ht="15" customHeight="1" s="131">
      <c r="A86" s="323" t="n"/>
      <c r="B86" s="323" t="n"/>
      <c r="C86" s="320" t="n"/>
      <c r="D86" s="320" t="n"/>
      <c r="E86" s="323" t="n"/>
      <c r="F86" s="336">
        <f>IF(OR($A86="",$B86=""),"",$A86&amp;" » "&amp;$B86)</f>
        <v/>
      </c>
    </row>
    <row r="87" ht="15" customHeight="1" s="131">
      <c r="A87" s="323" t="n"/>
      <c r="B87" s="323" t="n"/>
      <c r="C87" s="320" t="n"/>
      <c r="D87" s="320" t="n"/>
      <c r="E87" s="323" t="n"/>
      <c r="F87" s="336">
        <f>IF(OR($A87="",$B87=""),"",$A87&amp;" » "&amp;$B87)</f>
        <v/>
      </c>
    </row>
    <row r="88" ht="15" customHeight="1" s="131">
      <c r="A88" s="323" t="n"/>
      <c r="B88" s="323" t="n"/>
      <c r="C88" s="320" t="n"/>
      <c r="D88" s="320" t="n"/>
      <c r="E88" s="323" t="n"/>
      <c r="F88" s="336">
        <f>IF(OR($A88="",$B88=""),"",$A88&amp;" » "&amp;$B88)</f>
        <v/>
      </c>
    </row>
    <row r="89" ht="15" customHeight="1" s="131">
      <c r="A89" s="323" t="n"/>
      <c r="B89" s="323" t="n"/>
      <c r="C89" s="320" t="n"/>
      <c r="D89" s="320" t="n"/>
      <c r="E89" s="323" t="n"/>
      <c r="F89" s="336">
        <f>IF(OR($A89="",$B89=""),"",$A89&amp;" » "&amp;$B89)</f>
        <v/>
      </c>
    </row>
    <row r="90" ht="15" customHeight="1" s="131">
      <c r="A90" s="323" t="n"/>
      <c r="B90" s="323" t="n"/>
      <c r="C90" s="320" t="n"/>
      <c r="D90" s="320" t="n"/>
      <c r="E90" s="323" t="n"/>
      <c r="F90" s="336">
        <f>IF(OR($A90="",$B90=""),"",$A90&amp;" » "&amp;$B90)</f>
        <v/>
      </c>
    </row>
    <row r="91" ht="15" customHeight="1" s="131">
      <c r="A91" s="323" t="n"/>
      <c r="B91" s="323" t="n"/>
      <c r="C91" s="320" t="n"/>
      <c r="D91" s="320" t="n"/>
      <c r="E91" s="323" t="n"/>
      <c r="F91" s="336">
        <f>IF(OR($A91="",$B91=""),"",$A91&amp;" » "&amp;$B91)</f>
        <v/>
      </c>
    </row>
    <row r="92" ht="15" customHeight="1" s="131">
      <c r="A92" s="323" t="n"/>
      <c r="B92" s="323" t="n"/>
      <c r="C92" s="320" t="n"/>
      <c r="D92" s="320" t="n"/>
      <c r="E92" s="323" t="n"/>
      <c r="F92" s="336">
        <f>IF(OR($A92="",$B92=""),"",$A92&amp;" » "&amp;$B92)</f>
        <v/>
      </c>
    </row>
    <row r="93" ht="15" customHeight="1" s="131">
      <c r="A93" s="323" t="n"/>
      <c r="B93" s="323" t="n"/>
      <c r="C93" s="320" t="n"/>
      <c r="D93" s="320" t="n"/>
      <c r="E93" s="323" t="n"/>
      <c r="F93" s="336">
        <f>IF(OR($A93="",$B93=""),"",$A93&amp;" » "&amp;$B93)</f>
        <v/>
      </c>
    </row>
    <row r="94" ht="15" customHeight="1" s="131">
      <c r="A94" s="323" t="n"/>
      <c r="B94" s="323" t="n"/>
      <c r="C94" s="320" t="n"/>
      <c r="D94" s="320" t="n"/>
      <c r="E94" s="323" t="n"/>
      <c r="F94" s="336">
        <f>IF(OR($A94="",$B94=""),"",$A94&amp;" » "&amp;$B94)</f>
        <v/>
      </c>
    </row>
    <row r="95" ht="15" customHeight="1" s="131">
      <c r="A95" s="323" t="n"/>
      <c r="B95" s="323" t="n"/>
      <c r="C95" s="320" t="n"/>
      <c r="D95" s="320" t="n"/>
      <c r="E95" s="323" t="n"/>
      <c r="F95" s="336">
        <f>IF(OR($A95="",$B95=""),"",$A95&amp;" » "&amp;$B95)</f>
        <v/>
      </c>
    </row>
    <row r="96" ht="15" customHeight="1" s="131">
      <c r="A96" s="323" t="n"/>
      <c r="B96" s="323" t="n"/>
      <c r="C96" s="320" t="n"/>
      <c r="D96" s="320" t="n"/>
      <c r="E96" s="323" t="n"/>
      <c r="F96" s="336">
        <f>IF(OR($A96="",$B96=""),"",$A96&amp;" » "&amp;$B96)</f>
        <v/>
      </c>
    </row>
    <row r="97" ht="15" customHeight="1" s="131">
      <c r="A97" s="323" t="n"/>
      <c r="B97" s="323" t="n"/>
      <c r="C97" s="320" t="n"/>
      <c r="D97" s="320" t="n"/>
      <c r="E97" s="323" t="n"/>
      <c r="F97" s="336">
        <f>IF(OR($A97="",$B97=""),"",$A97&amp;" » "&amp;$B97)</f>
        <v/>
      </c>
    </row>
    <row r="98" ht="15" customHeight="1" s="131">
      <c r="A98" s="323" t="n"/>
      <c r="B98" s="323" t="n"/>
      <c r="C98" s="320" t="n"/>
      <c r="D98" s="320" t="n"/>
      <c r="E98" s="323" t="n"/>
      <c r="F98" s="336">
        <f>IF(OR($A98="",$B98=""),"",$A98&amp;" » "&amp;$B98)</f>
        <v/>
      </c>
    </row>
    <row r="99" ht="15" customHeight="1" s="131">
      <c r="A99" s="323" t="n"/>
      <c r="B99" s="323" t="n"/>
      <c r="C99" s="320" t="n"/>
      <c r="D99" s="320" t="n"/>
      <c r="E99" s="323" t="n"/>
      <c r="F99" s="336">
        <f>IF(OR($A99="",$B99=""),"",$A99&amp;" » "&amp;$B99)</f>
        <v/>
      </c>
    </row>
    <row r="100" ht="15" customHeight="1" s="131">
      <c r="A100" s="323" t="n"/>
      <c r="B100" s="323" t="n"/>
      <c r="C100" s="320" t="n"/>
      <c r="D100" s="320" t="n"/>
      <c r="E100" s="323" t="n"/>
      <c r="F100" s="336">
        <f>IF(OR($A100="",$B100=""),"",$A100&amp;" » "&amp;$B100)</f>
        <v/>
      </c>
    </row>
    <row r="101" ht="15" customHeight="1" s="131">
      <c r="A101" s="323" t="n"/>
      <c r="B101" s="323" t="n"/>
      <c r="C101" s="320" t="n"/>
      <c r="D101" s="320" t="n"/>
      <c r="E101" s="323" t="n"/>
      <c r="F101" s="336">
        <f>IF(OR($A101="",$B101=""),"",$A101&amp;" » "&amp;$B101)</f>
        <v/>
      </c>
    </row>
    <row r="102">
      <c r="A102" s="271" t="n"/>
      <c r="B102" s="271" t="n"/>
      <c r="C102" s="271" t="n"/>
      <c r="D102" s="271" t="n"/>
      <c r="E102" s="271" t="n"/>
      <c r="F102" s="275">
        <f>IF(OR($A102="",$B102=""),"",$A102&amp;" » "&amp;$B102)</f>
        <v/>
      </c>
    </row>
    <row r="103">
      <c r="A103" s="271" t="n"/>
      <c r="B103" s="271" t="n"/>
      <c r="C103" s="271" t="n"/>
      <c r="D103" s="271" t="n"/>
      <c r="E103" s="271" t="n"/>
      <c r="F103" s="275">
        <f>IF(OR($A103="",$B103=""),"",$A103&amp;" » "&amp;$B103)</f>
        <v/>
      </c>
    </row>
    <row r="104">
      <c r="A104" s="271" t="n"/>
      <c r="B104" s="271" t="n"/>
      <c r="C104" s="271" t="n"/>
      <c r="D104" s="271" t="n"/>
      <c r="E104" s="271" t="n"/>
      <c r="F104" s="275">
        <f>IF(OR($A104="",$B104=""),"",$A104&amp;" » "&amp;$B104)</f>
        <v/>
      </c>
    </row>
    <row r="105">
      <c r="A105" s="271" t="n"/>
      <c r="B105" s="271" t="n"/>
      <c r="C105" s="271" t="n"/>
      <c r="D105" s="271" t="n"/>
      <c r="E105" s="271" t="n"/>
      <c r="F105" s="275">
        <f>IF(OR($A105="",$B105=""),"",$A105&amp;" » "&amp;$B105)</f>
        <v/>
      </c>
    </row>
    <row r="106">
      <c r="A106" s="271" t="n"/>
      <c r="B106" s="271" t="n"/>
      <c r="C106" s="271" t="n"/>
      <c r="D106" s="271" t="n"/>
      <c r="E106" s="271" t="n"/>
      <c r="F106" s="275">
        <f>IF(OR($A106="",$B106=""),"",$A106&amp;" » "&amp;$B106)</f>
        <v/>
      </c>
    </row>
    <row r="107">
      <c r="A107" s="271" t="n"/>
      <c r="B107" s="271" t="n"/>
      <c r="C107" s="271" t="n"/>
      <c r="D107" s="271" t="n"/>
      <c r="E107" s="271" t="n"/>
      <c r="F107" s="275">
        <f>IF(OR($A107="",$B107=""),"",$A107&amp;" » "&amp;$B107)</f>
        <v/>
      </c>
    </row>
    <row r="108">
      <c r="A108" s="271" t="n"/>
      <c r="B108" s="271" t="n"/>
      <c r="C108" s="271" t="n"/>
      <c r="D108" s="271" t="n"/>
      <c r="E108" s="271" t="n"/>
      <c r="F108" s="275">
        <f>IF(OR($A108="",$B108=""),"",$A108&amp;" » "&amp;$B108)</f>
        <v/>
      </c>
    </row>
    <row r="109">
      <c r="A109" s="271" t="n"/>
      <c r="B109" s="271" t="n"/>
      <c r="C109" s="271" t="n"/>
      <c r="D109" s="271" t="n"/>
      <c r="E109" s="271" t="n"/>
      <c r="F109" s="275">
        <f>IF(OR($A109="",$B109=""),"",$A109&amp;" » "&amp;$B109)</f>
        <v/>
      </c>
    </row>
    <row r="110">
      <c r="A110" s="271" t="n"/>
      <c r="B110" s="271" t="n"/>
      <c r="C110" s="271" t="n"/>
      <c r="D110" s="271" t="n"/>
      <c r="E110" s="271" t="n"/>
      <c r="F110" s="275">
        <f>IF(OR($A110="",$B110=""),"",$A110&amp;" » "&amp;$B110)</f>
        <v/>
      </c>
    </row>
    <row r="111">
      <c r="A111" s="271" t="n"/>
      <c r="B111" s="271" t="n"/>
      <c r="C111" s="271" t="n"/>
      <c r="D111" s="271" t="n"/>
      <c r="E111" s="271" t="n"/>
      <c r="F111" s="275">
        <f>IF(OR($A111="",$B111=""),"",$A111&amp;" » "&amp;$B111)</f>
        <v/>
      </c>
    </row>
    <row r="112">
      <c r="A112" s="271" t="n"/>
      <c r="B112" s="271" t="n"/>
      <c r="C112" s="271" t="n"/>
      <c r="D112" s="271" t="n"/>
      <c r="E112" s="271" t="n"/>
      <c r="F112" s="275">
        <f>IF(OR($A112="",$B112=""),"",$A112&amp;" » "&amp;$B112)</f>
        <v/>
      </c>
    </row>
    <row r="113">
      <c r="A113" s="271" t="n"/>
      <c r="B113" s="271" t="n"/>
      <c r="C113" s="271" t="n"/>
      <c r="D113" s="271" t="n"/>
      <c r="E113" s="271" t="n"/>
      <c r="F113" s="275">
        <f>IF(OR($A113="",$B113=""),"",$A113&amp;" » "&amp;$B113)</f>
        <v/>
      </c>
    </row>
    <row r="114">
      <c r="A114" s="271" t="n"/>
      <c r="B114" s="271" t="n"/>
      <c r="C114" s="271" t="n"/>
      <c r="D114" s="271" t="n"/>
      <c r="E114" s="271" t="n"/>
      <c r="F114" s="275">
        <f>IF(OR($A114="",$B114=""),"",$A114&amp;" » "&amp;$B114)</f>
        <v/>
      </c>
    </row>
    <row r="115">
      <c r="A115" s="271" t="n"/>
      <c r="B115" s="271" t="n"/>
      <c r="C115" s="271" t="n"/>
      <c r="D115" s="271" t="n"/>
      <c r="E115" s="271" t="n"/>
      <c r="F115" s="275">
        <f>IF(OR($A115="",$B115=""),"",$A115&amp;" » "&amp;$B115)</f>
        <v/>
      </c>
    </row>
    <row r="116">
      <c r="A116" s="271" t="n"/>
      <c r="B116" s="271" t="n"/>
      <c r="C116" s="271" t="n"/>
      <c r="D116" s="271" t="n"/>
      <c r="E116" s="271" t="n"/>
      <c r="F116" s="275">
        <f>IF(OR($A116="",$B116=""),"",$A116&amp;" » "&amp;$B116)</f>
        <v/>
      </c>
    </row>
    <row r="117">
      <c r="A117" s="271" t="n"/>
      <c r="B117" s="271" t="n"/>
      <c r="C117" s="271" t="n"/>
      <c r="D117" s="271" t="n"/>
      <c r="E117" s="271" t="n"/>
      <c r="F117" s="275">
        <f>IF(OR($A117="",$B117=""),"",$A117&amp;" » "&amp;$B117)</f>
        <v/>
      </c>
    </row>
    <row r="118">
      <c r="A118" s="271" t="n"/>
      <c r="B118" s="271" t="n"/>
      <c r="C118" s="271" t="n"/>
      <c r="D118" s="271" t="n"/>
      <c r="E118" s="271" t="n"/>
      <c r="F118" s="275">
        <f>IF(OR($A118="",$B118=""),"",$A118&amp;" » "&amp;$B118)</f>
        <v/>
      </c>
    </row>
    <row r="119">
      <c r="A119" s="271" t="n"/>
      <c r="B119" s="271" t="n"/>
      <c r="C119" s="271" t="n"/>
      <c r="D119" s="271" t="n"/>
      <c r="E119" s="271" t="n"/>
      <c r="F119" s="275">
        <f>IF(OR($A119="",$B119=""),"",$A119&amp;" » "&amp;$B119)</f>
        <v/>
      </c>
    </row>
    <row r="120">
      <c r="A120" s="271" t="n"/>
      <c r="B120" s="271" t="n"/>
      <c r="C120" s="271" t="n"/>
      <c r="D120" s="271" t="n"/>
      <c r="E120" s="271" t="n"/>
      <c r="F120" s="275">
        <f>IF(OR($A120="",$B120=""),"",$A120&amp;" » "&amp;$B120)</f>
        <v/>
      </c>
    </row>
    <row r="121">
      <c r="A121" s="271" t="n"/>
      <c r="B121" s="271" t="n"/>
      <c r="C121" s="271" t="n"/>
      <c r="D121" s="271" t="n"/>
      <c r="E121" s="271" t="n"/>
      <c r="F121" s="275">
        <f>IF(OR($A121="",$B121=""),"",$A121&amp;" » "&amp;$B121)</f>
        <v/>
      </c>
    </row>
    <row r="122">
      <c r="A122" s="271" t="n"/>
      <c r="B122" s="271" t="n"/>
      <c r="C122" s="271" t="n"/>
      <c r="D122" s="271" t="n"/>
      <c r="E122" s="271" t="n"/>
      <c r="F122" s="275">
        <f>IF(OR($A122="",$B122=""),"",$A122&amp;" » "&amp;$B122)</f>
        <v/>
      </c>
    </row>
    <row r="123">
      <c r="A123" s="271" t="n"/>
      <c r="B123" s="271" t="n"/>
      <c r="C123" s="271" t="n"/>
      <c r="D123" s="271" t="n"/>
      <c r="E123" s="271" t="n"/>
      <c r="F123" s="275">
        <f>IF(OR($A123="",$B123=""),"",$A123&amp;" » "&amp;$B123)</f>
        <v/>
      </c>
    </row>
    <row r="124">
      <c r="A124" s="271" t="n"/>
      <c r="B124" s="271" t="n"/>
      <c r="C124" s="271" t="n"/>
      <c r="D124" s="271" t="n"/>
      <c r="E124" s="271" t="n"/>
      <c r="F124" s="275">
        <f>IF(OR($A124="",$B124=""),"",$A124&amp;" » "&amp;$B124)</f>
        <v/>
      </c>
    </row>
    <row r="125">
      <c r="A125" s="271" t="n"/>
      <c r="B125" s="271" t="n"/>
      <c r="C125" s="271" t="n"/>
      <c r="D125" s="271" t="n"/>
      <c r="E125" s="271" t="n"/>
      <c r="F125" s="275">
        <f>IF(OR($A125="",$B125=""),"",$A125&amp;" » "&amp;$B125)</f>
        <v/>
      </c>
    </row>
    <row r="126">
      <c r="A126" s="271" t="n"/>
      <c r="B126" s="271" t="n"/>
      <c r="C126" s="271" t="n"/>
      <c r="D126" s="271" t="n"/>
      <c r="E126" s="271" t="n"/>
      <c r="F126" s="275">
        <f>IF(OR($A126="",$B126=""),"",$A126&amp;" » "&amp;$B126)</f>
        <v/>
      </c>
    </row>
    <row r="127">
      <c r="A127" s="271" t="n"/>
      <c r="B127" s="271" t="n"/>
      <c r="C127" s="271" t="n"/>
      <c r="D127" s="271" t="n"/>
      <c r="E127" s="271" t="n"/>
      <c r="F127" s="275">
        <f>IF(OR($A127="",$B127=""),"",$A127&amp;" » "&amp;$B127)</f>
        <v/>
      </c>
    </row>
    <row r="128">
      <c r="A128" s="271" t="n"/>
      <c r="B128" s="271" t="n"/>
      <c r="C128" s="271" t="n"/>
      <c r="D128" s="271" t="n"/>
      <c r="E128" s="271" t="n"/>
      <c r="F128" s="275">
        <f>IF(OR($A128="",$B128=""),"",$A128&amp;" » "&amp;$B128)</f>
        <v/>
      </c>
    </row>
    <row r="129">
      <c r="A129" s="271" t="n"/>
      <c r="B129" s="271" t="n"/>
      <c r="C129" s="271" t="n"/>
      <c r="D129" s="271" t="n"/>
      <c r="E129" s="271" t="n"/>
      <c r="F129" s="275">
        <f>IF(OR($A129="",$B129=""),"",$A129&amp;" » "&amp;$B129)</f>
        <v/>
      </c>
    </row>
    <row r="130">
      <c r="A130" s="271" t="n"/>
      <c r="B130" s="271" t="n"/>
      <c r="C130" s="271" t="n"/>
      <c r="D130" s="271" t="n"/>
      <c r="E130" s="271" t="n"/>
      <c r="F130" s="275">
        <f>IF(OR($A130="",$B130=""),"",$A130&amp;" » "&amp;$B130)</f>
        <v/>
      </c>
    </row>
    <row r="131">
      <c r="A131" s="271" t="n"/>
      <c r="B131" s="271" t="n"/>
      <c r="C131" s="271" t="n"/>
      <c r="D131" s="271" t="n"/>
      <c r="E131" s="271" t="n"/>
      <c r="F131" s="275">
        <f>IF(OR($A131="",$B131=""),"",$A131&amp;" » "&amp;$B131)</f>
        <v/>
      </c>
    </row>
    <row r="132">
      <c r="A132" s="271" t="n"/>
      <c r="B132" s="271" t="n"/>
      <c r="C132" s="271" t="n"/>
      <c r="D132" s="271" t="n"/>
      <c r="E132" s="271" t="n"/>
      <c r="F132" s="275">
        <f>IF(OR($A132="",$B132=""),"",$A132&amp;" » "&amp;$B132)</f>
        <v/>
      </c>
    </row>
    <row r="133">
      <c r="A133" s="271" t="n"/>
      <c r="B133" s="271" t="n"/>
      <c r="C133" s="271" t="n"/>
      <c r="D133" s="271" t="n"/>
      <c r="E133" s="271" t="n"/>
      <c r="F133" s="275">
        <f>IF(OR($A133="",$B133=""),"",$A133&amp;" » "&amp;$B133)</f>
        <v/>
      </c>
    </row>
    <row r="134">
      <c r="A134" s="271" t="n"/>
      <c r="B134" s="271" t="n"/>
      <c r="C134" s="271" t="n"/>
      <c r="D134" s="271" t="n"/>
      <c r="E134" s="271" t="n"/>
      <c r="F134" s="275">
        <f>IF(OR($A134="",$B134=""),"",$A134&amp;" » "&amp;$B134)</f>
        <v/>
      </c>
    </row>
    <row r="135">
      <c r="A135" s="271" t="n"/>
      <c r="B135" s="271" t="n"/>
      <c r="C135" s="271" t="n"/>
      <c r="D135" s="271" t="n"/>
      <c r="E135" s="271" t="n"/>
      <c r="F135" s="275">
        <f>IF(OR($A135="",$B135=""),"",$A135&amp;" » "&amp;$B135)</f>
        <v/>
      </c>
    </row>
    <row r="136">
      <c r="A136" s="271" t="n"/>
      <c r="B136" s="271" t="n"/>
      <c r="C136" s="271" t="n"/>
      <c r="D136" s="271" t="n"/>
      <c r="E136" s="271" t="n"/>
      <c r="F136" s="275">
        <f>IF(OR($A136="",$B136=""),"",$A136&amp;" » "&amp;$B136)</f>
        <v/>
      </c>
    </row>
    <row r="137">
      <c r="A137" s="271" t="n"/>
      <c r="B137" s="271" t="n"/>
      <c r="C137" s="271" t="n"/>
      <c r="D137" s="271" t="n"/>
      <c r="E137" s="271" t="n"/>
      <c r="F137" s="275">
        <f>IF(OR($A137="",$B137=""),"",$A137&amp;" » "&amp;$B137)</f>
        <v/>
      </c>
    </row>
    <row r="138">
      <c r="A138" s="271" t="n"/>
      <c r="B138" s="271" t="n"/>
      <c r="C138" s="271" t="n"/>
      <c r="D138" s="271" t="n"/>
      <c r="E138" s="271" t="n"/>
      <c r="F138" s="275">
        <f>IF(OR($A138="",$B138=""),"",$A138&amp;" » "&amp;$B138)</f>
        <v/>
      </c>
    </row>
    <row r="139">
      <c r="A139" s="271" t="n"/>
      <c r="B139" s="271" t="n"/>
      <c r="C139" s="271" t="n"/>
      <c r="D139" s="271" t="n"/>
      <c r="E139" s="271" t="n"/>
      <c r="F139" s="275">
        <f>IF(OR($A139="",$B139=""),"",$A139&amp;" » "&amp;$B139)</f>
        <v/>
      </c>
    </row>
    <row r="140">
      <c r="A140" s="271" t="n"/>
      <c r="B140" s="271" t="n"/>
      <c r="C140" s="271" t="n"/>
      <c r="D140" s="271" t="n"/>
      <c r="E140" s="271" t="n"/>
      <c r="F140" s="275">
        <f>IF(OR($A140="",$B140=""),"",$A140&amp;" » "&amp;$B140)</f>
        <v/>
      </c>
    </row>
    <row r="141">
      <c r="A141" s="271" t="n"/>
      <c r="B141" s="271" t="n"/>
      <c r="C141" s="271" t="n"/>
      <c r="D141" s="271" t="n"/>
      <c r="E141" s="271" t="n"/>
      <c r="F141" s="275">
        <f>IF(OR($A141="",$B141=""),"",$A141&amp;" » "&amp;$B141)</f>
        <v/>
      </c>
    </row>
    <row r="142">
      <c r="A142" s="271" t="n"/>
      <c r="B142" s="271" t="n"/>
      <c r="C142" s="271" t="n"/>
      <c r="D142" s="271" t="n"/>
      <c r="E142" s="271" t="n"/>
      <c r="F142" s="275">
        <f>IF(OR($A142="",$B142=""),"",$A142&amp;" » "&amp;$B142)</f>
        <v/>
      </c>
    </row>
    <row r="143">
      <c r="A143" s="271" t="n"/>
      <c r="B143" s="271" t="n"/>
      <c r="C143" s="271" t="n"/>
      <c r="D143" s="271" t="n"/>
      <c r="E143" s="271" t="n"/>
      <c r="F143" s="275">
        <f>IF(OR($A143="",$B143=""),"",$A143&amp;" » "&amp;$B143)</f>
        <v/>
      </c>
    </row>
    <row r="144">
      <c r="A144" s="271" t="n"/>
      <c r="B144" s="271" t="n"/>
      <c r="C144" s="271" t="n"/>
      <c r="D144" s="271" t="n"/>
      <c r="E144" s="271" t="n"/>
      <c r="F144" s="275">
        <f>IF(OR($A144="",$B144=""),"",$A144&amp;" » "&amp;$B144)</f>
        <v/>
      </c>
    </row>
    <row r="145">
      <c r="A145" s="271" t="n"/>
      <c r="B145" s="271" t="n"/>
      <c r="C145" s="271" t="n"/>
      <c r="D145" s="271" t="n"/>
      <c r="E145" s="271" t="n"/>
      <c r="F145" s="275">
        <f>IF(OR($A145="",$B145=""),"",$A145&amp;" » "&amp;$B145)</f>
        <v/>
      </c>
    </row>
    <row r="146">
      <c r="A146" s="271" t="n"/>
      <c r="B146" s="271" t="n"/>
      <c r="C146" s="271" t="n"/>
      <c r="D146" s="271" t="n"/>
      <c r="E146" s="271" t="n"/>
      <c r="F146" s="275">
        <f>IF(OR($A146="",$B146=""),"",$A146&amp;" » "&amp;$B146)</f>
        <v/>
      </c>
    </row>
    <row r="147">
      <c r="A147" s="271" t="n"/>
      <c r="B147" s="271" t="n"/>
      <c r="C147" s="271" t="n"/>
      <c r="D147" s="271" t="n"/>
      <c r="E147" s="271" t="n"/>
      <c r="F147" s="275">
        <f>IF(OR($A147="",$B147=""),"",$A147&amp;" » "&amp;$B147)</f>
        <v/>
      </c>
    </row>
    <row r="148">
      <c r="A148" s="271" t="n"/>
      <c r="B148" s="271" t="n"/>
      <c r="C148" s="271" t="n"/>
      <c r="D148" s="271" t="n"/>
      <c r="E148" s="271" t="n"/>
      <c r="F148" s="275">
        <f>IF(OR($A148="",$B148=""),"",$A148&amp;" » "&amp;$B148)</f>
        <v/>
      </c>
    </row>
    <row r="149">
      <c r="A149" s="271" t="n"/>
      <c r="B149" s="271" t="n"/>
      <c r="C149" s="271" t="n"/>
      <c r="D149" s="271" t="n"/>
      <c r="E149" s="271" t="n"/>
      <c r="F149" s="275">
        <f>IF(OR($A149="",$B149=""),"",$A149&amp;" » "&amp;$B149)</f>
        <v/>
      </c>
    </row>
    <row r="150">
      <c r="A150" s="271" t="n"/>
      <c r="B150" s="271" t="n"/>
      <c r="C150" s="271" t="n"/>
      <c r="D150" s="271" t="n"/>
      <c r="E150" s="271" t="n"/>
      <c r="F150" s="275">
        <f>IF(OR($A150="",$B150=""),"",$A150&amp;" » "&amp;$B150)</f>
        <v/>
      </c>
    </row>
    <row r="151">
      <c r="A151" s="271" t="n"/>
      <c r="B151" s="271" t="n"/>
      <c r="C151" s="271" t="n"/>
      <c r="D151" s="271" t="n"/>
      <c r="E151" s="271" t="n"/>
      <c r="F151" s="275">
        <f>IF(OR($A151="",$B151=""),"",$A151&amp;" » "&amp;$B151)</f>
        <v/>
      </c>
    </row>
    <row r="152">
      <c r="A152" s="271" t="n"/>
      <c r="B152" s="271" t="n"/>
      <c r="C152" s="271" t="n"/>
      <c r="D152" s="271" t="n"/>
      <c r="E152" s="271" t="n"/>
      <c r="F152" s="275">
        <f>IF(OR($A152="",$B152=""),"",$A152&amp;" » "&amp;$B152)</f>
        <v/>
      </c>
    </row>
    <row r="153">
      <c r="A153" s="271" t="n"/>
      <c r="B153" s="271" t="n"/>
      <c r="C153" s="271" t="n"/>
      <c r="D153" s="271" t="n"/>
      <c r="E153" s="271" t="n"/>
      <c r="F153" s="275">
        <f>IF(OR($A153="",$B153=""),"",$A153&amp;" » "&amp;$B153)</f>
        <v/>
      </c>
    </row>
    <row r="154">
      <c r="A154" s="271" t="n"/>
      <c r="B154" s="271" t="n"/>
      <c r="C154" s="271" t="n"/>
      <c r="D154" s="271" t="n"/>
      <c r="E154" s="271" t="n"/>
      <c r="F154" s="275">
        <f>IF(OR($A154="",$B154=""),"",$A154&amp;" » "&amp;$B154)</f>
        <v/>
      </c>
    </row>
    <row r="155">
      <c r="A155" s="271" t="n"/>
      <c r="B155" s="271" t="n"/>
      <c r="C155" s="271" t="n"/>
      <c r="D155" s="271" t="n"/>
      <c r="E155" s="271" t="n"/>
      <c r="F155" s="275">
        <f>IF(OR($A155="",$B155=""),"",$A155&amp;" » "&amp;$B155)</f>
        <v/>
      </c>
    </row>
    <row r="156">
      <c r="A156" s="271" t="n"/>
      <c r="B156" s="271" t="n"/>
      <c r="C156" s="271" t="n"/>
      <c r="D156" s="271" t="n"/>
      <c r="E156" s="271" t="n"/>
      <c r="F156" s="275">
        <f>IF(OR($A156="",$B156=""),"",$A156&amp;" » "&amp;$B156)</f>
        <v/>
      </c>
    </row>
    <row r="157">
      <c r="A157" s="271" t="n"/>
      <c r="B157" s="271" t="n"/>
      <c r="C157" s="271" t="n"/>
      <c r="D157" s="271" t="n"/>
      <c r="E157" s="271" t="n"/>
      <c r="F157" s="275">
        <f>IF(OR($A157="",$B157=""),"",$A157&amp;" » "&amp;$B157)</f>
        <v/>
      </c>
    </row>
    <row r="158">
      <c r="A158" s="271" t="n"/>
      <c r="B158" s="271" t="n"/>
      <c r="C158" s="271" t="n"/>
      <c r="D158" s="271" t="n"/>
      <c r="E158" s="271" t="n"/>
      <c r="F158" s="275">
        <f>IF(OR($A158="",$B158=""),"",$A158&amp;" » "&amp;$B158)</f>
        <v/>
      </c>
    </row>
    <row r="159">
      <c r="A159" s="271" t="n"/>
      <c r="B159" s="271" t="n"/>
      <c r="C159" s="271" t="n"/>
      <c r="D159" s="271" t="n"/>
      <c r="E159" s="271" t="n"/>
      <c r="F159" s="275">
        <f>IF(OR($A159="",$B159=""),"",$A159&amp;" » "&amp;$B159)</f>
        <v/>
      </c>
    </row>
    <row r="160">
      <c r="A160" s="271" t="n"/>
      <c r="B160" s="271" t="n"/>
      <c r="C160" s="271" t="n"/>
      <c r="D160" s="271" t="n"/>
      <c r="E160" s="271" t="n"/>
      <c r="F160" s="275">
        <f>IF(OR($A160="",$B160=""),"",$A160&amp;" » "&amp;$B160)</f>
        <v/>
      </c>
    </row>
    <row r="161">
      <c r="A161" s="271" t="n"/>
      <c r="B161" s="271" t="n"/>
      <c r="C161" s="271" t="n"/>
      <c r="D161" s="271" t="n"/>
      <c r="E161" s="271" t="n"/>
      <c r="F161" s="275">
        <f>IF(OR($A161="",$B161=""),"",$A161&amp;" » "&amp;$B161)</f>
        <v/>
      </c>
    </row>
    <row r="162">
      <c r="A162" s="271" t="n"/>
      <c r="B162" s="271" t="n"/>
      <c r="C162" s="271" t="n"/>
      <c r="D162" s="271" t="n"/>
      <c r="E162" s="271" t="n"/>
      <c r="F162" s="275">
        <f>IF(OR($A162="",$B162=""),"",$A162&amp;" » "&amp;$B162)</f>
        <v/>
      </c>
    </row>
    <row r="163">
      <c r="A163" s="271" t="n"/>
      <c r="B163" s="271" t="n"/>
      <c r="C163" s="271" t="n"/>
      <c r="D163" s="271" t="n"/>
      <c r="E163" s="271" t="n"/>
      <c r="F163" s="275">
        <f>IF(OR($A163="",$B163=""),"",$A163&amp;" » "&amp;$B163)</f>
        <v/>
      </c>
    </row>
    <row r="164">
      <c r="A164" s="271" t="n"/>
      <c r="B164" s="271" t="n"/>
      <c r="C164" s="271" t="n"/>
      <c r="D164" s="271" t="n"/>
      <c r="E164" s="271" t="n"/>
      <c r="F164" s="275">
        <f>IF(OR($A164="",$B164=""),"",$A164&amp;" » "&amp;$B164)</f>
        <v/>
      </c>
    </row>
    <row r="165">
      <c r="A165" s="271" t="n"/>
      <c r="B165" s="271" t="n"/>
      <c r="C165" s="271" t="n"/>
      <c r="D165" s="271" t="n"/>
      <c r="E165" s="271" t="n"/>
      <c r="F165" s="275">
        <f>IF(OR($A165="",$B165=""),"",$A165&amp;" » "&amp;$B165)</f>
        <v/>
      </c>
    </row>
    <row r="166">
      <c r="A166" s="271" t="n"/>
      <c r="B166" s="271" t="n"/>
      <c r="C166" s="271" t="n"/>
      <c r="D166" s="271" t="n"/>
      <c r="E166" s="271" t="n"/>
      <c r="F166" s="275">
        <f>IF(OR($A166="",$B166=""),"",$A166&amp;" » "&amp;$B166)</f>
        <v/>
      </c>
    </row>
    <row r="167">
      <c r="A167" s="271" t="n"/>
      <c r="B167" s="271" t="n"/>
      <c r="C167" s="271" t="n"/>
      <c r="D167" s="271" t="n"/>
      <c r="E167" s="271" t="n"/>
      <c r="F167" s="275">
        <f>IF(OR($A167="",$B167=""),"",$A167&amp;" » "&amp;$B167)</f>
        <v/>
      </c>
    </row>
    <row r="168">
      <c r="A168" s="271" t="n"/>
      <c r="B168" s="271" t="n"/>
      <c r="C168" s="271" t="n"/>
      <c r="D168" s="271" t="n"/>
      <c r="E168" s="271" t="n"/>
      <c r="F168" s="275">
        <f>IF(OR($A168="",$B168=""),"",$A168&amp;" » "&amp;$B168)</f>
        <v/>
      </c>
    </row>
    <row r="169">
      <c r="A169" s="271" t="n"/>
      <c r="B169" s="271" t="n"/>
      <c r="C169" s="271" t="n"/>
      <c r="D169" s="271" t="n"/>
      <c r="E169" s="271" t="n"/>
      <c r="F169" s="275">
        <f>IF(OR($A169="",$B169=""),"",$A169&amp;" » "&amp;$B169)</f>
        <v/>
      </c>
    </row>
    <row r="170">
      <c r="A170" s="271" t="n"/>
      <c r="B170" s="271" t="n"/>
      <c r="C170" s="271" t="n"/>
      <c r="D170" s="271" t="n"/>
      <c r="E170" s="271" t="n"/>
      <c r="F170" s="275">
        <f>IF(OR($A170="",$B170=""),"",$A170&amp;" » "&amp;$B170)</f>
        <v/>
      </c>
    </row>
    <row r="171">
      <c r="A171" s="271" t="n"/>
      <c r="B171" s="271" t="n"/>
      <c r="C171" s="271" t="n"/>
      <c r="D171" s="271" t="n"/>
      <c r="E171" s="271" t="n"/>
      <c r="F171" s="275">
        <f>IF(OR($A171="",$B171=""),"",$A171&amp;" » "&amp;$B171)</f>
        <v/>
      </c>
    </row>
    <row r="172">
      <c r="A172" s="271" t="n"/>
      <c r="B172" s="271" t="n"/>
      <c r="C172" s="271" t="n"/>
      <c r="D172" s="271" t="n"/>
      <c r="E172" s="271" t="n"/>
      <c r="F172" s="275">
        <f>IF(OR($A172="",$B172=""),"",$A172&amp;" » "&amp;$B172)</f>
        <v/>
      </c>
    </row>
    <row r="173">
      <c r="A173" s="271" t="n"/>
      <c r="B173" s="271" t="n"/>
      <c r="C173" s="271" t="n"/>
      <c r="D173" s="271" t="n"/>
      <c r="E173" s="271" t="n"/>
      <c r="F173" s="275">
        <f>IF(OR($A173="",$B173=""),"",$A173&amp;" » "&amp;$B173)</f>
        <v/>
      </c>
    </row>
    <row r="174">
      <c r="A174" s="271" t="n"/>
      <c r="B174" s="271" t="n"/>
      <c r="C174" s="271" t="n"/>
      <c r="D174" s="271" t="n"/>
      <c r="E174" s="271" t="n"/>
      <c r="F174" s="275">
        <f>IF(OR($A174="",$B174=""),"",$A174&amp;" » "&amp;$B174)</f>
        <v/>
      </c>
    </row>
    <row r="175">
      <c r="A175" s="271" t="n"/>
      <c r="B175" s="271" t="n"/>
      <c r="C175" s="271" t="n"/>
      <c r="D175" s="271" t="n"/>
      <c r="E175" s="271" t="n"/>
      <c r="F175" s="275">
        <f>IF(OR($A175="",$B175=""),"",$A175&amp;" » "&amp;$B175)</f>
        <v/>
      </c>
    </row>
    <row r="176">
      <c r="A176" s="271" t="n"/>
      <c r="B176" s="271" t="n"/>
      <c r="C176" s="271" t="n"/>
      <c r="D176" s="271" t="n"/>
      <c r="E176" s="271" t="n"/>
      <c r="F176" s="275">
        <f>IF(OR($A176="",$B176=""),"",$A176&amp;" » "&amp;$B176)</f>
        <v/>
      </c>
    </row>
    <row r="177">
      <c r="A177" s="271" t="n"/>
      <c r="B177" s="271" t="n"/>
      <c r="C177" s="271" t="n"/>
      <c r="D177" s="271" t="n"/>
      <c r="E177" s="271" t="n"/>
      <c r="F177" s="275">
        <f>IF(OR($A177="",$B177=""),"",$A177&amp;" » "&amp;$B177)</f>
        <v/>
      </c>
    </row>
    <row r="178">
      <c r="A178" s="271" t="n"/>
      <c r="B178" s="271" t="n"/>
      <c r="C178" s="271" t="n"/>
      <c r="D178" s="271" t="n"/>
      <c r="E178" s="271" t="n"/>
      <c r="F178" s="275">
        <f>IF(OR($A178="",$B178=""),"",$A178&amp;" » "&amp;$B178)</f>
        <v/>
      </c>
    </row>
    <row r="179">
      <c r="A179" s="271" t="n"/>
      <c r="B179" s="271" t="n"/>
      <c r="C179" s="271" t="n"/>
      <c r="D179" s="271" t="n"/>
      <c r="E179" s="271" t="n"/>
      <c r="F179" s="275">
        <f>IF(OR($A179="",$B179=""),"",$A179&amp;" » "&amp;$B179)</f>
        <v/>
      </c>
    </row>
    <row r="180">
      <c r="A180" s="271" t="n"/>
      <c r="B180" s="271" t="n"/>
      <c r="C180" s="271" t="n"/>
      <c r="D180" s="271" t="n"/>
      <c r="E180" s="271" t="n"/>
      <c r="F180" s="275">
        <f>IF(OR($A180="",$B180=""),"",$A180&amp;" » "&amp;$B180)</f>
        <v/>
      </c>
    </row>
    <row r="181">
      <c r="A181" s="271" t="n"/>
      <c r="B181" s="271" t="n"/>
      <c r="C181" s="271" t="n"/>
      <c r="D181" s="271" t="n"/>
      <c r="E181" s="271" t="n"/>
      <c r="F181" s="275">
        <f>IF(OR($A181="",$B181=""),"",$A181&amp;" » "&amp;$B181)</f>
        <v/>
      </c>
    </row>
    <row r="182">
      <c r="A182" s="271" t="n"/>
      <c r="B182" s="271" t="n"/>
      <c r="C182" s="271" t="n"/>
      <c r="D182" s="271" t="n"/>
      <c r="E182" s="271" t="n"/>
      <c r="F182" s="275">
        <f>IF(OR($A182="",$B182=""),"",$A182&amp;" » "&amp;$B182)</f>
        <v/>
      </c>
    </row>
    <row r="183">
      <c r="A183" s="271" t="n"/>
      <c r="B183" s="271" t="n"/>
      <c r="C183" s="271" t="n"/>
      <c r="D183" s="271" t="n"/>
      <c r="E183" s="271" t="n"/>
      <c r="F183" s="275">
        <f>IF(OR($A183="",$B183=""),"",$A183&amp;" » "&amp;$B183)</f>
        <v/>
      </c>
    </row>
    <row r="184">
      <c r="A184" s="271" t="n"/>
      <c r="B184" s="271" t="n"/>
      <c r="C184" s="271" t="n"/>
      <c r="D184" s="271" t="n"/>
      <c r="E184" s="271" t="n"/>
      <c r="F184" s="275">
        <f>IF(OR($A184="",$B184=""),"",$A184&amp;" » "&amp;$B184)</f>
        <v/>
      </c>
    </row>
    <row r="185">
      <c r="A185" s="271" t="n"/>
      <c r="B185" s="271" t="n"/>
      <c r="C185" s="271" t="n"/>
      <c r="D185" s="271" t="n"/>
      <c r="E185" s="271" t="n"/>
      <c r="F185" s="275">
        <f>IF(OR($A185="",$B185=""),"",$A185&amp;" » "&amp;$B185)</f>
        <v/>
      </c>
    </row>
    <row r="186">
      <c r="A186" s="271" t="n"/>
      <c r="B186" s="271" t="n"/>
      <c r="C186" s="271" t="n"/>
      <c r="D186" s="271" t="n"/>
      <c r="E186" s="271" t="n"/>
      <c r="F186" s="275">
        <f>IF(OR($A186="",$B186=""),"",$A186&amp;" » "&amp;$B186)</f>
        <v/>
      </c>
    </row>
    <row r="187">
      <c r="A187" s="271" t="n"/>
      <c r="B187" s="271" t="n"/>
      <c r="C187" s="271" t="n"/>
      <c r="D187" s="271" t="n"/>
      <c r="E187" s="271" t="n"/>
      <c r="F187" s="275">
        <f>IF(OR($A187="",$B187=""),"",$A187&amp;" » "&amp;$B187)</f>
        <v/>
      </c>
    </row>
    <row r="188">
      <c r="A188" s="271" t="n"/>
      <c r="B188" s="271" t="n"/>
      <c r="C188" s="271" t="n"/>
      <c r="D188" s="271" t="n"/>
      <c r="E188" s="271" t="n"/>
      <c r="F188" s="275">
        <f>IF(OR($A188="",$B188=""),"",$A188&amp;" » "&amp;$B188)</f>
        <v/>
      </c>
    </row>
    <row r="189">
      <c r="A189" s="271" t="n"/>
      <c r="B189" s="271" t="n"/>
      <c r="C189" s="271" t="n"/>
      <c r="D189" s="271" t="n"/>
      <c r="E189" s="271" t="n"/>
      <c r="F189" s="275">
        <f>IF(OR($A189="",$B189=""),"",$A189&amp;" » "&amp;$B189)</f>
        <v/>
      </c>
    </row>
    <row r="190">
      <c r="A190" s="271" t="n"/>
      <c r="B190" s="271" t="n"/>
      <c r="C190" s="271" t="n"/>
      <c r="D190" s="271" t="n"/>
      <c r="E190" s="271" t="n"/>
      <c r="F190" s="275">
        <f>IF(OR($A190="",$B190=""),"",$A190&amp;" » "&amp;$B190)</f>
        <v/>
      </c>
    </row>
    <row r="191">
      <c r="A191" s="271" t="n"/>
      <c r="B191" s="271" t="n"/>
      <c r="C191" s="271" t="n"/>
      <c r="D191" s="271" t="n"/>
      <c r="E191" s="271" t="n"/>
      <c r="F191" s="275">
        <f>IF(OR($A191="",$B191=""),"",$A191&amp;" » "&amp;$B191)</f>
        <v/>
      </c>
    </row>
    <row r="192">
      <c r="A192" s="271" t="n"/>
      <c r="B192" s="271" t="n"/>
      <c r="C192" s="271" t="n"/>
      <c r="D192" s="271" t="n"/>
      <c r="E192" s="271" t="n"/>
      <c r="F192" s="275">
        <f>IF(OR($A192="",$B192=""),"",$A192&amp;" » "&amp;$B192)</f>
        <v/>
      </c>
    </row>
    <row r="193">
      <c r="A193" s="271" t="n"/>
      <c r="B193" s="271" t="n"/>
      <c r="C193" s="271" t="n"/>
      <c r="D193" s="271" t="n"/>
      <c r="E193" s="271" t="n"/>
      <c r="F193" s="275">
        <f>IF(OR($A193="",$B193=""),"",$A193&amp;" » "&amp;$B193)</f>
        <v/>
      </c>
    </row>
    <row r="194">
      <c r="A194" s="271" t="n"/>
      <c r="B194" s="271" t="n"/>
      <c r="C194" s="271" t="n"/>
      <c r="D194" s="271" t="n"/>
      <c r="E194" s="271" t="n"/>
      <c r="F194" s="275">
        <f>IF(OR($A194="",$B194=""),"",$A194&amp;" » "&amp;$B194)</f>
        <v/>
      </c>
    </row>
    <row r="195">
      <c r="A195" s="271" t="n"/>
      <c r="B195" s="271" t="n"/>
      <c r="C195" s="271" t="n"/>
      <c r="D195" s="271" t="n"/>
      <c r="E195" s="271" t="n"/>
      <c r="F195" s="275">
        <f>IF(OR($A195="",$B195=""),"",$A195&amp;" » "&amp;$B195)</f>
        <v/>
      </c>
    </row>
    <row r="196">
      <c r="A196" s="271" t="n"/>
      <c r="B196" s="271" t="n"/>
      <c r="C196" s="271" t="n"/>
      <c r="D196" s="271" t="n"/>
      <c r="E196" s="271" t="n"/>
      <c r="F196" s="275">
        <f>IF(OR($A196="",$B196=""),"",$A196&amp;" » "&amp;$B196)</f>
        <v/>
      </c>
    </row>
    <row r="197">
      <c r="A197" s="271" t="n"/>
      <c r="B197" s="271" t="n"/>
      <c r="C197" s="271" t="n"/>
      <c r="D197" s="271" t="n"/>
      <c r="E197" s="271" t="n"/>
      <c r="F197" s="275">
        <f>IF(OR($A197="",$B197=""),"",$A197&amp;" » "&amp;$B197)</f>
        <v/>
      </c>
    </row>
    <row r="198">
      <c r="A198" s="271" t="n"/>
      <c r="B198" s="271" t="n"/>
      <c r="C198" s="271" t="n"/>
      <c r="D198" s="271" t="n"/>
      <c r="E198" s="271" t="n"/>
      <c r="F198" s="275">
        <f>IF(OR($A198="",$B198=""),"",$A198&amp;" » "&amp;$B198)</f>
        <v/>
      </c>
    </row>
    <row r="199">
      <c r="A199" s="271" t="n"/>
      <c r="B199" s="271" t="n"/>
      <c r="C199" s="271" t="n"/>
      <c r="D199" s="271" t="n"/>
      <c r="E199" s="271" t="n"/>
      <c r="F199" s="275">
        <f>IF(OR($A199="",$B199=""),"",$A199&amp;" » "&amp;$B199)</f>
        <v/>
      </c>
    </row>
    <row r="200">
      <c r="A200" s="271" t="n"/>
      <c r="B200" s="271" t="n"/>
      <c r="C200" s="271" t="n"/>
      <c r="D200" s="271" t="n"/>
      <c r="E200" s="271" t="n"/>
      <c r="F200" s="275">
        <f>IF(OR($A200="",$B200=""),"",$A200&amp;" » "&amp;$B200)</f>
        <v/>
      </c>
    </row>
    <row r="201">
      <c r="A201" s="271" t="n"/>
      <c r="B201" s="271" t="n"/>
      <c r="C201" s="271" t="n"/>
      <c r="D201" s="271" t="n"/>
      <c r="E201" s="271" t="n"/>
      <c r="F201" s="275">
        <f>IF(OR($A201="",$B201=""),"",$A201&amp;" » "&amp;$B201)</f>
        <v/>
      </c>
    </row>
    <row r="202">
      <c r="A202" s="271" t="n"/>
      <c r="B202" s="271" t="n"/>
      <c r="C202" s="271" t="n"/>
      <c r="D202" s="271" t="n"/>
      <c r="E202" s="271" t="n"/>
      <c r="F202" s="275">
        <f>IF(OR($A202="",$B202=""),"",$A202&amp;" » "&amp;$B202)</f>
        <v/>
      </c>
    </row>
    <row r="203">
      <c r="A203" s="271" t="n"/>
      <c r="B203" s="271" t="n"/>
      <c r="C203" s="271" t="n"/>
      <c r="D203" s="271" t="n"/>
      <c r="E203" s="271" t="n"/>
      <c r="F203" s="275">
        <f>IF(OR($A203="",$B203=""),"",$A203&amp;" » "&amp;$B203)</f>
        <v/>
      </c>
    </row>
    <row r="204">
      <c r="A204" s="271" t="n"/>
      <c r="B204" s="271" t="n"/>
      <c r="C204" s="271" t="n"/>
      <c r="D204" s="271" t="n"/>
      <c r="E204" s="271" t="n"/>
      <c r="F204" s="275">
        <f>IF(OR($A204="",$B204=""),"",$A204&amp;" » "&amp;$B204)</f>
        <v/>
      </c>
    </row>
    <row r="205">
      <c r="A205" s="271" t="n"/>
      <c r="B205" s="271" t="n"/>
      <c r="C205" s="271" t="n"/>
      <c r="D205" s="271" t="n"/>
      <c r="E205" s="271" t="n"/>
      <c r="F205" s="275">
        <f>IF(OR($A205="",$B205=""),"",$A205&amp;" » "&amp;$B205)</f>
        <v/>
      </c>
    </row>
    <row r="206">
      <c r="A206" s="271" t="n"/>
      <c r="B206" s="271" t="n"/>
      <c r="C206" s="271" t="n"/>
      <c r="D206" s="271" t="n"/>
      <c r="E206" s="271" t="n"/>
      <c r="F206" s="275">
        <f>IF(OR($A206="",$B206=""),"",$A206&amp;" » "&amp;$B206)</f>
        <v/>
      </c>
    </row>
    <row r="207">
      <c r="A207" s="271" t="n"/>
      <c r="B207" s="271" t="n"/>
      <c r="C207" s="271" t="n"/>
      <c r="D207" s="271" t="n"/>
      <c r="E207" s="271" t="n"/>
      <c r="F207" s="275">
        <f>IF(OR($A207="",$B207=""),"",$A207&amp;" » "&amp;$B207)</f>
        <v/>
      </c>
    </row>
    <row r="208">
      <c r="A208" s="271" t="n"/>
      <c r="B208" s="271" t="n"/>
      <c r="C208" s="271" t="n"/>
      <c r="D208" s="271" t="n"/>
      <c r="E208" s="271" t="n"/>
      <c r="F208" s="275">
        <f>IF(OR($A208="",$B208=""),"",$A208&amp;" » "&amp;$B208)</f>
        <v/>
      </c>
    </row>
    <row r="209">
      <c r="A209" s="271" t="n"/>
      <c r="B209" s="271" t="n"/>
      <c r="C209" s="271" t="n"/>
      <c r="D209" s="271" t="n"/>
      <c r="E209" s="271" t="n"/>
      <c r="F209" s="275">
        <f>IF(OR($A209="",$B209=""),"",$A209&amp;" » "&amp;$B209)</f>
        <v/>
      </c>
    </row>
    <row r="210">
      <c r="A210" s="271" t="n"/>
      <c r="B210" s="271" t="n"/>
      <c r="C210" s="271" t="n"/>
      <c r="D210" s="271" t="n"/>
      <c r="E210" s="271" t="n"/>
      <c r="F210" s="275">
        <f>IF(OR($A210="",$B210=""),"",$A210&amp;" » "&amp;$B210)</f>
        <v/>
      </c>
    </row>
    <row r="211">
      <c r="A211" s="271" t="n"/>
      <c r="B211" s="271" t="n"/>
      <c r="C211" s="271" t="n"/>
      <c r="D211" s="271" t="n"/>
      <c r="E211" s="271" t="n"/>
      <c r="F211" s="275">
        <f>IF(OR($A211="",$B211=""),"",$A211&amp;" » "&amp;$B211)</f>
        <v/>
      </c>
    </row>
    <row r="212">
      <c r="A212" s="271" t="n"/>
      <c r="B212" s="271" t="n"/>
      <c r="C212" s="271" t="n"/>
      <c r="D212" s="271" t="n"/>
      <c r="E212" s="271" t="n"/>
      <c r="F212" s="275">
        <f>IF(OR($A212="",$B212=""),"",$A212&amp;" » "&amp;$B212)</f>
        <v/>
      </c>
    </row>
    <row r="213">
      <c r="A213" s="271" t="n"/>
      <c r="B213" s="271" t="n"/>
      <c r="C213" s="271" t="n"/>
      <c r="D213" s="271" t="n"/>
      <c r="E213" s="271" t="n"/>
      <c r="F213" s="275">
        <f>IF(OR($A213="",$B213=""),"",$A213&amp;" » "&amp;$B213)</f>
        <v/>
      </c>
    </row>
    <row r="214">
      <c r="A214" s="271" t="n"/>
      <c r="B214" s="271" t="n"/>
      <c r="C214" s="271" t="n"/>
      <c r="D214" s="271" t="n"/>
      <c r="E214" s="271" t="n"/>
      <c r="F214" s="275">
        <f>IF(OR($A214="",$B214=""),"",$A214&amp;" » "&amp;$B214)</f>
        <v/>
      </c>
    </row>
    <row r="215">
      <c r="A215" s="271" t="n"/>
      <c r="B215" s="271" t="n"/>
      <c r="C215" s="271" t="n"/>
      <c r="D215" s="271" t="n"/>
      <c r="E215" s="271" t="n"/>
      <c r="F215" s="275">
        <f>IF(OR($A215="",$B215=""),"",$A215&amp;" » "&amp;$B215)</f>
        <v/>
      </c>
    </row>
    <row r="216">
      <c r="A216" s="271" t="n"/>
      <c r="B216" s="271" t="n"/>
      <c r="C216" s="271" t="n"/>
      <c r="D216" s="271" t="n"/>
      <c r="E216" s="271" t="n"/>
      <c r="F216" s="275">
        <f>IF(OR($A216="",$B216=""),"",$A216&amp;" » "&amp;$B216)</f>
        <v/>
      </c>
    </row>
    <row r="217">
      <c r="A217" s="271" t="n"/>
      <c r="B217" s="271" t="n"/>
      <c r="C217" s="271" t="n"/>
      <c r="D217" s="271" t="n"/>
      <c r="E217" s="271" t="n"/>
      <c r="F217" s="275">
        <f>IF(OR($A217="",$B217=""),"",$A217&amp;" » "&amp;$B217)</f>
        <v/>
      </c>
    </row>
    <row r="218">
      <c r="A218" s="271" t="n"/>
      <c r="B218" s="271" t="n"/>
      <c r="C218" s="271" t="n"/>
      <c r="D218" s="271" t="n"/>
      <c r="E218" s="271" t="n"/>
      <c r="F218" s="275">
        <f>IF(OR($A218="",$B218=""),"",$A218&amp;" » "&amp;$B218)</f>
        <v/>
      </c>
    </row>
    <row r="219">
      <c r="A219" s="271" t="n"/>
      <c r="B219" s="271" t="n"/>
      <c r="C219" s="271" t="n"/>
      <c r="D219" s="271" t="n"/>
      <c r="E219" s="271" t="n"/>
      <c r="F219" s="275">
        <f>IF(OR($A219="",$B219=""),"",$A219&amp;" » "&amp;$B219)</f>
        <v/>
      </c>
    </row>
    <row r="220">
      <c r="A220" s="271" t="n"/>
      <c r="B220" s="271" t="n"/>
      <c r="C220" s="271" t="n"/>
      <c r="D220" s="271" t="n"/>
      <c r="E220" s="271" t="n"/>
      <c r="F220" s="275">
        <f>IF(OR($A220="",$B220=""),"",$A220&amp;" » "&amp;$B220)</f>
        <v/>
      </c>
    </row>
    <row r="221">
      <c r="A221" s="271" t="n"/>
      <c r="B221" s="271" t="n"/>
      <c r="C221" s="271" t="n"/>
      <c r="D221" s="271" t="n"/>
      <c r="E221" s="271" t="n"/>
      <c r="F221" s="275">
        <f>IF(OR($A221="",$B221=""),"",$A221&amp;" » "&amp;$B221)</f>
        <v/>
      </c>
    </row>
    <row r="222">
      <c r="A222" s="271" t="n"/>
      <c r="B222" s="271" t="n"/>
      <c r="C222" s="271" t="n"/>
      <c r="D222" s="271" t="n"/>
      <c r="E222" s="271" t="n"/>
      <c r="F222" s="275">
        <f>IF(OR($A222="",$B222=""),"",$A222&amp;" » "&amp;$B222)</f>
        <v/>
      </c>
    </row>
    <row r="223">
      <c r="A223" s="271" t="n"/>
      <c r="B223" s="271" t="n"/>
      <c r="C223" s="271" t="n"/>
      <c r="D223" s="271" t="n"/>
      <c r="E223" s="271" t="n"/>
      <c r="F223" s="275">
        <f>IF(OR($A223="",$B223=""),"",$A223&amp;" » "&amp;$B223)</f>
        <v/>
      </c>
    </row>
    <row r="224">
      <c r="A224" s="271" t="n"/>
      <c r="B224" s="271" t="n"/>
      <c r="C224" s="271" t="n"/>
      <c r="D224" s="271" t="n"/>
      <c r="E224" s="271" t="n"/>
      <c r="F224" s="275">
        <f>IF(OR($A224="",$B224=""),"",$A224&amp;" » "&amp;$B224)</f>
        <v/>
      </c>
    </row>
    <row r="225">
      <c r="A225" s="271" t="n"/>
      <c r="B225" s="271" t="n"/>
      <c r="C225" s="271" t="n"/>
      <c r="D225" s="271" t="n"/>
      <c r="E225" s="271" t="n"/>
      <c r="F225" s="275">
        <f>IF(OR($A225="",$B225=""),"",$A225&amp;" » "&amp;$B225)</f>
        <v/>
      </c>
    </row>
    <row r="226">
      <c r="A226" s="271" t="n"/>
      <c r="B226" s="271" t="n"/>
      <c r="C226" s="271" t="n"/>
      <c r="D226" s="271" t="n"/>
      <c r="E226" s="271" t="n"/>
      <c r="F226" s="275">
        <f>IF(OR($A226="",$B226=""),"",$A226&amp;" » "&amp;$B226)</f>
        <v/>
      </c>
    </row>
    <row r="227">
      <c r="A227" s="271" t="n"/>
      <c r="B227" s="271" t="n"/>
      <c r="C227" s="271" t="n"/>
      <c r="D227" s="271" t="n"/>
      <c r="E227" s="271" t="n"/>
      <c r="F227" s="275">
        <f>IF(OR($A227="",$B227=""),"",$A227&amp;" » "&amp;$B227)</f>
        <v/>
      </c>
    </row>
    <row r="228">
      <c r="A228" s="271" t="n"/>
      <c r="B228" s="271" t="n"/>
      <c r="C228" s="271" t="n"/>
      <c r="D228" s="271" t="n"/>
      <c r="E228" s="271" t="n"/>
      <c r="F228" s="275">
        <f>IF(OR($A228="",$B228=""),"",$A228&amp;" » "&amp;$B228)</f>
        <v/>
      </c>
    </row>
    <row r="229">
      <c r="A229" s="271" t="n"/>
      <c r="B229" s="271" t="n"/>
      <c r="C229" s="271" t="n"/>
      <c r="D229" s="271" t="n"/>
      <c r="E229" s="271" t="n"/>
      <c r="F229" s="275">
        <f>IF(OR($A229="",$B229=""),"",$A229&amp;" » "&amp;$B229)</f>
        <v/>
      </c>
    </row>
    <row r="230">
      <c r="A230" s="271" t="n"/>
      <c r="B230" s="271" t="n"/>
      <c r="C230" s="271" t="n"/>
      <c r="D230" s="271" t="n"/>
      <c r="E230" s="271" t="n"/>
      <c r="F230" s="275">
        <f>IF(OR($A230="",$B230=""),"",$A230&amp;" » "&amp;$B230)</f>
        <v/>
      </c>
    </row>
    <row r="231">
      <c r="A231" s="271" t="n"/>
      <c r="B231" s="271" t="n"/>
      <c r="C231" s="271" t="n"/>
      <c r="D231" s="271" t="n"/>
      <c r="E231" s="271" t="n"/>
      <c r="F231" s="275">
        <f>IF(OR($A231="",$B231=""),"",$A231&amp;" » "&amp;$B231)</f>
        <v/>
      </c>
    </row>
    <row r="232">
      <c r="A232" s="271" t="n"/>
      <c r="B232" s="271" t="n"/>
      <c r="C232" s="271" t="n"/>
      <c r="D232" s="271" t="n"/>
      <c r="E232" s="271" t="n"/>
      <c r="F232" s="275">
        <f>IF(OR($A232="",$B232=""),"",$A232&amp;" » "&amp;$B232)</f>
        <v/>
      </c>
    </row>
    <row r="233">
      <c r="A233" s="271" t="n"/>
      <c r="B233" s="271" t="n"/>
      <c r="C233" s="271" t="n"/>
      <c r="D233" s="271" t="n"/>
      <c r="E233" s="271" t="n"/>
      <c r="F233" s="275">
        <f>IF(OR($A233="",$B233=""),"",$A233&amp;" » "&amp;$B233)</f>
        <v/>
      </c>
    </row>
    <row r="234">
      <c r="A234" s="271" t="n"/>
      <c r="B234" s="271" t="n"/>
      <c r="C234" s="271" t="n"/>
      <c r="D234" s="271" t="n"/>
      <c r="E234" s="271" t="n"/>
      <c r="F234" s="275">
        <f>IF(OR($A234="",$B234=""),"",$A234&amp;" » "&amp;$B234)</f>
        <v/>
      </c>
    </row>
    <row r="235">
      <c r="A235" s="271" t="n"/>
      <c r="B235" s="271" t="n"/>
      <c r="C235" s="271" t="n"/>
      <c r="D235" s="271" t="n"/>
      <c r="E235" s="271" t="n"/>
      <c r="F235" s="275">
        <f>IF(OR($A235="",$B235=""),"",$A235&amp;" » "&amp;$B235)</f>
        <v/>
      </c>
    </row>
    <row r="236">
      <c r="A236" s="271" t="n"/>
      <c r="B236" s="271" t="n"/>
      <c r="C236" s="271" t="n"/>
      <c r="D236" s="271" t="n"/>
      <c r="E236" s="271" t="n"/>
      <c r="F236" s="275">
        <f>IF(OR($A236="",$B236=""),"",$A236&amp;" » "&amp;$B236)</f>
        <v/>
      </c>
    </row>
    <row r="237">
      <c r="A237" s="271" t="n"/>
      <c r="B237" s="271" t="n"/>
      <c r="C237" s="271" t="n"/>
      <c r="D237" s="271" t="n"/>
      <c r="E237" s="271" t="n"/>
      <c r="F237" s="275">
        <f>IF(OR($A237="",$B237=""),"",$A237&amp;" » "&amp;$B237)</f>
        <v/>
      </c>
    </row>
    <row r="238">
      <c r="A238" s="271" t="n"/>
      <c r="B238" s="271" t="n"/>
      <c r="C238" s="271" t="n"/>
      <c r="D238" s="271" t="n"/>
      <c r="E238" s="271" t="n"/>
      <c r="F238" s="275">
        <f>IF(OR($A238="",$B238=""),"",$A238&amp;" » "&amp;$B238)</f>
        <v/>
      </c>
    </row>
    <row r="239">
      <c r="A239" s="271" t="n"/>
      <c r="B239" s="271" t="n"/>
      <c r="C239" s="271" t="n"/>
      <c r="D239" s="271" t="n"/>
      <c r="E239" s="271" t="n"/>
      <c r="F239" s="275">
        <f>IF(OR($A239="",$B239=""),"",$A239&amp;" » "&amp;$B239)</f>
        <v/>
      </c>
    </row>
    <row r="240">
      <c r="A240" s="271" t="n"/>
      <c r="B240" s="271" t="n"/>
      <c r="C240" s="271" t="n"/>
      <c r="D240" s="271" t="n"/>
      <c r="E240" s="271" t="n"/>
      <c r="F240" s="275">
        <f>IF(OR($A240="",$B240=""),"",$A240&amp;" » "&amp;$B240)</f>
        <v/>
      </c>
    </row>
    <row r="241">
      <c r="A241" s="271" t="n"/>
      <c r="B241" s="271" t="n"/>
      <c r="C241" s="271" t="n"/>
      <c r="D241" s="271" t="n"/>
      <c r="E241" s="271" t="n"/>
      <c r="F241" s="275">
        <f>IF(OR($A241="",$B241=""),"",$A241&amp;" » "&amp;$B241)</f>
        <v/>
      </c>
    </row>
    <row r="242">
      <c r="A242" s="271" t="n"/>
      <c r="B242" s="271" t="n"/>
      <c r="C242" s="271" t="n"/>
      <c r="D242" s="271" t="n"/>
      <c r="E242" s="271" t="n"/>
      <c r="F242" s="275">
        <f>IF(OR($A242="",$B242=""),"",$A242&amp;" » "&amp;$B242)</f>
        <v/>
      </c>
    </row>
    <row r="243">
      <c r="A243" s="271" t="n"/>
      <c r="B243" s="271" t="n"/>
      <c r="C243" s="271" t="n"/>
      <c r="D243" s="271" t="n"/>
      <c r="E243" s="271" t="n"/>
      <c r="F243" s="275">
        <f>IF(OR($A243="",$B243=""),"",$A243&amp;" » "&amp;$B243)</f>
        <v/>
      </c>
    </row>
    <row r="244">
      <c r="A244" s="271" t="n"/>
      <c r="B244" s="271" t="n"/>
      <c r="C244" s="271" t="n"/>
      <c r="D244" s="271" t="n"/>
      <c r="E244" s="271" t="n"/>
      <c r="F244" s="275">
        <f>IF(OR($A244="",$B244=""),"",$A244&amp;" » "&amp;$B244)</f>
        <v/>
      </c>
    </row>
    <row r="245">
      <c r="A245" s="271" t="n"/>
      <c r="B245" s="271" t="n"/>
      <c r="C245" s="271" t="n"/>
      <c r="D245" s="271" t="n"/>
      <c r="E245" s="271" t="n"/>
      <c r="F245" s="275">
        <f>IF(OR($A245="",$B245=""),"",$A245&amp;" » "&amp;$B245)</f>
        <v/>
      </c>
    </row>
    <row r="246">
      <c r="A246" s="271" t="n"/>
      <c r="B246" s="271" t="n"/>
      <c r="C246" s="271" t="n"/>
      <c r="D246" s="271" t="n"/>
      <c r="E246" s="271" t="n"/>
      <c r="F246" s="275">
        <f>IF(OR($A246="",$B246=""),"",$A246&amp;" » "&amp;$B246)</f>
        <v/>
      </c>
    </row>
    <row r="247">
      <c r="A247" s="271" t="n"/>
      <c r="B247" s="271" t="n"/>
      <c r="C247" s="271" t="n"/>
      <c r="D247" s="271" t="n"/>
      <c r="E247" s="271" t="n"/>
      <c r="F247" s="275">
        <f>IF(OR($A247="",$B247=""),"",$A247&amp;" » "&amp;$B247)</f>
        <v/>
      </c>
    </row>
    <row r="248">
      <c r="A248" s="271" t="n"/>
      <c r="B248" s="271" t="n"/>
      <c r="C248" s="271" t="n"/>
      <c r="D248" s="271" t="n"/>
      <c r="E248" s="271" t="n"/>
      <c r="F248" s="275">
        <f>IF(OR($A248="",$B248=""),"",$A248&amp;" » "&amp;$B248)</f>
        <v/>
      </c>
    </row>
    <row r="249">
      <c r="A249" s="271" t="n"/>
      <c r="B249" s="271" t="n"/>
      <c r="C249" s="271" t="n"/>
      <c r="D249" s="271" t="n"/>
      <c r="E249" s="271" t="n"/>
      <c r="F249" s="275">
        <f>IF(OR($A249="",$B249=""),"",$A249&amp;" » "&amp;$B249)</f>
        <v/>
      </c>
    </row>
    <row r="250">
      <c r="A250" s="271" t="n"/>
      <c r="B250" s="271" t="n"/>
      <c r="C250" s="271" t="n"/>
      <c r="D250" s="271" t="n"/>
      <c r="E250" s="271" t="n"/>
      <c r="F250" s="275">
        <f>IF(OR($A250="",$B250=""),"",$A250&amp;" » "&amp;$B250)</f>
        <v/>
      </c>
    </row>
    <row r="251">
      <c r="A251" s="271" t="n"/>
      <c r="B251" s="271" t="n"/>
      <c r="C251" s="271" t="n"/>
      <c r="D251" s="271" t="n"/>
      <c r="E251" s="271" t="n"/>
      <c r="F251" s="275">
        <f>IF(OR($A251="",$B251=""),"",$A251&amp;" » "&amp;$B251)</f>
        <v/>
      </c>
    </row>
    <row r="252">
      <c r="A252" s="271" t="n"/>
      <c r="B252" s="271" t="n"/>
      <c r="C252" s="271" t="n"/>
      <c r="D252" s="271" t="n"/>
      <c r="E252" s="271" t="n"/>
      <c r="F252" s="275">
        <f>IF(OR($A252="",$B252=""),"",$A252&amp;" » "&amp;$B252)</f>
        <v/>
      </c>
    </row>
    <row r="253">
      <c r="A253" s="271" t="n"/>
      <c r="B253" s="271" t="n"/>
      <c r="C253" s="271" t="n"/>
      <c r="D253" s="271" t="n"/>
      <c r="E253" s="271" t="n"/>
      <c r="F253" s="275">
        <f>IF(OR($A253="",$B253=""),"",$A253&amp;" » "&amp;$B253)</f>
        <v/>
      </c>
    </row>
    <row r="254">
      <c r="A254" s="271" t="n"/>
      <c r="B254" s="271" t="n"/>
      <c r="C254" s="271" t="n"/>
      <c r="D254" s="271" t="n"/>
      <c r="E254" s="271" t="n"/>
      <c r="F254" s="275">
        <f>IF(OR($A254="",$B254=""),"",$A254&amp;" » "&amp;$B254)</f>
        <v/>
      </c>
    </row>
    <row r="255">
      <c r="A255" s="271" t="n"/>
      <c r="B255" s="271" t="n"/>
      <c r="C255" s="271" t="n"/>
      <c r="D255" s="271" t="n"/>
      <c r="E255" s="271" t="n"/>
      <c r="F255" s="275">
        <f>IF(OR($A255="",$B255=""),"",$A255&amp;" » "&amp;$B255)</f>
        <v/>
      </c>
    </row>
    <row r="256">
      <c r="A256" s="271" t="n"/>
      <c r="B256" s="271" t="n"/>
      <c r="C256" s="271" t="n"/>
      <c r="D256" s="271" t="n"/>
      <c r="E256" s="271" t="n"/>
      <c r="F256" s="275">
        <f>IF(OR($A256="",$B256=""),"",$A256&amp;" » "&amp;$B256)</f>
        <v/>
      </c>
    </row>
    <row r="257">
      <c r="A257" s="271" t="n"/>
      <c r="B257" s="271" t="n"/>
      <c r="C257" s="271" t="n"/>
      <c r="D257" s="271" t="n"/>
      <c r="E257" s="271" t="n"/>
      <c r="F257" s="275">
        <f>IF(OR($A257="",$B257=""),"",$A257&amp;" » "&amp;$B257)</f>
        <v/>
      </c>
    </row>
    <row r="258">
      <c r="A258" s="271" t="n"/>
      <c r="B258" s="271" t="n"/>
      <c r="C258" s="271" t="n"/>
      <c r="D258" s="271" t="n"/>
      <c r="E258" s="271" t="n"/>
      <c r="F258" s="275">
        <f>IF(OR($A258="",$B258=""),"",$A258&amp;" » "&amp;$B258)</f>
        <v/>
      </c>
    </row>
    <row r="259">
      <c r="A259" s="271" t="n"/>
      <c r="B259" s="271" t="n"/>
      <c r="C259" s="271" t="n"/>
      <c r="D259" s="271" t="n"/>
      <c r="E259" s="271" t="n"/>
      <c r="F259" s="275">
        <f>IF(OR($A259="",$B259=""),"",$A259&amp;" » "&amp;$B259)</f>
        <v/>
      </c>
    </row>
    <row r="260">
      <c r="A260" s="271" t="n"/>
      <c r="B260" s="271" t="n"/>
      <c r="C260" s="271" t="n"/>
      <c r="D260" s="271" t="n"/>
      <c r="E260" s="271" t="n"/>
      <c r="F260" s="275">
        <f>IF(OR($A260="",$B260=""),"",$A260&amp;" » "&amp;$B260)</f>
        <v/>
      </c>
    </row>
    <row r="261">
      <c r="A261" s="271" t="n"/>
      <c r="B261" s="271" t="n"/>
      <c r="C261" s="271" t="n"/>
      <c r="D261" s="271" t="n"/>
      <c r="E261" s="271" t="n"/>
      <c r="F261" s="275">
        <f>IF(OR($A261="",$B261=""),"",$A261&amp;" » "&amp;$B261)</f>
        <v/>
      </c>
    </row>
    <row r="262">
      <c r="A262" s="271" t="n"/>
      <c r="B262" s="271" t="n"/>
      <c r="C262" s="271" t="n"/>
      <c r="D262" s="271" t="n"/>
      <c r="E262" s="271" t="n"/>
      <c r="F262" s="275">
        <f>IF(OR($A262="",$B262=""),"",$A262&amp;" » "&amp;$B262)</f>
        <v/>
      </c>
    </row>
    <row r="263">
      <c r="A263" s="271" t="n"/>
      <c r="B263" s="271" t="n"/>
      <c r="C263" s="271" t="n"/>
      <c r="D263" s="271" t="n"/>
      <c r="E263" s="271" t="n"/>
      <c r="F263" s="275">
        <f>IF(OR($A263="",$B263=""),"",$A263&amp;" » "&amp;$B263)</f>
        <v/>
      </c>
    </row>
    <row r="264">
      <c r="A264" s="271" t="n"/>
      <c r="B264" s="271" t="n"/>
      <c r="C264" s="271" t="n"/>
      <c r="D264" s="271" t="n"/>
      <c r="E264" s="271" t="n"/>
      <c r="F264" s="275">
        <f>IF(OR($A264="",$B264=""),"",$A264&amp;" » "&amp;$B264)</f>
        <v/>
      </c>
    </row>
    <row r="265">
      <c r="A265" s="271" t="n"/>
      <c r="B265" s="271" t="n"/>
      <c r="C265" s="271" t="n"/>
      <c r="D265" s="271" t="n"/>
      <c r="E265" s="271" t="n"/>
      <c r="F265" s="275">
        <f>IF(OR($A265="",$B265=""),"",$A265&amp;" » "&amp;$B265)</f>
        <v/>
      </c>
    </row>
    <row r="266">
      <c r="A266" s="271" t="n"/>
      <c r="B266" s="271" t="n"/>
      <c r="C266" s="271" t="n"/>
      <c r="D266" s="271" t="n"/>
      <c r="E266" s="271" t="n"/>
      <c r="F266" s="275">
        <f>IF(OR($A266="",$B266=""),"",$A266&amp;" » "&amp;$B266)</f>
        <v/>
      </c>
    </row>
    <row r="267">
      <c r="A267" s="271" t="n"/>
      <c r="B267" s="271" t="n"/>
      <c r="C267" s="271" t="n"/>
      <c r="D267" s="271" t="n"/>
      <c r="E267" s="271" t="n"/>
      <c r="F267" s="275">
        <f>IF(OR($A267="",$B267=""),"",$A267&amp;" » "&amp;$B267)</f>
        <v/>
      </c>
    </row>
    <row r="268">
      <c r="A268" s="271" t="n"/>
      <c r="B268" s="271" t="n"/>
      <c r="C268" s="271" t="n"/>
      <c r="D268" s="271" t="n"/>
      <c r="E268" s="271" t="n"/>
      <c r="F268" s="275">
        <f>IF(OR($A268="",$B268=""),"",$A268&amp;" » "&amp;$B268)</f>
        <v/>
      </c>
    </row>
    <row r="269">
      <c r="A269" s="271" t="n"/>
      <c r="B269" s="271" t="n"/>
      <c r="C269" s="271" t="n"/>
      <c r="D269" s="271" t="n"/>
      <c r="E269" s="271" t="n"/>
      <c r="F269" s="275">
        <f>IF(OR($A269="",$B269=""),"",$A269&amp;" » "&amp;$B269)</f>
        <v/>
      </c>
    </row>
    <row r="270">
      <c r="A270" s="271" t="n"/>
      <c r="B270" s="271" t="n"/>
      <c r="C270" s="271" t="n"/>
      <c r="D270" s="271" t="n"/>
      <c r="E270" s="271" t="n"/>
      <c r="F270" s="275">
        <f>IF(OR($A270="",$B270=""),"",$A270&amp;" » "&amp;$B270)</f>
        <v/>
      </c>
    </row>
    <row r="271">
      <c r="A271" s="271" t="n"/>
      <c r="B271" s="271" t="n"/>
      <c r="C271" s="271" t="n"/>
      <c r="D271" s="271" t="n"/>
      <c r="E271" s="271" t="n"/>
      <c r="F271" s="275">
        <f>IF(OR($A271="",$B271=""),"",$A271&amp;" » "&amp;$B271)</f>
        <v/>
      </c>
    </row>
    <row r="272">
      <c r="A272" s="271" t="n"/>
      <c r="B272" s="271" t="n"/>
      <c r="C272" s="271" t="n"/>
      <c r="D272" s="271" t="n"/>
      <c r="E272" s="271" t="n"/>
      <c r="F272" s="275">
        <f>IF(OR($A272="",$B272=""),"",$A272&amp;" » "&amp;$B272)</f>
        <v/>
      </c>
    </row>
    <row r="273">
      <c r="A273" s="271" t="n"/>
      <c r="B273" s="271" t="n"/>
      <c r="C273" s="271" t="n"/>
      <c r="D273" s="271" t="n"/>
      <c r="E273" s="271" t="n"/>
      <c r="F273" s="275">
        <f>IF(OR($A273="",$B273=""),"",$A273&amp;" » "&amp;$B273)</f>
        <v/>
      </c>
    </row>
    <row r="274">
      <c r="A274" s="271" t="n"/>
      <c r="B274" s="271" t="n"/>
      <c r="C274" s="271" t="n"/>
      <c r="D274" s="271" t="n"/>
      <c r="E274" s="271" t="n"/>
      <c r="F274" s="275">
        <f>IF(OR($A274="",$B274=""),"",$A274&amp;" » "&amp;$B274)</f>
        <v/>
      </c>
    </row>
    <row r="275">
      <c r="A275" s="271" t="n"/>
      <c r="B275" s="271" t="n"/>
      <c r="C275" s="271" t="n"/>
      <c r="D275" s="271" t="n"/>
      <c r="E275" s="271" t="n"/>
      <c r="F275" s="275">
        <f>IF(OR($A275="",$B275=""),"",$A275&amp;" » "&amp;$B275)</f>
        <v/>
      </c>
    </row>
    <row r="276">
      <c r="A276" s="271" t="n"/>
      <c r="B276" s="271" t="n"/>
      <c r="C276" s="271" t="n"/>
      <c r="D276" s="271" t="n"/>
      <c r="E276" s="271" t="n"/>
      <c r="F276" s="275">
        <f>IF(OR($A276="",$B276=""),"",$A276&amp;" » "&amp;$B276)</f>
        <v/>
      </c>
    </row>
    <row r="277">
      <c r="A277" s="271" t="n"/>
      <c r="B277" s="271" t="n"/>
      <c r="C277" s="271" t="n"/>
      <c r="D277" s="271" t="n"/>
      <c r="E277" s="271" t="n"/>
      <c r="F277" s="275">
        <f>IF(OR($A277="",$B277=""),"",$A277&amp;" » "&amp;$B277)</f>
        <v/>
      </c>
    </row>
    <row r="278">
      <c r="A278" s="271" t="n"/>
      <c r="B278" s="271" t="n"/>
      <c r="C278" s="271" t="n"/>
      <c r="D278" s="271" t="n"/>
      <c r="E278" s="271" t="n"/>
      <c r="F278" s="275">
        <f>IF(OR($A278="",$B278=""),"",$A278&amp;" » "&amp;$B278)</f>
        <v/>
      </c>
    </row>
    <row r="279">
      <c r="A279" s="271" t="n"/>
      <c r="B279" s="271" t="n"/>
      <c r="C279" s="271" t="n"/>
      <c r="D279" s="271" t="n"/>
      <c r="E279" s="271" t="n"/>
      <c r="F279" s="275">
        <f>IF(OR($A279="",$B279=""),"",$A279&amp;" » "&amp;$B279)</f>
        <v/>
      </c>
    </row>
    <row r="280">
      <c r="A280" s="271" t="n"/>
      <c r="B280" s="271" t="n"/>
      <c r="C280" s="271" t="n"/>
      <c r="D280" s="271" t="n"/>
      <c r="E280" s="271" t="n"/>
      <c r="F280" s="275">
        <f>IF(OR($A280="",$B280=""),"",$A280&amp;" » "&amp;$B280)</f>
        <v/>
      </c>
    </row>
    <row r="281">
      <c r="A281" s="271" t="n"/>
      <c r="B281" s="271" t="n"/>
      <c r="C281" s="271" t="n"/>
      <c r="D281" s="271" t="n"/>
      <c r="E281" s="271" t="n"/>
      <c r="F281" s="275">
        <f>IF(OR($A281="",$B281=""),"",$A281&amp;" » "&amp;$B281)</f>
        <v/>
      </c>
    </row>
    <row r="282">
      <c r="A282" s="271" t="n"/>
      <c r="B282" s="271" t="n"/>
      <c r="C282" s="271" t="n"/>
      <c r="D282" s="271" t="n"/>
      <c r="E282" s="271" t="n"/>
      <c r="F282" s="275">
        <f>IF(OR($A282="",$B282=""),"",$A282&amp;" » "&amp;$B282)</f>
        <v/>
      </c>
    </row>
    <row r="283">
      <c r="A283" s="271" t="n"/>
      <c r="B283" s="271" t="n"/>
      <c r="C283" s="271" t="n"/>
      <c r="D283" s="271" t="n"/>
      <c r="E283" s="271" t="n"/>
      <c r="F283" s="275">
        <f>IF(OR($A283="",$B283=""),"",$A283&amp;" » "&amp;$B283)</f>
        <v/>
      </c>
    </row>
    <row r="284">
      <c r="A284" s="271" t="n"/>
      <c r="B284" s="271" t="n"/>
      <c r="C284" s="271" t="n"/>
      <c r="D284" s="271" t="n"/>
      <c r="E284" s="271" t="n"/>
      <c r="F284" s="275">
        <f>IF(OR($A284="",$B284=""),"",$A284&amp;" » "&amp;$B284)</f>
        <v/>
      </c>
    </row>
    <row r="285">
      <c r="A285" s="271" t="n"/>
      <c r="B285" s="271" t="n"/>
      <c r="C285" s="271" t="n"/>
      <c r="D285" s="271" t="n"/>
      <c r="E285" s="271" t="n"/>
      <c r="F285" s="275">
        <f>IF(OR($A285="",$B285=""),"",$A285&amp;" » "&amp;$B285)</f>
        <v/>
      </c>
    </row>
    <row r="286">
      <c r="A286" s="271" t="n"/>
      <c r="B286" s="271" t="n"/>
      <c r="C286" s="271" t="n"/>
      <c r="D286" s="271" t="n"/>
      <c r="E286" s="271" t="n"/>
      <c r="F286" s="275">
        <f>IF(OR($A286="",$B286=""),"",$A286&amp;" » "&amp;$B286)</f>
        <v/>
      </c>
    </row>
    <row r="287">
      <c r="A287" s="271" t="n"/>
      <c r="B287" s="271" t="n"/>
      <c r="C287" s="271" t="n"/>
      <c r="D287" s="271" t="n"/>
      <c r="E287" s="271" t="n"/>
      <c r="F287" s="275">
        <f>IF(OR($A287="",$B287=""),"",$A287&amp;" » "&amp;$B287)</f>
        <v/>
      </c>
    </row>
    <row r="288">
      <c r="A288" s="271" t="n"/>
      <c r="B288" s="271" t="n"/>
      <c r="C288" s="271" t="n"/>
      <c r="D288" s="271" t="n"/>
      <c r="E288" s="271" t="n"/>
      <c r="F288" s="275">
        <f>IF(OR($A288="",$B288=""),"",$A288&amp;" » "&amp;$B288)</f>
        <v/>
      </c>
    </row>
    <row r="289">
      <c r="A289" s="271" t="n"/>
      <c r="B289" s="271" t="n"/>
      <c r="C289" s="271" t="n"/>
      <c r="D289" s="271" t="n"/>
      <c r="E289" s="271" t="n"/>
      <c r="F289" s="275">
        <f>IF(OR($A289="",$B289=""),"",$A289&amp;" » "&amp;$B289)</f>
        <v/>
      </c>
    </row>
    <row r="290">
      <c r="A290" s="271" t="n"/>
      <c r="B290" s="271" t="n"/>
      <c r="C290" s="271" t="n"/>
      <c r="D290" s="271" t="n"/>
      <c r="E290" s="271" t="n"/>
      <c r="F290" s="275">
        <f>IF(OR($A290="",$B290=""),"",$A290&amp;" » "&amp;$B290)</f>
        <v/>
      </c>
    </row>
    <row r="291">
      <c r="A291" s="271" t="n"/>
      <c r="B291" s="271" t="n"/>
      <c r="C291" s="271" t="n"/>
      <c r="D291" s="271" t="n"/>
      <c r="E291" s="271" t="n"/>
      <c r="F291" s="275">
        <f>IF(OR($A291="",$B291=""),"",$A291&amp;" » "&amp;$B291)</f>
        <v/>
      </c>
    </row>
    <row r="292">
      <c r="A292" s="271" t="n"/>
      <c r="B292" s="271" t="n"/>
      <c r="C292" s="271" t="n"/>
      <c r="D292" s="271" t="n"/>
      <c r="E292" s="271" t="n"/>
      <c r="F292" s="275">
        <f>IF(OR($A292="",$B292=""),"",$A292&amp;" » "&amp;$B292)</f>
        <v/>
      </c>
    </row>
    <row r="293">
      <c r="A293" s="271" t="n"/>
      <c r="B293" s="271" t="n"/>
      <c r="C293" s="271" t="n"/>
      <c r="D293" s="271" t="n"/>
      <c r="E293" s="271" t="n"/>
      <c r="F293" s="275">
        <f>IF(OR($A293="",$B293=""),"",$A293&amp;" » "&amp;$B293)</f>
        <v/>
      </c>
    </row>
    <row r="294">
      <c r="A294" s="271" t="n"/>
      <c r="B294" s="271" t="n"/>
      <c r="C294" s="271" t="n"/>
      <c r="D294" s="271" t="n"/>
      <c r="E294" s="271" t="n"/>
      <c r="F294" s="275">
        <f>IF(OR($A294="",$B294=""),"",$A294&amp;" » "&amp;$B294)</f>
        <v/>
      </c>
    </row>
    <row r="295">
      <c r="A295" s="271" t="n"/>
      <c r="B295" s="271" t="n"/>
      <c r="C295" s="271" t="n"/>
      <c r="D295" s="271" t="n"/>
      <c r="E295" s="271" t="n"/>
      <c r="F295" s="275">
        <f>IF(OR($A295="",$B295=""),"",$A295&amp;" » "&amp;$B295)</f>
        <v/>
      </c>
    </row>
    <row r="296">
      <c r="A296" s="271" t="n"/>
      <c r="B296" s="271" t="n"/>
      <c r="C296" s="271" t="n"/>
      <c r="D296" s="271" t="n"/>
      <c r="E296" s="271" t="n"/>
      <c r="F296" s="275">
        <f>IF(OR($A296="",$B296=""),"",$A296&amp;" » "&amp;$B296)</f>
        <v/>
      </c>
    </row>
    <row r="297">
      <c r="A297" s="271" t="n"/>
      <c r="B297" s="271" t="n"/>
      <c r="C297" s="271" t="n"/>
      <c r="D297" s="271" t="n"/>
      <c r="E297" s="271" t="n"/>
      <c r="F297" s="275">
        <f>IF(OR($A297="",$B297=""),"",$A297&amp;" » "&amp;$B297)</f>
        <v/>
      </c>
    </row>
    <row r="298">
      <c r="A298" s="271" t="n"/>
      <c r="B298" s="271" t="n"/>
      <c r="C298" s="271" t="n"/>
      <c r="D298" s="271" t="n"/>
      <c r="E298" s="271" t="n"/>
      <c r="F298" s="275">
        <f>IF(OR($A298="",$B298=""),"",$A298&amp;" » "&amp;$B298)</f>
        <v/>
      </c>
    </row>
    <row r="299">
      <c r="A299" s="271" t="n"/>
      <c r="B299" s="271" t="n"/>
      <c r="C299" s="271" t="n"/>
      <c r="D299" s="271" t="n"/>
      <c r="E299" s="271" t="n"/>
      <c r="F299" s="275">
        <f>IF(OR($A299="",$B299=""),"",$A299&amp;" » "&amp;$B299)</f>
        <v/>
      </c>
    </row>
    <row r="300">
      <c r="A300" s="271" t="n"/>
      <c r="B300" s="271" t="n"/>
      <c r="C300" s="271" t="n"/>
      <c r="D300" s="271" t="n"/>
      <c r="E300" s="271" t="n"/>
      <c r="F300" s="275">
        <f>IF(OR($A300="",$B300=""),"",$A300&amp;" » "&amp;$B300)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4" customWidth="1" style="130" min="2" max="2"/>
    <col width="30" customWidth="1" style="130" min="3" max="3"/>
    <col width="30" customWidth="1" style="130" min="4" max="4"/>
    <col width="18" customWidth="1" style="130" min="5" max="5"/>
    <col width="12" customWidth="1" style="130" min="6" max="6"/>
    <col width="22" customWidth="1" style="130" min="7" max="7"/>
    <col width="54" customWidth="1" style="130" min="8" max="8"/>
    <col width="26" customWidth="1" style="130" min="9" max="9"/>
    <col width="24" customWidth="1" style="130" min="10" max="10"/>
  </cols>
  <sheetData>
    <row r="1" ht="24" customHeight="1" s="131">
      <c r="A1" s="262" t="inlineStr">
        <is>
          <t>REGISTRO DE DEFINIÇÕES</t>
        </is>
      </c>
    </row>
    <row r="2" ht="30" customHeight="1" s="131">
      <c r="A2" s="263" t="inlineStr">
        <is>
          <t>A granularidade de visualização não altera a fonte: dados semestrais podem ser projetados em meses.</t>
        </is>
      </c>
    </row>
    <row r="3"/>
    <row r="4" ht="30" customHeight="1" s="131">
      <c r="A4" s="282" t="inlineStr">
        <is>
          <t>Código</t>
        </is>
      </c>
      <c r="B4" s="282" t="inlineStr">
        <is>
          <t>Nome</t>
        </is>
      </c>
      <c r="C4" s="282" t="inlineStr">
        <is>
          <t>Aba de entrada</t>
        </is>
      </c>
      <c r="D4" s="282" t="inlineStr">
        <is>
          <t>Tabela</t>
        </is>
      </c>
      <c r="E4" s="282" t="inlineStr">
        <is>
          <t>Direção</t>
        </is>
      </c>
      <c r="F4" s="282" t="inlineStr">
        <is>
          <t>Formato</t>
        </is>
      </c>
      <c r="G4" s="282" t="inlineStr">
        <is>
          <t>Variação medida como</t>
        </is>
      </c>
      <c r="H4" s="282" t="inlineStr">
        <is>
          <t>Objetivo</t>
        </is>
      </c>
      <c r="I4" s="282" t="inlineStr">
        <is>
          <t>Periodicidade de alimentação</t>
        </is>
      </c>
      <c r="J4" s="282" t="inlineStr">
        <is>
          <t>Nível de detalhe</t>
        </is>
      </c>
    </row>
    <row r="5" ht="23.25" customHeight="1" s="131">
      <c r="A5" s="337" t="inlineStr">
        <is>
          <t>DTNH-01</t>
        </is>
      </c>
      <c r="B5" s="338" t="inlineStr">
        <is>
          <t>NPS Discente</t>
        </is>
      </c>
      <c r="C5" s="337" t="inlineStr">
        <is>
          <t>NPS DISCENTES</t>
        </is>
      </c>
      <c r="D5" s="337" t="inlineStr">
        <is>
          <t>TabelaNPS</t>
        </is>
      </c>
      <c r="E5" s="337" t="inlineStr">
        <is>
          <t>Maior é melhor</t>
        </is>
      </c>
      <c r="F5" s="337" t="inlineStr">
        <is>
          <t>pts</t>
        </is>
      </c>
      <c r="G5" s="337" t="inlineStr">
        <is>
          <t>Diferença</t>
        </is>
      </c>
      <c r="H5" s="338" t="inlineStr">
        <is>
          <t>Promotores menos detratores sobre respondentes.</t>
        </is>
      </c>
      <c r="I5" s="339" t="inlineStr">
        <is>
          <t>Mensal ou Semestral</t>
        </is>
      </c>
      <c r="J5" s="339" t="inlineStr">
        <is>
          <t>Curso</t>
        </is>
      </c>
    </row>
    <row r="6" ht="23.25" customHeight="1" s="131">
      <c r="A6" s="337" t="inlineStr">
        <is>
          <t>DTNH-02</t>
        </is>
      </c>
      <c r="B6" s="338" t="inlineStr">
        <is>
          <t>Avaliação Docente pelo Aluno</t>
        </is>
      </c>
      <c r="C6" s="337" t="inlineStr">
        <is>
          <t>AVALIAÇÃO DOCENTE</t>
        </is>
      </c>
      <c r="D6" s="337" t="inlineStr">
        <is>
          <t>TabelaAvaliacaoDocente</t>
        </is>
      </c>
      <c r="E6" s="337" t="inlineStr">
        <is>
          <t>Maior é melhor</t>
        </is>
      </c>
      <c r="F6" s="337" t="inlineStr">
        <is>
          <t>nota</t>
        </is>
      </c>
      <c r="G6" s="337" t="inlineStr">
        <is>
          <t>Diferença</t>
        </is>
      </c>
      <c r="H6" s="338" t="inlineStr">
        <is>
          <t>Nota média da avaliação docente, ponderada por respondentes.</t>
        </is>
      </c>
      <c r="I6" s="339" t="inlineStr">
        <is>
          <t>Semestral</t>
        </is>
      </c>
      <c r="J6" s="339" t="inlineStr">
        <is>
          <t>Curso e disciplina</t>
        </is>
      </c>
    </row>
    <row r="7" ht="23.25" customHeight="1" s="131">
      <c r="A7" s="337" t="inlineStr">
        <is>
          <t>DTNH-03</t>
        </is>
      </c>
      <c r="B7" s="338" t="inlineStr">
        <is>
          <t>Aprovação e Desempenho Acadêmico</t>
        </is>
      </c>
      <c r="C7" s="337" t="inlineStr">
        <is>
          <t>RESULTADOS ACADÊMICOS</t>
        </is>
      </c>
      <c r="D7" s="337" t="inlineStr">
        <is>
          <t>TabelaResultadosAcademicos</t>
        </is>
      </c>
      <c r="E7" s="337" t="inlineStr">
        <is>
          <t>Maior é melhor</t>
        </is>
      </c>
      <c r="F7" s="337" t="inlineStr">
        <is>
          <t>pct</t>
        </is>
      </c>
      <c r="G7" s="337" t="inlineStr">
        <is>
          <t>Diferença</t>
        </is>
      </c>
      <c r="H7" s="338" t="inlineStr">
        <is>
          <t>Aprovação oficial, reprovação por nota/falta e média das notas.</t>
        </is>
      </c>
      <c r="I7" s="339" t="inlineStr">
        <is>
          <t>Semestral</t>
        </is>
      </c>
      <c r="J7" s="339" t="inlineStr">
        <is>
          <t>Curso e disciplina</t>
        </is>
      </c>
    </row>
    <row r="8"/>
    <row r="9" ht="15" customHeight="1" s="131">
      <c r="A9" s="235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AP181"/>
  <sheetViews>
    <sheetView showFormulas="0" showGridLines="0" showRowColHeaders="1" showZeros="1" rightToLeft="0" tabSelected="0" showOutlineSymbols="1" defaultGridColor="1" view="normal" topLeftCell="A1" colorId="64" zoomScale="85" zoomScaleNormal="100" zoomScalePageLayoutView="100" workbookViewId="0">
      <pane ySplit="7" topLeftCell="A8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30" min="1" max="1"/>
    <col width="16" customWidth="1" style="130" min="2" max="16"/>
    <col width="16" customWidth="1" style="131" min="3" max="3"/>
    <col width="16" customWidth="1" style="131" min="4" max="4"/>
    <col width="14" customWidth="1" style="131" min="5" max="5"/>
    <col width="14" customWidth="1" style="131" min="6" max="6"/>
    <col width="14" customWidth="1" style="131" min="7" max="7"/>
    <col width="14" customWidth="1" style="131" min="8" max="8"/>
    <col width="16" customWidth="1" style="131" min="9" max="9"/>
    <col width="16" customWidth="1" style="131" min="10" max="10"/>
    <col width="16" customWidth="1" style="131" min="11" max="11"/>
    <col width="20" customWidth="1" style="131" min="12" max="12"/>
    <col width="14" customWidth="1" style="131" min="13" max="13"/>
    <col width="46" customWidth="1" style="131" min="14" max="14"/>
    <col width="16" customWidth="1" style="131" min="15" max="15"/>
    <col hidden="1" width="13" customWidth="1" style="131" min="16" max="16"/>
    <col hidden="1" width="13" customWidth="1" style="131" min="17" max="17"/>
    <col hidden="1" width="13" customWidth="1" style="131" min="18" max="18"/>
    <col hidden="1" width="13" customWidth="1" style="131" min="19" max="19"/>
    <col hidden="1" width="13" customWidth="1" style="131" min="20" max="20"/>
    <col hidden="1" width="13" customWidth="1" style="131" min="21" max="21"/>
    <col hidden="1" width="13" customWidth="1" style="131" min="22" max="22"/>
    <col hidden="1" width="13" customWidth="1" style="131" min="23" max="23"/>
    <col hidden="1" width="13" customWidth="1" style="131" min="24" max="24"/>
    <col hidden="1" width="13" customWidth="1" style="131" min="25" max="25"/>
    <col hidden="1" width="13" customWidth="1" style="131" min="26" max="26"/>
    <col hidden="1" width="13" customWidth="1" style="131" min="27" max="27"/>
    <col hidden="1" width="13" customWidth="1" style="131" min="28" max="28"/>
    <col hidden="1" width="13" customWidth="1" style="131" min="29" max="29"/>
    <col hidden="1" width="13" customWidth="1" style="131" min="30" max="30"/>
    <col hidden="1" width="13" customWidth="1" style="131" min="31" max="31"/>
    <col hidden="1" width="13" customWidth="1" style="131" min="32" max="32"/>
    <col hidden="1" width="13" customWidth="1" style="131" min="33" max="33"/>
    <col hidden="1" width="13" customWidth="1" style="131" min="34" max="34"/>
    <col hidden="1" width="13" customWidth="1" style="131" min="35" max="35"/>
    <col hidden="1" width="13" customWidth="1" style="131" min="36" max="36"/>
    <col hidden="1" width="13" customWidth="1" style="131" min="37" max="37"/>
    <col hidden="1" width="13" customWidth="1" style="131" min="38" max="38"/>
    <col hidden="1" width="13" customWidth="1" style="131" min="39" max="39"/>
    <col hidden="1" width="13" customWidth="1" style="131" min="40" max="40"/>
    <col hidden="1" width="13" customWidth="1" style="131" min="41" max="41"/>
    <col hidden="1" width="13" customWidth="1" style="131" min="42" max="42"/>
  </cols>
  <sheetData>
    <row r="1" ht="24" customHeight="1" s="131">
      <c r="A1" s="262" t="inlineStr">
        <is>
          <t>CAMADA DE CÁLCULO</t>
        </is>
      </c>
    </row>
    <row r="2" ht="30" customHeight="1" s="131">
      <c r="A2" s="263" t="inlineStr">
        <is>
          <t>Não editar. Esta aba resolve visualização mensal/semestral, filtros, metas e séries históricas.</t>
        </is>
      </c>
    </row>
    <row r="3"/>
    <row r="4" ht="15" customHeight="1" s="131">
      <c r="A4" s="280" t="inlineStr">
        <is>
          <t>Visualização</t>
        </is>
      </c>
      <c r="B4" s="340">
        <f>PARAMETROS!$E$5</f>
        <v/>
      </c>
      <c r="C4" s="236" t="n"/>
      <c r="D4" s="341" t="inlineStr">
        <is>
          <t>Referência</t>
        </is>
      </c>
      <c r="E4" s="342">
        <f>PARAMETROS!$B$7</f>
        <v/>
      </c>
      <c r="F4" s="237" t="n"/>
      <c r="G4" s="280" t="inlineStr">
        <is>
          <t>Semestre ref.</t>
        </is>
      </c>
      <c r="H4" s="340">
        <f>IF($E$4="","",IF(ISNUMBER(SEARCH("-SEM",$E$4)),$E$4,LEFT($E$4,4)&amp;"-SEM"&amp;IF(VALUE(RIGHT($E$4,2))&lt;=6,1,2)))</f>
        <v/>
      </c>
      <c r="I4" s="236" t="n"/>
      <c r="J4" s="341" t="inlineStr">
        <is>
          <t>Curso</t>
        </is>
      </c>
      <c r="K4" s="343">
        <f>PARAMETROS!$B$11</f>
        <v/>
      </c>
      <c r="M4" s="344" t="inlineStr">
        <is>
          <t>Disciplina</t>
        </is>
      </c>
      <c r="N4" s="343">
        <f>PARAMETROS!$E$11</f>
        <v/>
      </c>
    </row>
    <row r="5">
      <c r="D5" s="344" t="inlineStr">
        <is>
          <t>Comparação</t>
        </is>
      </c>
      <c r="E5" s="343">
        <f>PARAMETROS!$E$7</f>
        <v/>
      </c>
      <c r="G5" s="344" t="inlineStr">
        <is>
          <t>Semestre comp.</t>
        </is>
      </c>
      <c r="H5" s="343">
        <f>IF($E$5="","",IF(ISNUMBER(SEARCH("-SEM",$E$5)),$E$5,LEFT($E$5,4)&amp;"-SEM"&amp;IF(VALUE(RIGHT($E$5,2))&lt;=6,1,2)))</f>
        <v/>
      </c>
    </row>
    <row r="6" ht="26.25" customHeight="1" s="131">
      <c r="A6" s="137" t="n"/>
      <c r="M6" s="344" t="inlineStr">
        <is>
          <t>Escopo atual</t>
        </is>
      </c>
      <c r="N6" s="343">
        <f>IF(AND($K$4&lt;&gt;"(todos)",$N$4&lt;&gt;"(todas)"),$K$4&amp;" » "&amp;$N$4,IF($K$4&lt;&gt;"(todos)",$K$4,"TOTAL"))</f>
        <v/>
      </c>
    </row>
    <row r="7" ht="22" customHeight="1" s="131">
      <c r="A7" s="273" t="inlineStr">
        <is>
          <t>KPIs — REFERÊNCIA E COMPARAÇÃO</t>
        </is>
      </c>
      <c r="B7" s="273" t="n"/>
      <c r="C7" s="273" t="n"/>
      <c r="D7" s="273" t="n"/>
      <c r="E7" s="273" t="n"/>
      <c r="F7" s="273" t="n"/>
      <c r="G7" s="273" t="n"/>
      <c r="H7" s="267" t="n"/>
      <c r="I7" s="267" t="n"/>
      <c r="J7" s="267" t="n"/>
      <c r="K7" s="267" t="n"/>
      <c r="L7" s="267" t="n"/>
      <c r="M7" s="267" t="n"/>
      <c r="N7" s="267" t="n"/>
      <c r="O7" s="267" t="n"/>
    </row>
    <row r="8" ht="30" customHeight="1" s="131">
      <c r="A8" s="282" t="inlineStr">
        <is>
          <t>KPI</t>
        </is>
      </c>
      <c r="B8" s="345" t="inlineStr">
        <is>
          <t>Valor ref.</t>
        </is>
      </c>
      <c r="C8" s="345" t="inlineStr">
        <is>
          <t>Valor comp.</t>
        </is>
      </c>
      <c r="D8" s="298" t="inlineStr">
        <is>
          <t>Variação</t>
        </is>
      </c>
      <c r="E8" s="298" t="inlineStr">
        <is>
          <t>Meta</t>
        </is>
      </c>
      <c r="F8" s="298" t="inlineStr">
        <is>
          <t>Atenção</t>
        </is>
      </c>
      <c r="G8" s="298" t="inlineStr">
        <is>
          <t>Aprovados</t>
        </is>
      </c>
      <c r="H8" s="282" t="inlineStr">
        <is>
          <t>Rep. nota</t>
        </is>
      </c>
      <c r="I8" s="282" t="inlineStr">
        <is>
          <t>Rep. falta</t>
        </is>
      </c>
      <c r="J8" s="282" t="inlineStr">
        <is>
          <t>Outros</t>
        </is>
      </c>
      <c r="K8" s="282" t="inlineStr">
        <is>
          <t>Média notas</t>
        </is>
      </c>
      <c r="L8" s="282" t="inlineStr">
        <is>
          <t>Status</t>
        </is>
      </c>
      <c r="M8" s="282" t="inlineStr">
        <is>
          <t>Lançamentos</t>
        </is>
      </c>
      <c r="N8" s="282" t="inlineStr">
        <is>
          <t>Escopo meta</t>
        </is>
      </c>
      <c r="O8" s="282" t="inlineStr">
        <is>
          <t>Unidade</t>
        </is>
      </c>
    </row>
    <row r="9" ht="15" customHeight="1" s="131">
      <c r="A9" s="167" t="inlineStr">
        <is>
          <t>DTNH-01 · NPS Discente</t>
        </is>
      </c>
      <c r="B9" s="346">
        <f>IFERROR((IF($K$4="(todos)",SUM($C$17:$C$25),SUMIFS($C$17:$C$25,$A$17:$A$25,$K$4))-IF($K$4="(todos)",SUM($D$17:$D$25),SUMIFS($D$17:$D$25,$A$17:$A$25,$K$4)))/IF($K$4="(todos)",SUM($B$17:$B$25),SUMIFS($B$17:$B$25,$A$17:$A$25,$K$4))*100,"")</f>
        <v/>
      </c>
      <c r="C9" s="346">
        <f>IFERROR((IF($K$4="(todos)",SUM($G$17:$G$25),SUMIFS($G$17:$G$25,$A$17:$A$25,$K$4))-IF($K$4="(todos)",SUM($H$17:$H$25),SUMIFS($H$17:$H$25,$A$17:$A$25,$K$4)))/IF($K$4="(todos)",SUM($F$17:$F$25),SUMIFS($F$17:$F$25,$A$17:$A$25,$K$4))*100,"")</f>
        <v/>
      </c>
      <c r="D9" s="346">
        <f>IF(OR(B9="",C9=""),"",B9-C9)</f>
        <v/>
      </c>
      <c r="E9" s="346">
        <f>IF($E$4="","",IFERROR(IF((SUMPRODUCT(MAX((METAS!$A$5:$A$404="DTNH-01")*(METAS!$B$5:$B$404=IF($K$4="(todos)","TOTAL",$K$4))*(METAS!$D$5:$D$404&lt;=(IF($E$4="",0,IF(ISNUMBER(SEARCH("-SEM",$E$4)),VALUE(LEFT($E$4,4)&amp;IF(RIGHT($E$4,1)="1","01","07")),VALUE(SUBSTITUTE($E$4,"-",""))))))*METAS!$D$5:$D$404)))&gt;0,SUMPRODUCT((METAS!$A$5:$A$404="DTNH-01")*(METAS!$B$5:$B$404=IF($K$4="(todos)","TOTAL",$K$4))*(METAS!$D$5:$D$404=(SUMPRODUCT(MAX((METAS!$A$5:$A$404="DTNH-01")*(METAS!$B$5:$B$404=IF($K$4="(todos)","TOTAL",$K$4))*(METAS!$D$5:$D$404&lt;=(IF($E$4="",0,IF(ISNUMBER(SEARCH("-SEM",$E$4)),VALUE(LEFT($E$4,4)&amp;IF(RIGHT($E$4,1)="1","01","07")),VALUE(SUBSTITUTE($E$4,"-",""))))))*METAS!$D$5:$D$404))))*METAS!$E$5:$E$404),IF((SUMPRODUCT(MAX((METAS!$A$5:$A$404="DTNH-01")*(METAS!$B$5:$B$404="TOTAL")*(METAS!$D$5:$D$404&lt;=(IF($E$4="",0,IF(ISNUMBER(SEARCH("-SEM",$E$4)),VALUE(LEFT($E$4,4)&amp;IF(RIGHT($E$4,1)="1","01","07")),VALUE(SUBSTITUTE($E$4,"-",""))))))*METAS!$D$5:$D$404)))&gt;0,SUMPRODUCT((METAS!$A$5:$A$404="DTNH-01")*(METAS!$B$5:$B$404="TOTAL")*(METAS!$D$5:$D$404=(SUMPRODUCT(MAX((METAS!$A$5:$A$404="DTNH-01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9" s="346">
        <f>IF($E$4="","",IFERROR(IF((SUMPRODUCT(MAX((METAS!$A$5:$A$404="DTNH-01")*(METAS!$B$5:$B$404=IF($K$4="(todos)","TOTAL",$K$4))*(METAS!$D$5:$D$404&lt;=(IF($E$4="",0,IF(ISNUMBER(SEARCH("-SEM",$E$4)),VALUE(LEFT($E$4,4)&amp;IF(RIGHT($E$4,1)="1","01","07")),VALUE(SUBSTITUTE($E$4,"-",""))))))*METAS!$D$5:$D$404)))&gt;0,SUMPRODUCT((METAS!$A$5:$A$404="DTNH-01")*(METAS!$B$5:$B$404=IF($K$4="(todos)","TOTAL",$K$4))*(METAS!$D$5:$D$404=(SUMPRODUCT(MAX((METAS!$A$5:$A$404="DTNH-01")*(METAS!$B$5:$B$404=IF($K$4="(todos)","TOTAL",$K$4))*(METAS!$D$5:$D$404&lt;=(IF($E$4="",0,IF(ISNUMBER(SEARCH("-SEM",$E$4)),VALUE(LEFT($E$4,4)&amp;IF(RIGHT($E$4,1)="1","01","07")),VALUE(SUBSTITUTE($E$4,"-",""))))))*METAS!$D$5:$D$404))))*METAS!$F$5:$F$404),IF((SUMPRODUCT(MAX((METAS!$A$5:$A$404="DTNH-01")*(METAS!$B$5:$B$404="TOTAL")*(METAS!$D$5:$D$404&lt;=(IF($E$4="",0,IF(ISNUMBER(SEARCH("-SEM",$E$4)),VALUE(LEFT($E$4,4)&amp;IF(RIGHT($E$4,1)="1","01","07")),VALUE(SUBSTITUTE($E$4,"-",""))))))*METAS!$D$5:$D$404)))&gt;0,SUMPRODUCT((METAS!$A$5:$A$404="DTNH-01")*(METAS!$B$5:$B$404="TOTAL")*(METAS!$D$5:$D$404=(SUMPRODUCT(MAX((METAS!$A$5:$A$404="DTNH-01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9" s="181" t="n"/>
      <c r="L9" s="343">
        <f>IF(B9="","Sem dados",IF(E9="","Sem meta",IF(B9&gt;=E9,"Dentro da meta",IF(F9="","Fora da meta",IF(B9&gt;=F9,"Atenção","Fora da meta")))))</f>
        <v/>
      </c>
      <c r="M9" s="347">
        <f>IF($K$4="(todos)",IF($K$4="(todos)",SUM($B$17:$B$25),SUMIFS($B$17:$B$25,$A$17:$A$25,$K$4)),IFERROR(IF($K$4="(todos)",SUM($B$17:$B$25),SUMIFS($B$17:$B$25,$A$17:$A$25,$K$4)),0))</f>
        <v/>
      </c>
      <c r="N9" s="343">
        <f>IF($K$4="(todos)","TOTAL",$K$4)</f>
        <v/>
      </c>
      <c r="O9" t="inlineStr">
        <is>
          <t>pontos</t>
        </is>
      </c>
    </row>
    <row r="10" ht="15" customHeight="1" s="131">
      <c r="A10" s="167" t="inlineStr">
        <is>
          <t>DTNH-02 · Avaliação Docente</t>
        </is>
      </c>
      <c r="B10" s="348">
        <f>IFERROR(SUMPRODUCT(--(TabelaAvaliacaoDocente[Período]=$H$4),--((($K$4="(todos)")+(TabelaAvaliacaoDocente[Curso]=$K$4))&gt;0),--((($N$4="(todas)")+(TabelaAvaliacaoDocente[Disciplina]=$N$4))&gt;0),TabelaAvaliacaoDocente[Respondentes],TabelaAvaliacaoDocente[Nota Média (0-10)])/SUMPRODUCT(--(TabelaAvaliacaoDocente[Período]=$H$4),--((($K$4="(todos)")+(TabelaAvaliacaoDocente[Curso]=$K$4))&gt;0),--((($N$4="(todas)")+(TabelaAvaliacaoDocente[Disciplina]=$N$4))&gt;0),TabelaAvaliacaoDocente[Respondentes]),"")</f>
        <v/>
      </c>
      <c r="C10" s="348">
        <f>IFERROR(SUMPRODUCT(--(TabelaAvaliacaoDocente[Período]=$H$5),--((($K$4="(todos)")+(TabelaAvaliacaoDocente[Curso]=$K$4))&gt;0),--((($N$4="(todas)")+(TabelaAvaliacaoDocente[Disciplina]=$N$4))&gt;0),TabelaAvaliacaoDocente[Respondentes],TabelaAvaliacaoDocente[Nota Média (0-10)])/SUMPRODUCT(--(TabelaAvaliacaoDocente[Período]=$H$5),--((($K$4="(todos)")+(TabelaAvaliacaoDocente[Curso]=$K$4))&gt;0),--((($N$4="(todas)")+(TabelaAvaliacaoDocente[Disciplina]=$N$4))&gt;0),TabelaAvaliacaoDocente[Respondentes]),"")</f>
        <v/>
      </c>
      <c r="D10" s="348">
        <f>IF(OR(B10="",C10=""),"",B10-C10)</f>
        <v/>
      </c>
      <c r="E10" s="348">
        <f>IF($E$4="","",IFERROR(IF((SUMPRODUCT(MAX((METAS!$A$5:$A$404="DTNH-02")*(METAS!$B$5:$B$404=$N$6)*(METAS!$D$5:$D$404&lt;=(IF($E$4="",0,IF(ISNUMBER(SEARCH("-SEM",$E$4)),VALUE(LEFT($E$4,4)&amp;IF(RIGHT($E$4,1)="1","01","07")),VALUE(SUBSTITUTE($E$4,"-",""))))))*METAS!$D$5:$D$404)))&gt;0,SUMPRODUCT((METAS!$A$5:$A$404="DTNH-02")*(METAS!$B$5:$B$404=$N$6)*(METAS!$D$5:$D$404=(SUMPRODUCT(MAX((METAS!$A$5:$A$404="DTNH-02")*(METAS!$B$5:$B$404=$N$6)*(METAS!$D$5:$D$404&lt;=(IF($E$4="",0,IF(ISNUMBER(SEARCH("-SEM",$E$4)),VALUE(LEFT($E$4,4)&amp;IF(RIGHT($E$4,1)="1","01","07")),VALUE(SUBSTITUTE($E$4,"-",""))))))*METAS!$D$5:$D$404))))*METAS!$E$5:$E$404),IF((SUMPRODUCT(MAX((METAS!$A$5:$A$404="DTNH-02")*(METAS!$B$5:$B$404="TOTAL")*(METAS!$D$5:$D$404&lt;=(IF($E$4="",0,IF(ISNUMBER(SEARCH("-SEM",$E$4)),VALUE(LEFT($E$4,4)&amp;IF(RIGHT($E$4,1)="1","01","07")),VALUE(SUBSTITUTE($E$4,"-",""))))))*METAS!$D$5:$D$404)))&gt;0,SUMPRODUCT((METAS!$A$5:$A$404="DTNH-02")*(METAS!$B$5:$B$404="TOTAL")*(METAS!$D$5:$D$404=(SUMPRODUCT(MAX((METAS!$A$5:$A$404="DTNH-02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10" s="348">
        <f>IF($E$4="","",IFERROR(IF((SUMPRODUCT(MAX((METAS!$A$5:$A$404="DTNH-02")*(METAS!$B$5:$B$404=$N$6)*(METAS!$D$5:$D$404&lt;=(IF($E$4="",0,IF(ISNUMBER(SEARCH("-SEM",$E$4)),VALUE(LEFT($E$4,4)&amp;IF(RIGHT($E$4,1)="1","01","07")),VALUE(SUBSTITUTE($E$4,"-",""))))))*METAS!$D$5:$D$404)))&gt;0,SUMPRODUCT((METAS!$A$5:$A$404="DTNH-02")*(METAS!$B$5:$B$404=$N$6)*(METAS!$D$5:$D$404=(SUMPRODUCT(MAX((METAS!$A$5:$A$404="DTNH-02")*(METAS!$B$5:$B$404=$N$6)*(METAS!$D$5:$D$404&lt;=(IF($E$4="",0,IF(ISNUMBER(SEARCH("-SEM",$E$4)),VALUE(LEFT($E$4,4)&amp;IF(RIGHT($E$4,1)="1","01","07")),VALUE(SUBSTITUTE($E$4,"-",""))))))*METAS!$D$5:$D$404))))*METAS!$F$5:$F$404),IF((SUMPRODUCT(MAX((METAS!$A$5:$A$404="DTNH-02")*(METAS!$B$5:$B$404="TOTAL")*(METAS!$D$5:$D$404&lt;=(IF($E$4="",0,IF(ISNUMBER(SEARCH("-SEM",$E$4)),VALUE(LEFT($E$4,4)&amp;IF(RIGHT($E$4,1)="1","01","07")),VALUE(SUBSTITUTE($E$4,"-",""))))))*METAS!$D$5:$D$404)))&gt;0,SUMPRODUCT((METAS!$A$5:$A$404="DTNH-02")*(METAS!$B$5:$B$404="TOTAL")*(METAS!$D$5:$D$404=(SUMPRODUCT(MAX((METAS!$A$5:$A$404="DTNH-02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10" s="181" t="n"/>
      <c r="L10" s="343">
        <f>IF(B10="","Sem dados",IF(E10="","Sem meta",IF(B10&gt;=E10,"Dentro da meta",IF(F10="","Fora da meta",IF(B10&gt;=F10,"Atenção","Fora da meta")))))</f>
        <v/>
      </c>
      <c r="M10" s="347">
        <f>SUMPRODUCT(--(TabelaAvaliacaoDocente[Período]=$H$4),--((($K$4="(todos)")+(TabelaAvaliacaoDocente[Curso]=$K$4))&gt;0),--((($N$4="(todas)")+(TabelaAvaliacaoDocente[Disciplina]=$N$4))&gt;0))</f>
        <v/>
      </c>
      <c r="N10" s="343">
        <f>$N$6</f>
        <v/>
      </c>
      <c r="O10" t="inlineStr">
        <is>
          <t>nota 0–10</t>
        </is>
      </c>
    </row>
    <row r="11" ht="15" customHeight="1" s="131">
      <c r="A11" s="167" t="inlineStr">
        <is>
          <t>DTNH-03 · Taxa de Aprovação</t>
        </is>
      </c>
      <c r="B11" s="349">
        <f>IFERROR((SUMIFS(TabelaResultadosAcademicos[Aprovados],TabelaResultadosAcademicos[Período],$H$4,TabelaResultadosAcademicos[Curso],IF($K$4="(todos)","*",$K$4),TabelaResultadosAcademicos[Disciplina],IF($N$4="(todas)","*",$N$4)))/((SUMIFS(TabelaResultadosAcademicos[Aprovados],TabelaResultadosAcademicos[Período],$H$4,TabelaResultadosAcademicos[Curso],IF($K$4="(todos)","*",$K$4),TabelaResultadosAcademicos[Disciplina],IF($N$4="(todas)","*",$N$4)))+(SUMIFS(TabelaResultadosAcademicos[Reprovados],TabelaResultadosAcademicos[Período],$H$4,TabelaResultadosAcademicos[Curso],IF($K$4="(todos)","*",$K$4),TabelaResultadosAcademicos[Disciplina],IF($N$4="(todas)","*",$N$4))))*100,"")</f>
        <v/>
      </c>
      <c r="C11" s="349">
        <f>IFERROR((SUMIFS(TabelaResultadosAcademicos[Aprovados],TabelaResultadosAcademicos[Período],$H$5,TabelaResultadosAcademicos[Curso],IF($K$4="(todos)","*",$K$4),TabelaResultadosAcademicos[Disciplina],IF($N$4="(todas)","*",$N$4)))/((SUMIFS(TabelaResultadosAcademicos[Aprovados],TabelaResultadosAcademicos[Período],$H$5,TabelaResultadosAcademicos[Curso],IF($K$4="(todos)","*",$K$4),TabelaResultadosAcademicos[Disciplina],IF($N$4="(todas)","*",$N$4)))+(SUMIFS(TabelaResultadosAcademicos[Reprovados],TabelaResultadosAcademicos[Período],$H$5,TabelaResultadosAcademicos[Curso],IF($K$4="(todos)","*",$K$4),TabelaResultadosAcademicos[Disciplina],IF($N$4="(todas)","*",$N$4))))*100,"")</f>
        <v/>
      </c>
      <c r="D11" s="349">
        <f>IF(OR(B11="",C11=""),"",B11-C11)</f>
        <v/>
      </c>
      <c r="E11" s="349">
        <f>IF($E$4="","",IFERROR(IF((SUMPRODUCT(MAX((METAS!$A$5:$A$404="DTNH-03")*(METAS!$B$5:$B$404=$N$6)*(METAS!$D$5:$D$404&lt;=(IF($E$4="",0,IF(ISNUMBER(SEARCH("-SEM",$E$4)),VALUE(LEFT($E$4,4)&amp;IF(RIGHT($E$4,1)="1","01","07")),VALUE(SUBSTITUTE($E$4,"-",""))))))*METAS!$D$5:$D$404)))&gt;0,SUMPRODUCT((METAS!$A$5:$A$404="DTNH-03")*(METAS!$B$5:$B$404=$N$6)*(METAS!$D$5:$D$404=(SUMPRODUCT(MAX((METAS!$A$5:$A$404="DTNH-03")*(METAS!$B$5:$B$404=$N$6)*(METAS!$D$5:$D$404&lt;=(IF($E$4="",0,IF(ISNUMBER(SEARCH("-SEM",$E$4)),VALUE(LEFT($E$4,4)&amp;IF(RIGHT($E$4,1)="1","01","07")),VALUE(SUBSTITUTE($E$4,"-",""))))))*METAS!$D$5:$D$404))))*METAS!$E$5:$E$404),IF((SUMPRODUCT(MAX((METAS!$A$5:$A$404="DTNH-03")*(METAS!$B$5:$B$404="TOTAL")*(METAS!$D$5:$D$404&lt;=(IF($E$4="",0,IF(ISNUMBER(SEARCH("-SEM",$E$4)),VALUE(LEFT($E$4,4)&amp;IF(RIGHT($E$4,1)="1","01","07")),VALUE(SUBSTITUTE($E$4,"-",""))))))*METAS!$D$5:$D$404)))&gt;0,SUMPRODUCT((METAS!$A$5:$A$404="DTNH-03")*(METAS!$B$5:$B$404="TOTAL")*(METAS!$D$5:$D$404=(SUMPRODUCT(MAX((METAS!$A$5:$A$404="DTNH-03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11" s="349">
        <f>IF($E$4="","",IFERROR(IF((SUMPRODUCT(MAX((METAS!$A$5:$A$404="DTNH-03")*(METAS!$B$5:$B$404=$N$6)*(METAS!$D$5:$D$404&lt;=(IF($E$4="",0,IF(ISNUMBER(SEARCH("-SEM",$E$4)),VALUE(LEFT($E$4,4)&amp;IF(RIGHT($E$4,1)="1","01","07")),VALUE(SUBSTITUTE($E$4,"-",""))))))*METAS!$D$5:$D$404)))&gt;0,SUMPRODUCT((METAS!$A$5:$A$404="DTNH-03")*(METAS!$B$5:$B$404=$N$6)*(METAS!$D$5:$D$404=(SUMPRODUCT(MAX((METAS!$A$5:$A$404="DTNH-03")*(METAS!$B$5:$B$404=$N$6)*(METAS!$D$5:$D$404&lt;=(IF($E$4="",0,IF(ISNUMBER(SEARCH("-SEM",$E$4)),VALUE(LEFT($E$4,4)&amp;IF(RIGHT($E$4,1)="1","01","07")),VALUE(SUBSTITUTE($E$4,"-",""))))))*METAS!$D$5:$D$404))))*METAS!$F$5:$F$404),IF((SUMPRODUCT(MAX((METAS!$A$5:$A$404="DTNH-03")*(METAS!$B$5:$B$404="TOTAL")*(METAS!$D$5:$D$404&lt;=(IF($E$4="",0,IF(ISNUMBER(SEARCH("-SEM",$E$4)),VALUE(LEFT($E$4,4)&amp;IF(RIGHT($E$4,1)="1","01","07")),VALUE(SUBSTITUTE($E$4,"-",""))))))*METAS!$D$5:$D$404)))&gt;0,SUMPRODUCT((METAS!$A$5:$A$404="DTNH-03")*(METAS!$B$5:$B$404="TOTAL")*(METAS!$D$5:$D$404=(SUMPRODUCT(MAX((METAS!$A$5:$A$404="DTNH-03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11" s="350">
        <f>SUMIFS(TabelaResultadosAcademicos[Aprovados],TabelaResultadosAcademicos[Período],$H$4,TabelaResultadosAcademicos[Curso],IF($K$4="(todos)","*",$K$4),TabelaResultadosAcademicos[Disciplina],IF($N$4="(todas)","*",$N$4))</f>
        <v/>
      </c>
      <c r="H11" s="347">
        <f>SUMIFS(TabelaResultadosAcademicos[Reprovados por nota],TabelaResultadosAcademicos[Período],$H$4,TabelaResultadosAcademicos[Curso],IF($K$4="(todos)","*",$K$4),TabelaResultadosAcademicos[Disciplina],IF($N$4="(todas)","*",$N$4))</f>
        <v/>
      </c>
      <c r="I11" s="347">
        <f>SUMIFS(TabelaResultadosAcademicos[Reprovados por falta],TabelaResultadosAcademicos[Período],$H$4,TabelaResultadosAcademicos[Curso],IF($K$4="(todos)","*",$K$4),TabelaResultadosAcademicos[Disciplina],IF($N$4="(todas)","*",$N$4))</f>
        <v/>
      </c>
      <c r="J11" s="347">
        <f>SUMIFS(TabelaResultadosAcademicos[Reprovados outros],TabelaResultadosAcademicos[Período],$H$4,TabelaResultadosAcademicos[Curso],IF($K$4="(todos)","*",$K$4),TabelaResultadosAcademicos[Disciplina],IF($N$4="(todas)","*",$N$4))</f>
        <v/>
      </c>
      <c r="K11" s="351">
        <f>IFERROR((SUMIFS(TabelaResultadosAcademicos[Soma das notas],TabelaResultadosAcademicos[Período],$H$4,TabelaResultadosAcademicos[Curso],IF($K$4="(todos)","*",$K$4),TabelaResultadosAcademicos[Disciplina],IF($N$4="(todas)","*",$N$4)))/(SUMIFS(TabelaResultadosAcademicos[Quantidade de notas],TabelaResultadosAcademicos[Período],$H$4,TabelaResultadosAcademicos[Curso],IF($K$4="(todos)","*",$K$4),TabelaResultadosAcademicos[Disciplina],IF($N$4="(todas)","*",$N$4))),"")</f>
        <v/>
      </c>
      <c r="L11" s="343">
        <f>IF(B11="","Sem dados",IF(E11="","Sem meta",IF(B11&gt;=E11,"Dentro da meta",IF(F11="","Fora da meta",IF(B11&gt;=F11,"Atenção","Fora da meta")))))</f>
        <v/>
      </c>
      <c r="M11" s="347">
        <f>SUMIFS(TabelaResultadosAcademicos[Total],TabelaResultadosAcademicos[Período],$H$4,TabelaResultadosAcademicos[Curso],IF($K$4="(todos)","*",$K$4),TabelaResultadosAcademicos[Disciplina],IF($N$4="(todas)","*",$N$4))</f>
        <v/>
      </c>
      <c r="N11" s="343">
        <f>$N$6</f>
        <v/>
      </c>
      <c r="O11" t="inlineStr">
        <is>
          <t>%</t>
        </is>
      </c>
    </row>
    <row r="12" ht="15" customHeight="1" s="131">
      <c r="A12" s="167" t="n"/>
      <c r="B12" s="240" t="n"/>
      <c r="C12" s="169" t="n"/>
      <c r="D12" s="241" t="n"/>
      <c r="E12" s="181" t="n"/>
      <c r="F12" s="241" t="n"/>
      <c r="G12" s="181" t="n"/>
    </row>
    <row r="13" ht="15" customHeight="1" s="131">
      <c r="A13" s="167" t="n"/>
      <c r="B13" s="240" t="n"/>
      <c r="C13" s="169" t="n"/>
      <c r="D13" s="241" t="n"/>
      <c r="E13" s="181" t="n"/>
      <c r="F13" s="241" t="n"/>
      <c r="G13" s="181" t="n"/>
    </row>
    <row r="14" ht="15" customHeight="1" s="131">
      <c r="A14" s="167" t="n"/>
      <c r="B14" s="240" t="n"/>
      <c r="C14" s="169" t="n"/>
      <c r="D14" s="241" t="n"/>
      <c r="E14" s="181" t="n"/>
      <c r="F14" s="241" t="n"/>
      <c r="G14" s="181" t="n"/>
    </row>
    <row r="15" ht="22" customHeight="1" s="131">
      <c r="A15" s="273" t="inlineStr">
        <is>
          <t>NPS POR CURSO — PRECEDÊNCIA MENSAL/SEMESTRAL</t>
        </is>
      </c>
      <c r="B15" s="352" t="n"/>
      <c r="C15" s="352" t="n"/>
      <c r="D15" s="296" t="n"/>
      <c r="E15" s="296" t="n"/>
      <c r="F15" s="296" t="n"/>
      <c r="G15" s="296" t="n"/>
      <c r="H15" s="267" t="n"/>
      <c r="I15" s="267" t="n"/>
      <c r="J15" s="267" t="n"/>
      <c r="K15" s="267" t="n"/>
      <c r="L15" s="267" t="n"/>
      <c r="M15" s="267" t="n"/>
      <c r="N15" s="267" t="n"/>
      <c r="O15" s="267" t="n"/>
    </row>
    <row r="16" ht="30" customHeight="1" s="131">
      <c r="A16" s="282" t="inlineStr">
        <is>
          <t>Curso</t>
        </is>
      </c>
      <c r="B16" s="345" t="inlineStr">
        <is>
          <t>Resp. ref</t>
        </is>
      </c>
      <c r="C16" s="345" t="inlineStr">
        <is>
          <t>Prom. ref</t>
        </is>
      </c>
      <c r="D16" s="298" t="inlineStr">
        <is>
          <t>Detr. ref</t>
        </is>
      </c>
      <c r="E16" s="298" t="inlineStr">
        <is>
          <t>NPS ref</t>
        </is>
      </c>
      <c r="F16" s="298" t="inlineStr">
        <is>
          <t>Resp. comp</t>
        </is>
      </c>
      <c r="G16" s="298" t="inlineStr">
        <is>
          <t>Prom. comp</t>
        </is>
      </c>
      <c r="H16" s="282" t="inlineStr">
        <is>
          <t>Detr. comp</t>
        </is>
      </c>
      <c r="I16" s="282" t="inlineStr">
        <is>
          <t>NPS comp</t>
        </is>
      </c>
      <c r="J16" s="282" t="inlineStr">
        <is>
          <t>Aval. ref</t>
        </is>
      </c>
      <c r="K16" s="282" t="inlineStr">
        <is>
          <t>Aprov. ref</t>
        </is>
      </c>
      <c r="L16" s="282" t="inlineStr">
        <is>
          <t>Média ref</t>
        </is>
      </c>
      <c r="M16" s="282" t="inlineStr">
        <is>
          <t>Rep. nota</t>
        </is>
      </c>
      <c r="N16" s="282" t="inlineStr">
        <is>
          <t>Rep. falta</t>
        </is>
      </c>
      <c r="O16" s="282" t="inlineStr">
        <is>
          <t>Linhas</t>
        </is>
      </c>
    </row>
    <row r="17" ht="15" customHeight="1" s="131">
      <c r="A17" s="167" t="inlineStr">
        <is>
          <t>Administração</t>
        </is>
      </c>
      <c r="B17" s="350">
        <f>IF($A17="","",IF($B$4="Mensal",IF(COUNTIFS(TabelaNPS[Período],$E$4,TabelaNPS[Curso],$A17)&gt;0,SUMIFS(TabelaNPS[Respondentes],TabelaNPS[Período],$E$4,TabelaNPS[Curso],$A17),SUMIFS(TabelaNPS[Respondentes],TabelaNPS[Período],$H$4,TabelaNPS[Curso],$A17)),IF(COUNTIFS(TabelaNPS[Período],$H$4,TabelaNPS[Curso],$A17)&gt;0,SUMIFS(TabelaNPS[Respondentes],TabelaNPS[Período],$H$4,TabelaNPS[Curso],$A17),SUMIFS(TabelaNPS[Respondentes],TabelaNPS[Período],"&gt;="&amp;(LEFT($H$4,4)&amp;"-"&amp;IF(RIGHT($H$4,1)="1","01","07")),TabelaNPS[Período],"&lt;="&amp;(LEFT($H$4,4)&amp;"-"&amp;IF(RIGHT($H$4,1)="1","06","12")),TabelaNPS[Curso],$A17))))</f>
        <v/>
      </c>
      <c r="C17" s="350">
        <f>IF($A17="","",IF($B$4="Mensal",IF(COUNTIFS(TabelaNPS[Período],$E$4,TabelaNPS[Curso],$A17)&gt;0,SUMIFS(TabelaNPS[Promotores (9-10)],TabelaNPS[Período],$E$4,TabelaNPS[Curso],$A17),SUMIFS(TabelaNPS[Promotores (9-10)],TabelaNPS[Período],$H$4,TabelaNPS[Curso],$A17)),IF(COUNTIFS(TabelaNPS[Período],$H$4,TabelaNPS[Curso],$A17)&gt;0,SUMIFS(TabelaNPS[Promotores (9-10)],TabelaNPS[Período],$H$4,TabelaNPS[Curso],$A17),SUMIFS(TabelaNPS[Promotores (9-10)],TabelaNPS[Período],"&gt;="&amp;(LEFT($H$4,4)&amp;"-"&amp;IF(RIGHT($H$4,1)="1","01","07")),TabelaNPS[Período],"&lt;="&amp;(LEFT($H$4,4)&amp;"-"&amp;IF(RIGHT($H$4,1)="1","06","12")),TabelaNPS[Curso],$A17))))</f>
        <v/>
      </c>
      <c r="D17" s="350">
        <f>IF($A17="","",IF($B$4="Mensal",IF(COUNTIFS(TabelaNPS[Período],$E$4,TabelaNPS[Curso],$A17)&gt;0,SUMIFS(TabelaNPS[Detratores (0-6)],TabelaNPS[Período],$E$4,TabelaNPS[Curso],$A17),SUMIFS(TabelaNPS[Detratores (0-6)],TabelaNPS[Período],$H$4,TabelaNPS[Curso],$A17)),IF(COUNTIFS(TabelaNPS[Período],$H$4,TabelaNPS[Curso],$A17)&gt;0,SUMIFS(TabelaNPS[Detratores (0-6)],TabelaNPS[Período],$H$4,TabelaNPS[Curso],$A17),SUMIFS(TabelaNPS[Detratores (0-6)],TabelaNPS[Período],"&gt;="&amp;(LEFT($H$4,4)&amp;"-"&amp;IF(RIGHT($H$4,1)="1","01","07")),TabelaNPS[Período],"&lt;="&amp;(LEFT($H$4,4)&amp;"-"&amp;IF(RIGHT($H$4,1)="1","06","12")),TabelaNPS[Curso],$A17))))</f>
        <v/>
      </c>
      <c r="E17" s="346">
        <f>IFERROR((C17-D17)/B17*100,"")</f>
        <v/>
      </c>
      <c r="F17" s="350">
        <f>IF($A17="","",IF($B$4="Mensal",IF(COUNTIFS(TabelaNPS[Período],$E$5,TabelaNPS[Curso],$A17)&gt;0,SUMIFS(TabelaNPS[Respondentes],TabelaNPS[Período],$E$5,TabelaNPS[Curso],$A17),SUMIFS(TabelaNPS[Respondentes],TabelaNPS[Período],$H$5,TabelaNPS[Curso],$A17)),IF(COUNTIFS(TabelaNPS[Período],$H$5,TabelaNPS[Curso],$A17)&gt;0,SUMIFS(TabelaNPS[Respondentes],TabelaNPS[Período],$H$5,TabelaNPS[Curso],$A17),SUMIFS(TabelaNPS[Respondentes],TabelaNPS[Período],"&gt;="&amp;(LEFT($H$5,4)&amp;"-"&amp;IF(RIGHT($H$5,1)="1","01","07")),TabelaNPS[Período],"&lt;="&amp;(LEFT($H$5,4)&amp;"-"&amp;IF(RIGHT($H$5,1)="1","06","12")),TabelaNPS[Curso],$A17))))</f>
        <v/>
      </c>
      <c r="G17" s="350">
        <f>IF($A17="","",IF($B$4="Mensal",IF(COUNTIFS(TabelaNPS[Período],$E$5,TabelaNPS[Curso],$A17)&gt;0,SUMIFS(TabelaNPS[Promotores (9-10)],TabelaNPS[Período],$E$5,TabelaNPS[Curso],$A17),SUMIFS(TabelaNPS[Promotores (9-10)],TabelaNPS[Período],$H$5,TabelaNPS[Curso],$A17)),IF(COUNTIFS(TabelaNPS[Período],$H$5,TabelaNPS[Curso],$A17)&gt;0,SUMIFS(TabelaNPS[Promotores (9-10)],TabelaNPS[Período],$H$5,TabelaNPS[Curso],$A17),SUMIFS(TabelaNPS[Promotores (9-10)],TabelaNPS[Período],"&gt;="&amp;(LEFT($H$5,4)&amp;"-"&amp;IF(RIGHT($H$5,1)="1","01","07")),TabelaNPS[Período],"&lt;="&amp;(LEFT($H$5,4)&amp;"-"&amp;IF(RIGHT($H$5,1)="1","06","12")),TabelaNPS[Curso],$A17))))</f>
        <v/>
      </c>
      <c r="H17" s="347">
        <f>IF($A17="","",IF($B$4="Mensal",IF(COUNTIFS(TabelaNPS[Período],$E$5,TabelaNPS[Curso],$A17)&gt;0,SUMIFS(TabelaNPS[Detratores (0-6)],TabelaNPS[Período],$E$5,TabelaNPS[Curso],$A17),SUMIFS(TabelaNPS[Detratores (0-6)],TabelaNPS[Período],$H$5,TabelaNPS[Curso],$A17)),IF(COUNTIFS(TabelaNPS[Período],$H$5,TabelaNPS[Curso],$A17)&gt;0,SUMIFS(TabelaNPS[Detratores (0-6)],TabelaNPS[Período],$H$5,TabelaNPS[Curso],$A17),SUMIFS(TabelaNPS[Detratores (0-6)],TabelaNPS[Período],"&gt;="&amp;(LEFT($H$5,4)&amp;"-"&amp;IF(RIGHT($H$5,1)="1","01","07")),TabelaNPS[Período],"&lt;="&amp;(LEFT($H$5,4)&amp;"-"&amp;IF(RIGHT($H$5,1)="1","06","12")),TabelaNPS[Curso],$A17))))</f>
        <v/>
      </c>
      <c r="I17" s="353">
        <f>IFERROR((G17-H17)/F17*100,"")</f>
        <v/>
      </c>
      <c r="J17" s="351">
        <f>IFERROR(SUMPRODUCT(--(TabelaAvaliacaoDocente[Período]=$H$4),--((($A17="(todos)")+(TabelaAvaliacaoDocente[Curso]=$A17))&gt;0),--((("(todas)"="(todas)")+(TabelaAvaliacaoDocente[Disciplina]="(todas)"))&gt;0),TabelaAvaliacaoDocente[Respondentes],TabelaAvaliacaoDocente[Nota Média (0-10)])/SUMPRODUCT(--(TabelaAvaliacaoDocente[Período]=$H$4),--((($A17="(todos)")+(TabelaAvaliacaoDocente[Curso]=$A17))&gt;0),--((("(todas)"="(todas)")+(TabelaAvaliacaoDocente[Disciplina]="(todas)"))&gt;0),TabelaAvaliacaoDocente[Respondentes]),"")</f>
        <v/>
      </c>
      <c r="K17" s="354">
        <f>IFERROR((SUMIFS(TabelaResultadosAcademicos[Aprovados],TabelaResultadosAcademicos[Período],$H$4,TabelaResultadosAcademicos[Curso],IF($A17="(todos)","*",$A17),TabelaResultadosAcademicos[Disciplina],IF("(todas)"="(todas)","*","(todas)")))/((SUMIFS(TabelaResultadosAcademicos[Aprovados],TabelaResultadosAcademicos[Período],$H$4,TabelaResultadosAcademicos[Curso],IF($A17="(todos)","*",$A17),TabelaResultadosAcademicos[Disciplina],IF("(todas)"="(todas)","*","(todas)")))+(SUMIFS(TabelaResultadosAcademicos[Reprovados],TabelaResultadosAcademicos[Período],$H$4,TabelaResultadosAcademicos[Curso],IF($A17="(todos)","*",$A17),TabelaResultadosAcademicos[Disciplina],IF("(todas)"="(todas)","*","(todas)"))))*100,"")</f>
        <v/>
      </c>
      <c r="L17" s="351">
        <f>IFERROR((SUMIFS(TabelaResultadosAcademicos[Soma das notas],TabelaResultadosAcademicos[Período],$H$4,TabelaResultadosAcademicos[Curso],IF($A17="(todos)","*",$A17),TabelaResultadosAcademicos[Disciplina],IF("(todas)"="(todas)","*","(todas)")))/(SUMIFS(TabelaResultadosAcademicos[Quantidade de notas],TabelaResultadosAcademicos[Período],$H$4,TabelaResultadosAcademicos[Curso],IF($A17="(todos)","*",$A17),TabelaResultadosAcademicos[Disciplina],IF("(todas)"="(todas)","*","(todas)"))),"")</f>
        <v/>
      </c>
      <c r="M17" s="347">
        <f>SUMIFS(TabelaResultadosAcademicos[Reprovados por nota],TabelaResultadosAcademicos[Período],$H$4,TabelaResultadosAcademicos[Curso],IF($A17="(todos)","*",$A17),TabelaResultadosAcademicos[Disciplina],IF("(todas)"="(todas)","*","(todas)"))</f>
        <v/>
      </c>
      <c r="N17" s="347">
        <f>SUMIFS(TabelaResultadosAcademicos[Reprovados por falta],TabelaResultadosAcademicos[Período],$H$4,TabelaResultadosAcademicos[Curso],IF($A17="(todos)","*",$A17),TabelaResultadosAcademicos[Disciplina],IF("(todas)"="(todas)","*","(todas)"))</f>
        <v/>
      </c>
      <c r="O17" s="347">
        <f>SUMIFS(TabelaResultadosAcademicos[Total],TabelaResultadosAcademicos[Período],$H$4,TabelaResultadosAcademicos[Curso],IF($A17="(todos)","*",$A17),TabelaResultadosAcademicos[Disciplina],IF("(todas)"="(todas)","*","(todas)"))</f>
        <v/>
      </c>
    </row>
    <row r="18">
      <c r="A18" t="inlineStr">
        <is>
          <t>Análise e Desenvolvimento de Sistemas</t>
        </is>
      </c>
      <c r="B18" s="347">
        <f>IF($A18="","",IF($B$4="Mensal",IF(COUNTIFS(TabelaNPS[Período],$E$4,TabelaNPS[Curso],$A18)&gt;0,SUMIFS(TabelaNPS[Respondentes],TabelaNPS[Período],$E$4,TabelaNPS[Curso],$A18),SUMIFS(TabelaNPS[Respondentes],TabelaNPS[Período],$H$4,TabelaNPS[Curso],$A18)),IF(COUNTIFS(TabelaNPS[Período],$H$4,TabelaNPS[Curso],$A18)&gt;0,SUMIFS(TabelaNPS[Respondentes],TabelaNPS[Período],$H$4,TabelaNPS[Curso],$A18),SUMIFS(TabelaNPS[Respondentes],TabelaNPS[Período],"&gt;="&amp;(LEFT($H$4,4)&amp;"-"&amp;IF(RIGHT($H$4,1)="1","01","07")),TabelaNPS[Período],"&lt;="&amp;(LEFT($H$4,4)&amp;"-"&amp;IF(RIGHT($H$4,1)="1","06","12")),TabelaNPS[Curso],$A18))))</f>
        <v/>
      </c>
      <c r="C18" s="347">
        <f>IF($A18="","",IF($B$4="Mensal",IF(COUNTIFS(TabelaNPS[Período],$E$4,TabelaNPS[Curso],$A18)&gt;0,SUMIFS(TabelaNPS[Promotores (9-10)],TabelaNPS[Período],$E$4,TabelaNPS[Curso],$A18),SUMIFS(TabelaNPS[Promotores (9-10)],TabelaNPS[Período],$H$4,TabelaNPS[Curso],$A18)),IF(COUNTIFS(TabelaNPS[Período],$H$4,TabelaNPS[Curso],$A18)&gt;0,SUMIFS(TabelaNPS[Promotores (9-10)],TabelaNPS[Período],$H$4,TabelaNPS[Curso],$A18),SUMIFS(TabelaNPS[Promotores (9-10)],TabelaNPS[Período],"&gt;="&amp;(LEFT($H$4,4)&amp;"-"&amp;IF(RIGHT($H$4,1)="1","01","07")),TabelaNPS[Período],"&lt;="&amp;(LEFT($H$4,4)&amp;"-"&amp;IF(RIGHT($H$4,1)="1","06","12")),TabelaNPS[Curso],$A18))))</f>
        <v/>
      </c>
      <c r="D18" s="347">
        <f>IF($A18="","",IF($B$4="Mensal",IF(COUNTIFS(TabelaNPS[Período],$E$4,TabelaNPS[Curso],$A18)&gt;0,SUMIFS(TabelaNPS[Detratores (0-6)],TabelaNPS[Período],$E$4,TabelaNPS[Curso],$A18),SUMIFS(TabelaNPS[Detratores (0-6)],TabelaNPS[Período],$H$4,TabelaNPS[Curso],$A18)),IF(COUNTIFS(TabelaNPS[Período],$H$4,TabelaNPS[Curso],$A18)&gt;0,SUMIFS(TabelaNPS[Detratores (0-6)],TabelaNPS[Período],$H$4,TabelaNPS[Curso],$A18),SUMIFS(TabelaNPS[Detratores (0-6)],TabelaNPS[Período],"&gt;="&amp;(LEFT($H$4,4)&amp;"-"&amp;IF(RIGHT($H$4,1)="1","01","07")),TabelaNPS[Período],"&lt;="&amp;(LEFT($H$4,4)&amp;"-"&amp;IF(RIGHT($H$4,1)="1","06","12")),TabelaNPS[Curso],$A18))))</f>
        <v/>
      </c>
      <c r="E18" s="353">
        <f>IFERROR((C18-D18)/B18*100,"")</f>
        <v/>
      </c>
      <c r="F18" s="347">
        <f>IF($A18="","",IF($B$4="Mensal",IF(COUNTIFS(TabelaNPS[Período],$E$5,TabelaNPS[Curso],$A18)&gt;0,SUMIFS(TabelaNPS[Respondentes],TabelaNPS[Período],$E$5,TabelaNPS[Curso],$A18),SUMIFS(TabelaNPS[Respondentes],TabelaNPS[Período],$H$5,TabelaNPS[Curso],$A18)),IF(COUNTIFS(TabelaNPS[Período],$H$5,TabelaNPS[Curso],$A18)&gt;0,SUMIFS(TabelaNPS[Respondentes],TabelaNPS[Período],$H$5,TabelaNPS[Curso],$A18),SUMIFS(TabelaNPS[Respondentes],TabelaNPS[Período],"&gt;="&amp;(LEFT($H$5,4)&amp;"-"&amp;IF(RIGHT($H$5,1)="1","01","07")),TabelaNPS[Período],"&lt;="&amp;(LEFT($H$5,4)&amp;"-"&amp;IF(RIGHT($H$5,1)="1","06","12")),TabelaNPS[Curso],$A18))))</f>
        <v/>
      </c>
      <c r="G18" s="347">
        <f>IF($A18="","",IF($B$4="Mensal",IF(COUNTIFS(TabelaNPS[Período],$E$5,TabelaNPS[Curso],$A18)&gt;0,SUMIFS(TabelaNPS[Promotores (9-10)],TabelaNPS[Período],$E$5,TabelaNPS[Curso],$A18),SUMIFS(TabelaNPS[Promotores (9-10)],TabelaNPS[Período],$H$5,TabelaNPS[Curso],$A18)),IF(COUNTIFS(TabelaNPS[Período],$H$5,TabelaNPS[Curso],$A18)&gt;0,SUMIFS(TabelaNPS[Promotores (9-10)],TabelaNPS[Período],$H$5,TabelaNPS[Curso],$A18),SUMIFS(TabelaNPS[Promotores (9-10)],TabelaNPS[Período],"&gt;="&amp;(LEFT($H$5,4)&amp;"-"&amp;IF(RIGHT($H$5,1)="1","01","07")),TabelaNPS[Período],"&lt;="&amp;(LEFT($H$5,4)&amp;"-"&amp;IF(RIGHT($H$5,1)="1","06","12")),TabelaNPS[Curso],$A18))))</f>
        <v/>
      </c>
      <c r="H18" s="347">
        <f>IF($A18="","",IF($B$4="Mensal",IF(COUNTIFS(TabelaNPS[Período],$E$5,TabelaNPS[Curso],$A18)&gt;0,SUMIFS(TabelaNPS[Detratores (0-6)],TabelaNPS[Período],$E$5,TabelaNPS[Curso],$A18),SUMIFS(TabelaNPS[Detratores (0-6)],TabelaNPS[Período],$H$5,TabelaNPS[Curso],$A18)),IF(COUNTIFS(TabelaNPS[Período],$H$5,TabelaNPS[Curso],$A18)&gt;0,SUMIFS(TabelaNPS[Detratores (0-6)],TabelaNPS[Período],$H$5,TabelaNPS[Curso],$A18),SUMIFS(TabelaNPS[Detratores (0-6)],TabelaNPS[Período],"&gt;="&amp;(LEFT($H$5,4)&amp;"-"&amp;IF(RIGHT($H$5,1)="1","01","07")),TabelaNPS[Período],"&lt;="&amp;(LEFT($H$5,4)&amp;"-"&amp;IF(RIGHT($H$5,1)="1","06","12")),TabelaNPS[Curso],$A18))))</f>
        <v/>
      </c>
      <c r="I18" s="353">
        <f>IFERROR((G18-H18)/F18*100,"")</f>
        <v/>
      </c>
      <c r="J18" s="351">
        <f>IFERROR(SUMPRODUCT(--(TabelaAvaliacaoDocente[Período]=$H$4),--((($A18="(todos)")+(TabelaAvaliacaoDocente[Curso]=$A18))&gt;0),--((("(todas)"="(todas)")+(TabelaAvaliacaoDocente[Disciplina]="(todas)"))&gt;0),TabelaAvaliacaoDocente[Respondentes],TabelaAvaliacaoDocente[Nota Média (0-10)])/SUMPRODUCT(--(TabelaAvaliacaoDocente[Período]=$H$4),--((($A18="(todos)")+(TabelaAvaliacaoDocente[Curso]=$A18))&gt;0),--((("(todas)"="(todas)")+(TabelaAvaliacaoDocente[Disciplina]="(todas)"))&gt;0),TabelaAvaliacaoDocente[Respondentes]),"")</f>
        <v/>
      </c>
      <c r="K18" s="354">
        <f>IFERROR((SUMIFS(TabelaResultadosAcademicos[Aprovados],TabelaResultadosAcademicos[Período],$H$4,TabelaResultadosAcademicos[Curso],IF($A18="(todos)","*",$A18),TabelaResultadosAcademicos[Disciplina],IF("(todas)"="(todas)","*","(todas)")))/((SUMIFS(TabelaResultadosAcademicos[Aprovados],TabelaResultadosAcademicos[Período],$H$4,TabelaResultadosAcademicos[Curso],IF($A18="(todos)","*",$A18),TabelaResultadosAcademicos[Disciplina],IF("(todas)"="(todas)","*","(todas)")))+(SUMIFS(TabelaResultadosAcademicos[Reprovados],TabelaResultadosAcademicos[Período],$H$4,TabelaResultadosAcademicos[Curso],IF($A18="(todos)","*",$A18),TabelaResultadosAcademicos[Disciplina],IF("(todas)"="(todas)","*","(todas)"))))*100,"")</f>
        <v/>
      </c>
      <c r="L18" s="351">
        <f>IFERROR((SUMIFS(TabelaResultadosAcademicos[Soma das notas],TabelaResultadosAcademicos[Período],$H$4,TabelaResultadosAcademicos[Curso],IF($A18="(todos)","*",$A18),TabelaResultadosAcademicos[Disciplina],IF("(todas)"="(todas)","*","(todas)")))/(SUMIFS(TabelaResultadosAcademicos[Quantidade de notas],TabelaResultadosAcademicos[Período],$H$4,TabelaResultadosAcademicos[Curso],IF($A18="(todos)","*",$A18),TabelaResultadosAcademicos[Disciplina],IF("(todas)"="(todas)","*","(todas)"))),"")</f>
        <v/>
      </c>
      <c r="M18" s="347">
        <f>SUMIFS(TabelaResultadosAcademicos[Reprovados por nota],TabelaResultadosAcademicos[Período],$H$4,TabelaResultadosAcademicos[Curso],IF($A18="(todos)","*",$A18),TabelaResultadosAcademicos[Disciplina],IF("(todas)"="(todas)","*","(todas)"))</f>
        <v/>
      </c>
      <c r="N18" s="347">
        <f>SUMIFS(TabelaResultadosAcademicos[Reprovados por falta],TabelaResultadosAcademicos[Período],$H$4,TabelaResultadosAcademicos[Curso],IF($A18="(todos)","*",$A18),TabelaResultadosAcademicos[Disciplina],IF("(todas)"="(todas)","*","(todas)"))</f>
        <v/>
      </c>
      <c r="O18" s="347">
        <f>SUMIFS(TabelaResultadosAcademicos[Total],TabelaResultadosAcademicos[Período],$H$4,TabelaResultadosAcademicos[Curso],IF($A18="(todos)","*",$A18),TabelaResultadosAcademicos[Disciplina],IF("(todas)"="(todas)","*","(todas)"))</f>
        <v/>
      </c>
    </row>
    <row r="19">
      <c r="A19" t="inlineStr">
        <is>
          <t>Agronomia</t>
        </is>
      </c>
      <c r="B19" s="347">
        <f>IF($A19="","",IF($B$4="Mensal",IF(COUNTIFS(TabelaNPS[Período],$E$4,TabelaNPS[Curso],$A19)&gt;0,SUMIFS(TabelaNPS[Respondentes],TabelaNPS[Período],$E$4,TabelaNPS[Curso],$A19),SUMIFS(TabelaNPS[Respondentes],TabelaNPS[Período],$H$4,TabelaNPS[Curso],$A19)),IF(COUNTIFS(TabelaNPS[Período],$H$4,TabelaNPS[Curso],$A19)&gt;0,SUMIFS(TabelaNPS[Respondentes],TabelaNPS[Período],$H$4,TabelaNPS[Curso],$A19),SUMIFS(TabelaNPS[Respondentes],TabelaNPS[Período],"&gt;="&amp;(LEFT($H$4,4)&amp;"-"&amp;IF(RIGHT($H$4,1)="1","01","07")),TabelaNPS[Período],"&lt;="&amp;(LEFT($H$4,4)&amp;"-"&amp;IF(RIGHT($H$4,1)="1","06","12")),TabelaNPS[Curso],$A19))))</f>
        <v/>
      </c>
      <c r="C19" s="347">
        <f>IF($A19="","",IF($B$4="Mensal",IF(COUNTIFS(TabelaNPS[Período],$E$4,TabelaNPS[Curso],$A19)&gt;0,SUMIFS(TabelaNPS[Promotores (9-10)],TabelaNPS[Período],$E$4,TabelaNPS[Curso],$A19),SUMIFS(TabelaNPS[Promotores (9-10)],TabelaNPS[Período],$H$4,TabelaNPS[Curso],$A19)),IF(COUNTIFS(TabelaNPS[Período],$H$4,TabelaNPS[Curso],$A19)&gt;0,SUMIFS(TabelaNPS[Promotores (9-10)],TabelaNPS[Período],$H$4,TabelaNPS[Curso],$A19),SUMIFS(TabelaNPS[Promotores (9-10)],TabelaNPS[Período],"&gt;="&amp;(LEFT($H$4,4)&amp;"-"&amp;IF(RIGHT($H$4,1)="1","01","07")),TabelaNPS[Período],"&lt;="&amp;(LEFT($H$4,4)&amp;"-"&amp;IF(RIGHT($H$4,1)="1","06","12")),TabelaNPS[Curso],$A19))))</f>
        <v/>
      </c>
      <c r="D19" s="347">
        <f>IF($A19="","",IF($B$4="Mensal",IF(COUNTIFS(TabelaNPS[Período],$E$4,TabelaNPS[Curso],$A19)&gt;0,SUMIFS(TabelaNPS[Detratores (0-6)],TabelaNPS[Período],$E$4,TabelaNPS[Curso],$A19),SUMIFS(TabelaNPS[Detratores (0-6)],TabelaNPS[Período],$H$4,TabelaNPS[Curso],$A19)),IF(COUNTIFS(TabelaNPS[Período],$H$4,TabelaNPS[Curso],$A19)&gt;0,SUMIFS(TabelaNPS[Detratores (0-6)],TabelaNPS[Período],$H$4,TabelaNPS[Curso],$A19),SUMIFS(TabelaNPS[Detratores (0-6)],TabelaNPS[Período],"&gt;="&amp;(LEFT($H$4,4)&amp;"-"&amp;IF(RIGHT($H$4,1)="1","01","07")),TabelaNPS[Período],"&lt;="&amp;(LEFT($H$4,4)&amp;"-"&amp;IF(RIGHT($H$4,1)="1","06","12")),TabelaNPS[Curso],$A19))))</f>
        <v/>
      </c>
      <c r="E19" s="353">
        <f>IFERROR((C19-D19)/B19*100,"")</f>
        <v/>
      </c>
      <c r="F19" s="347">
        <f>IF($A19="","",IF($B$4="Mensal",IF(COUNTIFS(TabelaNPS[Período],$E$5,TabelaNPS[Curso],$A19)&gt;0,SUMIFS(TabelaNPS[Respondentes],TabelaNPS[Período],$E$5,TabelaNPS[Curso],$A19),SUMIFS(TabelaNPS[Respondentes],TabelaNPS[Período],$H$5,TabelaNPS[Curso],$A19)),IF(COUNTIFS(TabelaNPS[Período],$H$5,TabelaNPS[Curso],$A19)&gt;0,SUMIFS(TabelaNPS[Respondentes],TabelaNPS[Período],$H$5,TabelaNPS[Curso],$A19),SUMIFS(TabelaNPS[Respondentes],TabelaNPS[Período],"&gt;="&amp;(LEFT($H$5,4)&amp;"-"&amp;IF(RIGHT($H$5,1)="1","01","07")),TabelaNPS[Período],"&lt;="&amp;(LEFT($H$5,4)&amp;"-"&amp;IF(RIGHT($H$5,1)="1","06","12")),TabelaNPS[Curso],$A19))))</f>
        <v/>
      </c>
      <c r="G19" s="347">
        <f>IF($A19="","",IF($B$4="Mensal",IF(COUNTIFS(TabelaNPS[Período],$E$5,TabelaNPS[Curso],$A19)&gt;0,SUMIFS(TabelaNPS[Promotores (9-10)],TabelaNPS[Período],$E$5,TabelaNPS[Curso],$A19),SUMIFS(TabelaNPS[Promotores (9-10)],TabelaNPS[Período],$H$5,TabelaNPS[Curso],$A19)),IF(COUNTIFS(TabelaNPS[Período],$H$5,TabelaNPS[Curso],$A19)&gt;0,SUMIFS(TabelaNPS[Promotores (9-10)],TabelaNPS[Período],$H$5,TabelaNPS[Curso],$A19),SUMIFS(TabelaNPS[Promotores (9-10)],TabelaNPS[Período],"&gt;="&amp;(LEFT($H$5,4)&amp;"-"&amp;IF(RIGHT($H$5,1)="1","01","07")),TabelaNPS[Período],"&lt;="&amp;(LEFT($H$5,4)&amp;"-"&amp;IF(RIGHT($H$5,1)="1","06","12")),TabelaNPS[Curso],$A19))))</f>
        <v/>
      </c>
      <c r="H19" s="347">
        <f>IF($A19="","",IF($B$4="Mensal",IF(COUNTIFS(TabelaNPS[Período],$E$5,TabelaNPS[Curso],$A19)&gt;0,SUMIFS(TabelaNPS[Detratores (0-6)],TabelaNPS[Período],$E$5,TabelaNPS[Curso],$A19),SUMIFS(TabelaNPS[Detratores (0-6)],TabelaNPS[Período],$H$5,TabelaNPS[Curso],$A19)),IF(COUNTIFS(TabelaNPS[Período],$H$5,TabelaNPS[Curso],$A19)&gt;0,SUMIFS(TabelaNPS[Detratores (0-6)],TabelaNPS[Período],$H$5,TabelaNPS[Curso],$A19),SUMIFS(TabelaNPS[Detratores (0-6)],TabelaNPS[Período],"&gt;="&amp;(LEFT($H$5,4)&amp;"-"&amp;IF(RIGHT($H$5,1)="1","01","07")),TabelaNPS[Período],"&lt;="&amp;(LEFT($H$5,4)&amp;"-"&amp;IF(RIGHT($H$5,1)="1","06","12")),TabelaNPS[Curso],$A19))))</f>
        <v/>
      </c>
      <c r="I19" s="353">
        <f>IFERROR((G19-H19)/F19*100,"")</f>
        <v/>
      </c>
      <c r="J19" s="351">
        <f>IFERROR(SUMPRODUCT(--(TabelaAvaliacaoDocente[Período]=$H$4),--((($A19="(todos)")+(TabelaAvaliacaoDocente[Curso]=$A19))&gt;0),--((("(todas)"="(todas)")+(TabelaAvaliacaoDocente[Disciplina]="(todas)"))&gt;0),TabelaAvaliacaoDocente[Respondentes],TabelaAvaliacaoDocente[Nota Média (0-10)])/SUMPRODUCT(--(TabelaAvaliacaoDocente[Período]=$H$4),--((($A19="(todos)")+(TabelaAvaliacaoDocente[Curso]=$A19))&gt;0),--((("(todas)"="(todas)")+(TabelaAvaliacaoDocente[Disciplina]="(todas)"))&gt;0),TabelaAvaliacaoDocente[Respondentes]),"")</f>
        <v/>
      </c>
      <c r="K19" s="354">
        <f>IFERROR((SUMIFS(TabelaResultadosAcademicos[Aprovados],TabelaResultadosAcademicos[Período],$H$4,TabelaResultadosAcademicos[Curso],IF($A19="(todos)","*",$A19),TabelaResultadosAcademicos[Disciplina],IF("(todas)"="(todas)","*","(todas)")))/((SUMIFS(TabelaResultadosAcademicos[Aprovados],TabelaResultadosAcademicos[Período],$H$4,TabelaResultadosAcademicos[Curso],IF($A19="(todos)","*",$A19),TabelaResultadosAcademicos[Disciplina],IF("(todas)"="(todas)","*","(todas)")))+(SUMIFS(TabelaResultadosAcademicos[Reprovados],TabelaResultadosAcademicos[Período],$H$4,TabelaResultadosAcademicos[Curso],IF($A19="(todos)","*",$A19),TabelaResultadosAcademicos[Disciplina],IF("(todas)"="(todas)","*","(todas)"))))*100,"")</f>
        <v/>
      </c>
      <c r="L19" s="351">
        <f>IFERROR((SUMIFS(TabelaResultadosAcademicos[Soma das notas],TabelaResultadosAcademicos[Período],$H$4,TabelaResultadosAcademicos[Curso],IF($A19="(todos)","*",$A19),TabelaResultadosAcademicos[Disciplina],IF("(todas)"="(todas)","*","(todas)")))/(SUMIFS(TabelaResultadosAcademicos[Quantidade de notas],TabelaResultadosAcademicos[Período],$H$4,TabelaResultadosAcademicos[Curso],IF($A19="(todos)","*",$A19),TabelaResultadosAcademicos[Disciplina],IF("(todas)"="(todas)","*","(todas)"))),"")</f>
        <v/>
      </c>
      <c r="M19" s="347">
        <f>SUMIFS(TabelaResultadosAcademicos[Reprovados por nota],TabelaResultadosAcademicos[Período],$H$4,TabelaResultadosAcademicos[Curso],IF($A19="(todos)","*",$A19),TabelaResultadosAcademicos[Disciplina],IF("(todas)"="(todas)","*","(todas)"))</f>
        <v/>
      </c>
      <c r="N19" s="347">
        <f>SUMIFS(TabelaResultadosAcademicos[Reprovados por falta],TabelaResultadosAcademicos[Período],$H$4,TabelaResultadosAcademicos[Curso],IF($A19="(todos)","*",$A19),TabelaResultadosAcademicos[Disciplina],IF("(todas)"="(todas)","*","(todas)"))</f>
        <v/>
      </c>
      <c r="O19" s="347">
        <f>SUMIFS(TabelaResultadosAcademicos[Total],TabelaResultadosAcademicos[Período],$H$4,TabelaResultadosAcademicos[Curso],IF($A19="(todos)","*",$A19),TabelaResultadosAcademicos[Disciplina],IF("(todas)"="(todas)","*","(todas)"))</f>
        <v/>
      </c>
    </row>
    <row r="20" ht="32.25" customHeight="1" s="131">
      <c r="A20" s="198" t="inlineStr">
        <is>
          <t>Arquitetura e Urbanismo</t>
        </is>
      </c>
      <c r="B20" s="347">
        <f>IF($A20="","",IF($B$4="Mensal",IF(COUNTIFS(TabelaNPS[Período],$E$4,TabelaNPS[Curso],$A20)&gt;0,SUMIFS(TabelaNPS[Respondentes],TabelaNPS[Período],$E$4,TabelaNPS[Curso],$A20),SUMIFS(TabelaNPS[Respondentes],TabelaNPS[Período],$H$4,TabelaNPS[Curso],$A20)),IF(COUNTIFS(TabelaNPS[Período],$H$4,TabelaNPS[Curso],$A20)&gt;0,SUMIFS(TabelaNPS[Respondentes],TabelaNPS[Período],$H$4,TabelaNPS[Curso],$A20),SUMIFS(TabelaNPS[Respondentes],TabelaNPS[Período],"&gt;="&amp;(LEFT($H$4,4)&amp;"-"&amp;IF(RIGHT($H$4,1)="1","01","07")),TabelaNPS[Período],"&lt;="&amp;(LEFT($H$4,4)&amp;"-"&amp;IF(RIGHT($H$4,1)="1","06","12")),TabelaNPS[Curso],$A20))))</f>
        <v/>
      </c>
      <c r="C20" s="355">
        <f>IF($A20="","",IF($B$4="Mensal",IF(COUNTIFS(TabelaNPS[Período],$E$4,TabelaNPS[Curso],$A20)&gt;0,SUMIFS(TabelaNPS[Promotores (9-10)],TabelaNPS[Período],$E$4,TabelaNPS[Curso],$A20),SUMIFS(TabelaNPS[Promotores (9-10)],TabelaNPS[Período],$H$4,TabelaNPS[Curso],$A20)),IF(COUNTIFS(TabelaNPS[Período],$H$4,TabelaNPS[Curso],$A20)&gt;0,SUMIFS(TabelaNPS[Promotores (9-10)],TabelaNPS[Período],$H$4,TabelaNPS[Curso],$A20),SUMIFS(TabelaNPS[Promotores (9-10)],TabelaNPS[Período],"&gt;="&amp;(LEFT($H$4,4)&amp;"-"&amp;IF(RIGHT($H$4,1)="1","01","07")),TabelaNPS[Período],"&lt;="&amp;(LEFT($H$4,4)&amp;"-"&amp;IF(RIGHT($H$4,1)="1","06","12")),TabelaNPS[Curso],$A20))))</f>
        <v/>
      </c>
      <c r="D20" s="347">
        <f>IF($A20="","",IF($B$4="Mensal",IF(COUNTIFS(TabelaNPS[Período],$E$4,TabelaNPS[Curso],$A20)&gt;0,SUMIFS(TabelaNPS[Detratores (0-6)],TabelaNPS[Período],$E$4,TabelaNPS[Curso],$A20),SUMIFS(TabelaNPS[Detratores (0-6)],TabelaNPS[Período],$H$4,TabelaNPS[Curso],$A20)),IF(COUNTIFS(TabelaNPS[Período],$H$4,TabelaNPS[Curso],$A20)&gt;0,SUMIFS(TabelaNPS[Detratores (0-6)],TabelaNPS[Período],$H$4,TabelaNPS[Curso],$A20),SUMIFS(TabelaNPS[Detratores (0-6)],TabelaNPS[Período],"&gt;="&amp;(LEFT($H$4,4)&amp;"-"&amp;IF(RIGHT($H$4,1)="1","01","07")),TabelaNPS[Período],"&lt;="&amp;(LEFT($H$4,4)&amp;"-"&amp;IF(RIGHT($H$4,1)="1","06","12")),TabelaNPS[Curso],$A20))))</f>
        <v/>
      </c>
      <c r="E20" s="353">
        <f>IFERROR((C20-D20)/B20*100,"")</f>
        <v/>
      </c>
      <c r="F20" s="347">
        <f>IF($A20="","",IF($B$4="Mensal",IF(COUNTIFS(TabelaNPS[Período],$E$5,TabelaNPS[Curso],$A20)&gt;0,SUMIFS(TabelaNPS[Respondentes],TabelaNPS[Período],$E$5,TabelaNPS[Curso],$A20),SUMIFS(TabelaNPS[Respondentes],TabelaNPS[Período],$H$5,TabelaNPS[Curso],$A20)),IF(COUNTIFS(TabelaNPS[Período],$H$5,TabelaNPS[Curso],$A20)&gt;0,SUMIFS(TabelaNPS[Respondentes],TabelaNPS[Período],$H$5,TabelaNPS[Curso],$A20),SUMIFS(TabelaNPS[Respondentes],TabelaNPS[Período],"&gt;="&amp;(LEFT($H$5,4)&amp;"-"&amp;IF(RIGHT($H$5,1)="1","01","07")),TabelaNPS[Período],"&lt;="&amp;(LEFT($H$5,4)&amp;"-"&amp;IF(RIGHT($H$5,1)="1","06","12")),TabelaNPS[Curso],$A20))))</f>
        <v/>
      </c>
      <c r="G20" s="347">
        <f>IF($A20="","",IF($B$4="Mensal",IF(COUNTIFS(TabelaNPS[Período],$E$5,TabelaNPS[Curso],$A20)&gt;0,SUMIFS(TabelaNPS[Promotores (9-10)],TabelaNPS[Período],$E$5,TabelaNPS[Curso],$A20),SUMIFS(TabelaNPS[Promotores (9-10)],TabelaNPS[Período],$H$5,TabelaNPS[Curso],$A20)),IF(COUNTIFS(TabelaNPS[Período],$H$5,TabelaNPS[Curso],$A20)&gt;0,SUMIFS(TabelaNPS[Promotores (9-10)],TabelaNPS[Período],$H$5,TabelaNPS[Curso],$A20),SUMIFS(TabelaNPS[Promotores (9-10)],TabelaNPS[Período],"&gt;="&amp;(LEFT($H$5,4)&amp;"-"&amp;IF(RIGHT($H$5,1)="1","01","07")),TabelaNPS[Período],"&lt;="&amp;(LEFT($H$5,4)&amp;"-"&amp;IF(RIGHT($H$5,1)="1","06","12")),TabelaNPS[Curso],$A20))))</f>
        <v/>
      </c>
      <c r="H20" s="347">
        <f>IF($A20="","",IF($B$4="Mensal",IF(COUNTIFS(TabelaNPS[Período],$E$5,TabelaNPS[Curso],$A20)&gt;0,SUMIFS(TabelaNPS[Detratores (0-6)],TabelaNPS[Período],$E$5,TabelaNPS[Curso],$A20),SUMIFS(TabelaNPS[Detratores (0-6)],TabelaNPS[Período],$H$5,TabelaNPS[Curso],$A20)),IF(COUNTIFS(TabelaNPS[Período],$H$5,TabelaNPS[Curso],$A20)&gt;0,SUMIFS(TabelaNPS[Detratores (0-6)],TabelaNPS[Período],$H$5,TabelaNPS[Curso],$A20),SUMIFS(TabelaNPS[Detratores (0-6)],TabelaNPS[Período],"&gt;="&amp;(LEFT($H$5,4)&amp;"-"&amp;IF(RIGHT($H$5,1)="1","01","07")),TabelaNPS[Período],"&lt;="&amp;(LEFT($H$5,4)&amp;"-"&amp;IF(RIGHT($H$5,1)="1","06","12")),TabelaNPS[Curso],$A20))))</f>
        <v/>
      </c>
      <c r="I20" s="353">
        <f>IFERROR((G20-H20)/F20*100,"")</f>
        <v/>
      </c>
      <c r="J20" s="351">
        <f>IFERROR(SUMPRODUCT(--(TabelaAvaliacaoDocente[Período]=$H$4),--((($A20="(todos)")+(TabelaAvaliacaoDocente[Curso]=$A20))&gt;0),--((("(todas)"="(todas)")+(TabelaAvaliacaoDocente[Disciplina]="(todas)"))&gt;0),TabelaAvaliacaoDocente[Respondentes],TabelaAvaliacaoDocente[Nota Média (0-10)])/SUMPRODUCT(--(TabelaAvaliacaoDocente[Período]=$H$4),--((($A20="(todos)")+(TabelaAvaliacaoDocente[Curso]=$A20))&gt;0),--((("(todas)"="(todas)")+(TabelaAvaliacaoDocente[Disciplina]="(todas)"))&gt;0),TabelaAvaliacaoDocente[Respondentes]),"")</f>
        <v/>
      </c>
      <c r="K20" s="354">
        <f>IFERROR((SUMIFS(TabelaResultadosAcademicos[Aprovados],TabelaResultadosAcademicos[Período],$H$4,TabelaResultadosAcademicos[Curso],IF($A20="(todos)","*",$A20),TabelaResultadosAcademicos[Disciplina],IF("(todas)"="(todas)","*","(todas)")))/((SUMIFS(TabelaResultadosAcademicos[Aprovados],TabelaResultadosAcademicos[Período],$H$4,TabelaResultadosAcademicos[Curso],IF($A20="(todos)","*",$A20),TabelaResultadosAcademicos[Disciplina],IF("(todas)"="(todas)","*","(todas)")))+(SUMIFS(TabelaResultadosAcademicos[Reprovados],TabelaResultadosAcademicos[Período],$H$4,TabelaResultadosAcademicos[Curso],IF($A20="(todos)","*",$A20),TabelaResultadosAcademicos[Disciplina],IF("(todas)"="(todas)","*","(todas)"))))*100,"")</f>
        <v/>
      </c>
      <c r="L20" s="351">
        <f>IFERROR((SUMIFS(TabelaResultadosAcademicos[Soma das notas],TabelaResultadosAcademicos[Período],$H$4,TabelaResultadosAcademicos[Curso],IF($A20="(todos)","*",$A20),TabelaResultadosAcademicos[Disciplina],IF("(todas)"="(todas)","*","(todas)")))/(SUMIFS(TabelaResultadosAcademicos[Quantidade de notas],TabelaResultadosAcademicos[Período],$H$4,TabelaResultadosAcademicos[Curso],IF($A20="(todos)","*",$A20),TabelaResultadosAcademicos[Disciplina],IF("(todas)"="(todas)","*","(todas)"))),"")</f>
        <v/>
      </c>
      <c r="M20" s="347">
        <f>SUMIFS(TabelaResultadosAcademicos[Reprovados por nota],TabelaResultadosAcademicos[Período],$H$4,TabelaResultadosAcademicos[Curso],IF($A20="(todos)","*",$A20),TabelaResultadosAcademicos[Disciplina],IF("(todas)"="(todas)","*","(todas)"))</f>
        <v/>
      </c>
      <c r="N20" s="347">
        <f>SUMIFS(TabelaResultadosAcademicos[Reprovados por falta],TabelaResultadosAcademicos[Período],$H$4,TabelaResultadosAcademicos[Curso],IF($A20="(todos)","*",$A20),TabelaResultadosAcademicos[Disciplina],IF("(todas)"="(todas)","*","(todas)"))</f>
        <v/>
      </c>
      <c r="O20" s="347">
        <f>SUMIFS(TabelaResultadosAcademicos[Total],TabelaResultadosAcademicos[Período],$H$4,TabelaResultadosAcademicos[Curso],IF($A20="(todos)","*",$A20),TabelaResultadosAcademicos[Disciplina],IF("(todas)"="(todas)","*","(todas)"))</f>
        <v/>
      </c>
    </row>
    <row r="21" ht="31.5" customHeight="1" s="131">
      <c r="A21" s="199" t="inlineStr">
        <is>
          <t>Ciências Contábeis</t>
        </is>
      </c>
      <c r="B21" s="350">
        <f>IF($A21="","",IF($B$4="Mensal",IF(COUNTIFS(TabelaNPS[Período],$E$4,TabelaNPS[Curso],$A21)&gt;0,SUMIFS(TabelaNPS[Respondentes],TabelaNPS[Período],$E$4,TabelaNPS[Curso],$A21),SUMIFS(TabelaNPS[Respondentes],TabelaNPS[Período],$H$4,TabelaNPS[Curso],$A21)),IF(COUNTIFS(TabelaNPS[Período],$H$4,TabelaNPS[Curso],$A21)&gt;0,SUMIFS(TabelaNPS[Respondentes],TabelaNPS[Período],$H$4,TabelaNPS[Curso],$A21),SUMIFS(TabelaNPS[Respondentes],TabelaNPS[Período],"&gt;="&amp;(LEFT($H$4,4)&amp;"-"&amp;IF(RIGHT($H$4,1)="1","01","07")),TabelaNPS[Período],"&lt;="&amp;(LEFT($H$4,4)&amp;"-"&amp;IF(RIGHT($H$4,1)="1","06","12")),TabelaNPS[Curso],$A21))))</f>
        <v/>
      </c>
      <c r="C21" s="350">
        <f>IF($A21="","",IF($B$4="Mensal",IF(COUNTIFS(TabelaNPS[Período],$E$4,TabelaNPS[Curso],$A21)&gt;0,SUMIFS(TabelaNPS[Promotores (9-10)],TabelaNPS[Período],$E$4,TabelaNPS[Curso],$A21),SUMIFS(TabelaNPS[Promotores (9-10)],TabelaNPS[Período],$H$4,TabelaNPS[Curso],$A21)),IF(COUNTIFS(TabelaNPS[Período],$H$4,TabelaNPS[Curso],$A21)&gt;0,SUMIFS(TabelaNPS[Promotores (9-10)],TabelaNPS[Período],$H$4,TabelaNPS[Curso],$A21),SUMIFS(TabelaNPS[Promotores (9-10)],TabelaNPS[Período],"&gt;="&amp;(LEFT($H$4,4)&amp;"-"&amp;IF(RIGHT($H$4,1)="1","01","07")),TabelaNPS[Período],"&lt;="&amp;(LEFT($H$4,4)&amp;"-"&amp;IF(RIGHT($H$4,1)="1","06","12")),TabelaNPS[Curso],$A21))))</f>
        <v/>
      </c>
      <c r="D21" s="350">
        <f>IF($A21="","",IF($B$4="Mensal",IF(COUNTIFS(TabelaNPS[Período],$E$4,TabelaNPS[Curso],$A21)&gt;0,SUMIFS(TabelaNPS[Detratores (0-6)],TabelaNPS[Período],$E$4,TabelaNPS[Curso],$A21),SUMIFS(TabelaNPS[Detratores (0-6)],TabelaNPS[Período],$H$4,TabelaNPS[Curso],$A21)),IF(COUNTIFS(TabelaNPS[Período],$H$4,TabelaNPS[Curso],$A21)&gt;0,SUMIFS(TabelaNPS[Detratores (0-6)],TabelaNPS[Período],$H$4,TabelaNPS[Curso],$A21),SUMIFS(TabelaNPS[Detratores (0-6)],TabelaNPS[Período],"&gt;="&amp;(LEFT($H$4,4)&amp;"-"&amp;IF(RIGHT($H$4,1)="1","01","07")),TabelaNPS[Período],"&lt;="&amp;(LEFT($H$4,4)&amp;"-"&amp;IF(RIGHT($H$4,1)="1","06","12")),TabelaNPS[Curso],$A21))))</f>
        <v/>
      </c>
      <c r="E21" s="346">
        <f>IFERROR((C21-D21)/B21*100,"")</f>
        <v/>
      </c>
      <c r="F21" s="350">
        <f>IF($A21="","",IF($B$4="Mensal",IF(COUNTIFS(TabelaNPS[Período],$E$5,TabelaNPS[Curso],$A21)&gt;0,SUMIFS(TabelaNPS[Respondentes],TabelaNPS[Período],$E$5,TabelaNPS[Curso],$A21),SUMIFS(TabelaNPS[Respondentes],TabelaNPS[Período],$H$5,TabelaNPS[Curso],$A21)),IF(COUNTIFS(TabelaNPS[Período],$H$5,TabelaNPS[Curso],$A21)&gt;0,SUMIFS(TabelaNPS[Respondentes],TabelaNPS[Período],$H$5,TabelaNPS[Curso],$A21),SUMIFS(TabelaNPS[Respondentes],TabelaNPS[Período],"&gt;="&amp;(LEFT($H$5,4)&amp;"-"&amp;IF(RIGHT($H$5,1)="1","01","07")),TabelaNPS[Período],"&lt;="&amp;(LEFT($H$5,4)&amp;"-"&amp;IF(RIGHT($H$5,1)="1","06","12")),TabelaNPS[Curso],$A21))))</f>
        <v/>
      </c>
      <c r="G21" s="350">
        <f>IF($A21="","",IF($B$4="Mensal",IF(COUNTIFS(TabelaNPS[Período],$E$5,TabelaNPS[Curso],$A21)&gt;0,SUMIFS(TabelaNPS[Promotores (9-10)],TabelaNPS[Período],$E$5,TabelaNPS[Curso],$A21),SUMIFS(TabelaNPS[Promotores (9-10)],TabelaNPS[Período],$H$5,TabelaNPS[Curso],$A21)),IF(COUNTIFS(TabelaNPS[Período],$H$5,TabelaNPS[Curso],$A21)&gt;0,SUMIFS(TabelaNPS[Promotores (9-10)],TabelaNPS[Período],$H$5,TabelaNPS[Curso],$A21),SUMIFS(TabelaNPS[Promotores (9-10)],TabelaNPS[Período],"&gt;="&amp;(LEFT($H$5,4)&amp;"-"&amp;IF(RIGHT($H$5,1)="1","01","07")),TabelaNPS[Período],"&lt;="&amp;(LEFT($H$5,4)&amp;"-"&amp;IF(RIGHT($H$5,1)="1","06","12")),TabelaNPS[Curso],$A21))))</f>
        <v/>
      </c>
      <c r="H21" s="350">
        <f>IF($A21="","",IF($B$4="Mensal",IF(COUNTIFS(TabelaNPS[Período],$E$5,TabelaNPS[Curso],$A21)&gt;0,SUMIFS(TabelaNPS[Detratores (0-6)],TabelaNPS[Período],$E$5,TabelaNPS[Curso],$A21),SUMIFS(TabelaNPS[Detratores (0-6)],TabelaNPS[Período],$H$5,TabelaNPS[Curso],$A21)),IF(COUNTIFS(TabelaNPS[Período],$H$5,TabelaNPS[Curso],$A21)&gt;0,SUMIFS(TabelaNPS[Detratores (0-6)],TabelaNPS[Período],$H$5,TabelaNPS[Curso],$A21),SUMIFS(TabelaNPS[Detratores (0-6)],TabelaNPS[Período],"&gt;="&amp;(LEFT($H$5,4)&amp;"-"&amp;IF(RIGHT($H$5,1)="1","01","07")),TabelaNPS[Período],"&lt;="&amp;(LEFT($H$5,4)&amp;"-"&amp;IF(RIGHT($H$5,1)="1","06","12")),TabelaNPS[Curso],$A21))))</f>
        <v/>
      </c>
      <c r="I21" s="346">
        <f>IFERROR((G21-H21)/F21*100,"")</f>
        <v/>
      </c>
      <c r="J21" s="351">
        <f>IFERROR(SUMPRODUCT(--(TabelaAvaliacaoDocente[Período]=$H$4),--((($A21="(todos)")+(TabelaAvaliacaoDocente[Curso]=$A21))&gt;0),--((("(todas)"="(todas)")+(TabelaAvaliacaoDocente[Disciplina]="(todas)"))&gt;0),TabelaAvaliacaoDocente[Respondentes],TabelaAvaliacaoDocente[Nota Média (0-10)])/SUMPRODUCT(--(TabelaAvaliacaoDocente[Período]=$H$4),--((($A21="(todos)")+(TabelaAvaliacaoDocente[Curso]=$A21))&gt;0),--((("(todas)"="(todas)")+(TabelaAvaliacaoDocente[Disciplina]="(todas)"))&gt;0),TabelaAvaliacaoDocente[Respondentes]),"")</f>
        <v/>
      </c>
      <c r="K21" s="354">
        <f>IFERROR((SUMIFS(TabelaResultadosAcademicos[Aprovados],TabelaResultadosAcademicos[Período],$H$4,TabelaResultadosAcademicos[Curso],IF($A21="(todos)","*",$A21),TabelaResultadosAcademicos[Disciplina],IF("(todas)"="(todas)","*","(todas)")))/((SUMIFS(TabelaResultadosAcademicos[Aprovados],TabelaResultadosAcademicos[Período],$H$4,TabelaResultadosAcademicos[Curso],IF($A21="(todos)","*",$A21),TabelaResultadosAcademicos[Disciplina],IF("(todas)"="(todas)","*","(todas)")))+(SUMIFS(TabelaResultadosAcademicos[Reprovados],TabelaResultadosAcademicos[Período],$H$4,TabelaResultadosAcademicos[Curso],IF($A21="(todos)","*",$A21),TabelaResultadosAcademicos[Disciplina],IF("(todas)"="(todas)","*","(todas)"))))*100,"")</f>
        <v/>
      </c>
      <c r="L21" s="351">
        <f>IFERROR((SUMIFS(TabelaResultadosAcademicos[Soma das notas],TabelaResultadosAcademicos[Período],$H$4,TabelaResultadosAcademicos[Curso],IF($A21="(todos)","*",$A21),TabelaResultadosAcademicos[Disciplina],IF("(todas)"="(todas)","*","(todas)")))/(SUMIFS(TabelaResultadosAcademicos[Quantidade de notas],TabelaResultadosAcademicos[Período],$H$4,TabelaResultadosAcademicos[Curso],IF($A21="(todos)","*",$A21),TabelaResultadosAcademicos[Disciplina],IF("(todas)"="(todas)","*","(todas)"))),"")</f>
        <v/>
      </c>
      <c r="M21" s="347">
        <f>SUMIFS(TabelaResultadosAcademicos[Reprovados por nota],TabelaResultadosAcademicos[Período],$H$4,TabelaResultadosAcademicos[Curso],IF($A21="(todos)","*",$A21),TabelaResultadosAcademicos[Disciplina],IF("(todas)"="(todas)","*","(todas)"))</f>
        <v/>
      </c>
      <c r="N21" s="347">
        <f>SUMIFS(TabelaResultadosAcademicos[Reprovados por falta],TabelaResultadosAcademicos[Período],$H$4,TabelaResultadosAcademicos[Curso],IF($A21="(todos)","*",$A21),TabelaResultadosAcademicos[Disciplina],IF("(todas)"="(todas)","*","(todas)"))</f>
        <v/>
      </c>
      <c r="O21" s="347">
        <f>SUMIFS(TabelaResultadosAcademicos[Total],TabelaResultadosAcademicos[Período],$H$4,TabelaResultadosAcademicos[Curso],IF($A21="(todos)","*",$A21),TabelaResultadosAcademicos[Disciplina],IF("(todas)"="(todas)","*","(todas)"))</f>
        <v/>
      </c>
    </row>
    <row r="22" ht="15" customHeight="1" s="131">
      <c r="A22" s="242" t="inlineStr">
        <is>
          <t>Direito</t>
        </is>
      </c>
      <c r="B22" s="350">
        <f>IF($A22="","",IF($B$4="Mensal",IF(COUNTIFS(TabelaNPS[Período],$E$4,TabelaNPS[Curso],$A22)&gt;0,SUMIFS(TabelaNPS[Respondentes],TabelaNPS[Período],$E$4,TabelaNPS[Curso],$A22),SUMIFS(TabelaNPS[Respondentes],TabelaNPS[Período],$H$4,TabelaNPS[Curso],$A22)),IF(COUNTIFS(TabelaNPS[Período],$H$4,TabelaNPS[Curso],$A22)&gt;0,SUMIFS(TabelaNPS[Respondentes],TabelaNPS[Período],$H$4,TabelaNPS[Curso],$A22),SUMIFS(TabelaNPS[Respondentes],TabelaNPS[Período],"&gt;="&amp;(LEFT($H$4,4)&amp;"-"&amp;IF(RIGHT($H$4,1)="1","01","07")),TabelaNPS[Período],"&lt;="&amp;(LEFT($H$4,4)&amp;"-"&amp;IF(RIGHT($H$4,1)="1","06","12")),TabelaNPS[Curso],$A22))))</f>
        <v/>
      </c>
      <c r="C22" s="350">
        <f>IF($A22="","",IF($B$4="Mensal",IF(COUNTIFS(TabelaNPS[Período],$E$4,TabelaNPS[Curso],$A22)&gt;0,SUMIFS(TabelaNPS[Promotores (9-10)],TabelaNPS[Período],$E$4,TabelaNPS[Curso],$A22),SUMIFS(TabelaNPS[Promotores (9-10)],TabelaNPS[Período],$H$4,TabelaNPS[Curso],$A22)),IF(COUNTIFS(TabelaNPS[Período],$H$4,TabelaNPS[Curso],$A22)&gt;0,SUMIFS(TabelaNPS[Promotores (9-10)],TabelaNPS[Período],$H$4,TabelaNPS[Curso],$A22),SUMIFS(TabelaNPS[Promotores (9-10)],TabelaNPS[Período],"&gt;="&amp;(LEFT($H$4,4)&amp;"-"&amp;IF(RIGHT($H$4,1)="1","01","07")),TabelaNPS[Período],"&lt;="&amp;(LEFT($H$4,4)&amp;"-"&amp;IF(RIGHT($H$4,1)="1","06","12")),TabelaNPS[Curso],$A22))))</f>
        <v/>
      </c>
      <c r="D22" s="350">
        <f>IF($A22="","",IF($B$4="Mensal",IF(COUNTIFS(TabelaNPS[Período],$E$4,TabelaNPS[Curso],$A22)&gt;0,SUMIFS(TabelaNPS[Detratores (0-6)],TabelaNPS[Período],$E$4,TabelaNPS[Curso],$A22),SUMIFS(TabelaNPS[Detratores (0-6)],TabelaNPS[Período],$H$4,TabelaNPS[Curso],$A22)),IF(COUNTIFS(TabelaNPS[Período],$H$4,TabelaNPS[Curso],$A22)&gt;0,SUMIFS(TabelaNPS[Detratores (0-6)],TabelaNPS[Período],$H$4,TabelaNPS[Curso],$A22),SUMIFS(TabelaNPS[Detratores (0-6)],TabelaNPS[Período],"&gt;="&amp;(LEFT($H$4,4)&amp;"-"&amp;IF(RIGHT($H$4,1)="1","01","07")),TabelaNPS[Período],"&lt;="&amp;(LEFT($H$4,4)&amp;"-"&amp;IF(RIGHT($H$4,1)="1","06","12")),TabelaNPS[Curso],$A22))))</f>
        <v/>
      </c>
      <c r="E22" s="346">
        <f>IFERROR((C22-D22)/B22*100,"")</f>
        <v/>
      </c>
      <c r="F22" s="350">
        <f>IF($A22="","",IF($B$4="Mensal",IF(COUNTIFS(TabelaNPS[Período],$E$5,TabelaNPS[Curso],$A22)&gt;0,SUMIFS(TabelaNPS[Respondentes],TabelaNPS[Período],$E$5,TabelaNPS[Curso],$A22),SUMIFS(TabelaNPS[Respondentes],TabelaNPS[Período],$H$5,TabelaNPS[Curso],$A22)),IF(COUNTIFS(TabelaNPS[Período],$H$5,TabelaNPS[Curso],$A22)&gt;0,SUMIFS(TabelaNPS[Respondentes],TabelaNPS[Período],$H$5,TabelaNPS[Curso],$A22),SUMIFS(TabelaNPS[Respondentes],TabelaNPS[Período],"&gt;="&amp;(LEFT($H$5,4)&amp;"-"&amp;IF(RIGHT($H$5,1)="1","01","07")),TabelaNPS[Período],"&lt;="&amp;(LEFT($H$5,4)&amp;"-"&amp;IF(RIGHT($H$5,1)="1","06","12")),TabelaNPS[Curso],$A22))))</f>
        <v/>
      </c>
      <c r="G22" s="350">
        <f>IF($A22="","",IF($B$4="Mensal",IF(COUNTIFS(TabelaNPS[Período],$E$5,TabelaNPS[Curso],$A22)&gt;0,SUMIFS(TabelaNPS[Promotores (9-10)],TabelaNPS[Período],$E$5,TabelaNPS[Curso],$A22),SUMIFS(TabelaNPS[Promotores (9-10)],TabelaNPS[Período],$H$5,TabelaNPS[Curso],$A22)),IF(COUNTIFS(TabelaNPS[Período],$H$5,TabelaNPS[Curso],$A22)&gt;0,SUMIFS(TabelaNPS[Promotores (9-10)],TabelaNPS[Período],$H$5,TabelaNPS[Curso],$A22),SUMIFS(TabelaNPS[Promotores (9-10)],TabelaNPS[Período],"&gt;="&amp;(LEFT($H$5,4)&amp;"-"&amp;IF(RIGHT($H$5,1)="1","01","07")),TabelaNPS[Período],"&lt;="&amp;(LEFT($H$5,4)&amp;"-"&amp;IF(RIGHT($H$5,1)="1","06","12")),TabelaNPS[Curso],$A22))))</f>
        <v/>
      </c>
      <c r="H22" s="350">
        <f>IF($A22="","",IF($B$4="Mensal",IF(COUNTIFS(TabelaNPS[Período],$E$5,TabelaNPS[Curso],$A22)&gt;0,SUMIFS(TabelaNPS[Detratores (0-6)],TabelaNPS[Período],$E$5,TabelaNPS[Curso],$A22),SUMIFS(TabelaNPS[Detratores (0-6)],TabelaNPS[Período],$H$5,TabelaNPS[Curso],$A22)),IF(COUNTIFS(TabelaNPS[Período],$H$5,TabelaNPS[Curso],$A22)&gt;0,SUMIFS(TabelaNPS[Detratores (0-6)],TabelaNPS[Período],$H$5,TabelaNPS[Curso],$A22),SUMIFS(TabelaNPS[Detratores (0-6)],TabelaNPS[Período],"&gt;="&amp;(LEFT($H$5,4)&amp;"-"&amp;IF(RIGHT($H$5,1)="1","01","07")),TabelaNPS[Período],"&lt;="&amp;(LEFT($H$5,4)&amp;"-"&amp;IF(RIGHT($H$5,1)="1","06","12")),TabelaNPS[Curso],$A22))))</f>
        <v/>
      </c>
      <c r="I22" s="346">
        <f>IFERROR((G22-H22)/F22*100,"")</f>
        <v/>
      </c>
      <c r="J22" s="351">
        <f>IFERROR(SUMPRODUCT(--(TabelaAvaliacaoDocente[Período]=$H$4),--((($A22="(todos)")+(TabelaAvaliacaoDocente[Curso]=$A22))&gt;0),--((("(todas)"="(todas)")+(TabelaAvaliacaoDocente[Disciplina]="(todas)"))&gt;0),TabelaAvaliacaoDocente[Respondentes],TabelaAvaliacaoDocente[Nota Média (0-10)])/SUMPRODUCT(--(TabelaAvaliacaoDocente[Período]=$H$4),--((($A22="(todos)")+(TabelaAvaliacaoDocente[Curso]=$A22))&gt;0),--((("(todas)"="(todas)")+(TabelaAvaliacaoDocente[Disciplina]="(todas)"))&gt;0),TabelaAvaliacaoDocente[Respondentes]),"")</f>
        <v/>
      </c>
      <c r="K22" s="354">
        <f>IFERROR((SUMIFS(TabelaResultadosAcademicos[Aprovados],TabelaResultadosAcademicos[Período],$H$4,TabelaResultadosAcademicos[Curso],IF($A22="(todos)","*",$A22),TabelaResultadosAcademicos[Disciplina],IF("(todas)"="(todas)","*","(todas)")))/((SUMIFS(TabelaResultadosAcademicos[Aprovados],TabelaResultadosAcademicos[Período],$H$4,TabelaResultadosAcademicos[Curso],IF($A22="(todos)","*",$A22),TabelaResultadosAcademicos[Disciplina],IF("(todas)"="(todas)","*","(todas)")))+(SUMIFS(TabelaResultadosAcademicos[Reprovados],TabelaResultadosAcademicos[Período],$H$4,TabelaResultadosAcademicos[Curso],IF($A22="(todos)","*",$A22),TabelaResultadosAcademicos[Disciplina],IF("(todas)"="(todas)","*","(todas)"))))*100,"")</f>
        <v/>
      </c>
      <c r="L22" s="351">
        <f>IFERROR((SUMIFS(TabelaResultadosAcademicos[Soma das notas],TabelaResultadosAcademicos[Período],$H$4,TabelaResultadosAcademicos[Curso],IF($A22="(todos)","*",$A22),TabelaResultadosAcademicos[Disciplina],IF("(todas)"="(todas)","*","(todas)")))/(SUMIFS(TabelaResultadosAcademicos[Quantidade de notas],TabelaResultadosAcademicos[Período],$H$4,TabelaResultadosAcademicos[Curso],IF($A22="(todos)","*",$A22),TabelaResultadosAcademicos[Disciplina],IF("(todas)"="(todas)","*","(todas)"))),"")</f>
        <v/>
      </c>
      <c r="M22" s="347">
        <f>SUMIFS(TabelaResultadosAcademicos[Reprovados por nota],TabelaResultadosAcademicos[Período],$H$4,TabelaResultadosAcademicos[Curso],IF($A22="(todos)","*",$A22),TabelaResultadosAcademicos[Disciplina],IF("(todas)"="(todas)","*","(todas)"))</f>
        <v/>
      </c>
      <c r="N22" s="347">
        <f>SUMIFS(TabelaResultadosAcademicos[Reprovados por falta],TabelaResultadosAcademicos[Período],$H$4,TabelaResultadosAcademicos[Curso],IF($A22="(todos)","*",$A22),TabelaResultadosAcademicos[Disciplina],IF("(todas)"="(todas)","*","(todas)"))</f>
        <v/>
      </c>
      <c r="O22" s="347">
        <f>SUMIFS(TabelaResultadosAcademicos[Total],TabelaResultadosAcademicos[Período],$H$4,TabelaResultadosAcademicos[Curso],IF($A22="(todos)","*",$A22),TabelaResultadosAcademicos[Disciplina],IF("(todas)"="(todas)","*","(todas)"))</f>
        <v/>
      </c>
    </row>
    <row r="23" ht="15" customHeight="1" s="131">
      <c r="A23" s="242" t="inlineStr">
        <is>
          <t>Engenharia de Produção</t>
        </is>
      </c>
      <c r="B23" s="350">
        <f>IF($A23="","",IF($B$4="Mensal",IF(COUNTIFS(TabelaNPS[Período],$E$4,TabelaNPS[Curso],$A23)&gt;0,SUMIFS(TabelaNPS[Respondentes],TabelaNPS[Período],$E$4,TabelaNPS[Curso],$A23),SUMIFS(TabelaNPS[Respondentes],TabelaNPS[Período],$H$4,TabelaNPS[Curso],$A23)),IF(COUNTIFS(TabelaNPS[Período],$H$4,TabelaNPS[Curso],$A23)&gt;0,SUMIFS(TabelaNPS[Respondentes],TabelaNPS[Período],$H$4,TabelaNPS[Curso],$A23),SUMIFS(TabelaNPS[Respondentes],TabelaNPS[Período],"&gt;="&amp;(LEFT($H$4,4)&amp;"-"&amp;IF(RIGHT($H$4,1)="1","01","07")),TabelaNPS[Período],"&lt;="&amp;(LEFT($H$4,4)&amp;"-"&amp;IF(RIGHT($H$4,1)="1","06","12")),TabelaNPS[Curso],$A23))))</f>
        <v/>
      </c>
      <c r="C23" s="350">
        <f>IF($A23="","",IF($B$4="Mensal",IF(COUNTIFS(TabelaNPS[Período],$E$4,TabelaNPS[Curso],$A23)&gt;0,SUMIFS(TabelaNPS[Promotores (9-10)],TabelaNPS[Período],$E$4,TabelaNPS[Curso],$A23),SUMIFS(TabelaNPS[Promotores (9-10)],TabelaNPS[Período],$H$4,TabelaNPS[Curso],$A23)),IF(COUNTIFS(TabelaNPS[Período],$H$4,TabelaNPS[Curso],$A23)&gt;0,SUMIFS(TabelaNPS[Promotores (9-10)],TabelaNPS[Período],$H$4,TabelaNPS[Curso],$A23),SUMIFS(TabelaNPS[Promotores (9-10)],TabelaNPS[Período],"&gt;="&amp;(LEFT($H$4,4)&amp;"-"&amp;IF(RIGHT($H$4,1)="1","01","07")),TabelaNPS[Período],"&lt;="&amp;(LEFT($H$4,4)&amp;"-"&amp;IF(RIGHT($H$4,1)="1","06","12")),TabelaNPS[Curso],$A23))))</f>
        <v/>
      </c>
      <c r="D23" s="350">
        <f>IF($A23="","",IF($B$4="Mensal",IF(COUNTIFS(TabelaNPS[Período],$E$4,TabelaNPS[Curso],$A23)&gt;0,SUMIFS(TabelaNPS[Detratores (0-6)],TabelaNPS[Período],$E$4,TabelaNPS[Curso],$A23),SUMIFS(TabelaNPS[Detratores (0-6)],TabelaNPS[Período],$H$4,TabelaNPS[Curso],$A23)),IF(COUNTIFS(TabelaNPS[Período],$H$4,TabelaNPS[Curso],$A23)&gt;0,SUMIFS(TabelaNPS[Detratores (0-6)],TabelaNPS[Período],$H$4,TabelaNPS[Curso],$A23),SUMIFS(TabelaNPS[Detratores (0-6)],TabelaNPS[Período],"&gt;="&amp;(LEFT($H$4,4)&amp;"-"&amp;IF(RIGHT($H$4,1)="1","01","07")),TabelaNPS[Período],"&lt;="&amp;(LEFT($H$4,4)&amp;"-"&amp;IF(RIGHT($H$4,1)="1","06","12")),TabelaNPS[Curso],$A23))))</f>
        <v/>
      </c>
      <c r="E23" s="346">
        <f>IFERROR((C23-D23)/B23*100,"")</f>
        <v/>
      </c>
      <c r="F23" s="350">
        <f>IF($A23="","",IF($B$4="Mensal",IF(COUNTIFS(TabelaNPS[Período],$E$5,TabelaNPS[Curso],$A23)&gt;0,SUMIFS(TabelaNPS[Respondentes],TabelaNPS[Período],$E$5,TabelaNPS[Curso],$A23),SUMIFS(TabelaNPS[Respondentes],TabelaNPS[Período],$H$5,TabelaNPS[Curso],$A23)),IF(COUNTIFS(TabelaNPS[Período],$H$5,TabelaNPS[Curso],$A23)&gt;0,SUMIFS(TabelaNPS[Respondentes],TabelaNPS[Período],$H$5,TabelaNPS[Curso],$A23),SUMIFS(TabelaNPS[Respondentes],TabelaNPS[Período],"&gt;="&amp;(LEFT($H$5,4)&amp;"-"&amp;IF(RIGHT($H$5,1)="1","01","07")),TabelaNPS[Período],"&lt;="&amp;(LEFT($H$5,4)&amp;"-"&amp;IF(RIGHT($H$5,1)="1","06","12")),TabelaNPS[Curso],$A23))))</f>
        <v/>
      </c>
      <c r="G23" s="350">
        <f>IF($A23="","",IF($B$4="Mensal",IF(COUNTIFS(TabelaNPS[Período],$E$5,TabelaNPS[Curso],$A23)&gt;0,SUMIFS(TabelaNPS[Promotores (9-10)],TabelaNPS[Período],$E$5,TabelaNPS[Curso],$A23),SUMIFS(TabelaNPS[Promotores (9-10)],TabelaNPS[Período],$H$5,TabelaNPS[Curso],$A23)),IF(COUNTIFS(TabelaNPS[Período],$H$5,TabelaNPS[Curso],$A23)&gt;0,SUMIFS(TabelaNPS[Promotores (9-10)],TabelaNPS[Período],$H$5,TabelaNPS[Curso],$A23),SUMIFS(TabelaNPS[Promotores (9-10)],TabelaNPS[Período],"&gt;="&amp;(LEFT($H$5,4)&amp;"-"&amp;IF(RIGHT($H$5,1)="1","01","07")),TabelaNPS[Período],"&lt;="&amp;(LEFT($H$5,4)&amp;"-"&amp;IF(RIGHT($H$5,1)="1","06","12")),TabelaNPS[Curso],$A23))))</f>
        <v/>
      </c>
      <c r="H23" s="350">
        <f>IF($A23="","",IF($B$4="Mensal",IF(COUNTIFS(TabelaNPS[Período],$E$5,TabelaNPS[Curso],$A23)&gt;0,SUMIFS(TabelaNPS[Detratores (0-6)],TabelaNPS[Período],$E$5,TabelaNPS[Curso],$A23),SUMIFS(TabelaNPS[Detratores (0-6)],TabelaNPS[Período],$H$5,TabelaNPS[Curso],$A23)),IF(COUNTIFS(TabelaNPS[Período],$H$5,TabelaNPS[Curso],$A23)&gt;0,SUMIFS(TabelaNPS[Detratores (0-6)],TabelaNPS[Período],$H$5,TabelaNPS[Curso],$A23),SUMIFS(TabelaNPS[Detratores (0-6)],TabelaNPS[Período],"&gt;="&amp;(LEFT($H$5,4)&amp;"-"&amp;IF(RIGHT($H$5,1)="1","01","07")),TabelaNPS[Período],"&lt;="&amp;(LEFT($H$5,4)&amp;"-"&amp;IF(RIGHT($H$5,1)="1","06","12")),TabelaNPS[Curso],$A23))))</f>
        <v/>
      </c>
      <c r="I23" s="346">
        <f>IFERROR((G23-H23)/F23*100,"")</f>
        <v/>
      </c>
      <c r="J23" s="351">
        <f>IFERROR(SUMPRODUCT(--(TabelaAvaliacaoDocente[Período]=$H$4),--((($A23="(todos)")+(TabelaAvaliacaoDocente[Curso]=$A23))&gt;0),--((("(todas)"="(todas)")+(TabelaAvaliacaoDocente[Disciplina]="(todas)"))&gt;0),TabelaAvaliacaoDocente[Respondentes],TabelaAvaliacaoDocente[Nota Média (0-10)])/SUMPRODUCT(--(TabelaAvaliacaoDocente[Período]=$H$4),--((($A23="(todos)")+(TabelaAvaliacaoDocente[Curso]=$A23))&gt;0),--((("(todas)"="(todas)")+(TabelaAvaliacaoDocente[Disciplina]="(todas)"))&gt;0),TabelaAvaliacaoDocente[Respondentes]),"")</f>
        <v/>
      </c>
      <c r="K23" s="354">
        <f>IFERROR((SUMIFS(TabelaResultadosAcademicos[Aprovados],TabelaResultadosAcademicos[Período],$H$4,TabelaResultadosAcademicos[Curso],IF($A23="(todos)","*",$A23),TabelaResultadosAcademicos[Disciplina],IF("(todas)"="(todas)","*","(todas)")))/((SUMIFS(TabelaResultadosAcademicos[Aprovados],TabelaResultadosAcademicos[Período],$H$4,TabelaResultadosAcademicos[Curso],IF($A23="(todos)","*",$A23),TabelaResultadosAcademicos[Disciplina],IF("(todas)"="(todas)","*","(todas)")))+(SUMIFS(TabelaResultadosAcademicos[Reprovados],TabelaResultadosAcademicos[Período],$H$4,TabelaResultadosAcademicos[Curso],IF($A23="(todos)","*",$A23),TabelaResultadosAcademicos[Disciplina],IF("(todas)"="(todas)","*","(todas)"))))*100,"")</f>
        <v/>
      </c>
      <c r="L23" s="351">
        <f>IFERROR((SUMIFS(TabelaResultadosAcademicos[Soma das notas],TabelaResultadosAcademicos[Período],$H$4,TabelaResultadosAcademicos[Curso],IF($A23="(todos)","*",$A23),TabelaResultadosAcademicos[Disciplina],IF("(todas)"="(todas)","*","(todas)")))/(SUMIFS(TabelaResultadosAcademicos[Quantidade de notas],TabelaResultadosAcademicos[Período],$H$4,TabelaResultadosAcademicos[Curso],IF($A23="(todos)","*",$A23),TabelaResultadosAcademicos[Disciplina],IF("(todas)"="(todas)","*","(todas)"))),"")</f>
        <v/>
      </c>
      <c r="M23" s="347">
        <f>SUMIFS(TabelaResultadosAcademicos[Reprovados por nota],TabelaResultadosAcademicos[Período],$H$4,TabelaResultadosAcademicos[Curso],IF($A23="(todos)","*",$A23),TabelaResultadosAcademicos[Disciplina],IF("(todas)"="(todas)","*","(todas)"))</f>
        <v/>
      </c>
      <c r="N23" s="347">
        <f>SUMIFS(TabelaResultadosAcademicos[Reprovados por falta],TabelaResultadosAcademicos[Período],$H$4,TabelaResultadosAcademicos[Curso],IF($A23="(todos)","*",$A23),TabelaResultadosAcademicos[Disciplina],IF("(todas)"="(todas)","*","(todas)"))</f>
        <v/>
      </c>
      <c r="O23" s="347">
        <f>SUMIFS(TabelaResultadosAcademicos[Total],TabelaResultadosAcademicos[Período],$H$4,TabelaResultadosAcademicos[Curso],IF($A23="(todos)","*",$A23),TabelaResultadosAcademicos[Disciplina],IF("(todas)"="(todas)","*","(todas)"))</f>
        <v/>
      </c>
    </row>
    <row r="24" ht="15" customHeight="1" s="131">
      <c r="A24" s="242" t="inlineStr">
        <is>
          <t>Engenharia Mecânica</t>
        </is>
      </c>
      <c r="B24" s="350">
        <f>IF($A24="","",IF($B$4="Mensal",IF(COUNTIFS(TabelaNPS[Período],$E$4,TabelaNPS[Curso],$A24)&gt;0,SUMIFS(TabelaNPS[Respondentes],TabelaNPS[Período],$E$4,TabelaNPS[Curso],$A24),SUMIFS(TabelaNPS[Respondentes],TabelaNPS[Período],$H$4,TabelaNPS[Curso],$A24)),IF(COUNTIFS(TabelaNPS[Período],$H$4,TabelaNPS[Curso],$A24)&gt;0,SUMIFS(TabelaNPS[Respondentes],TabelaNPS[Período],$H$4,TabelaNPS[Curso],$A24),SUMIFS(TabelaNPS[Respondentes],TabelaNPS[Período],"&gt;="&amp;(LEFT($H$4,4)&amp;"-"&amp;IF(RIGHT($H$4,1)="1","01","07")),TabelaNPS[Período],"&lt;="&amp;(LEFT($H$4,4)&amp;"-"&amp;IF(RIGHT($H$4,1)="1","06","12")),TabelaNPS[Curso],$A24))))</f>
        <v/>
      </c>
      <c r="C24" s="350">
        <f>IF($A24="","",IF($B$4="Mensal",IF(COUNTIFS(TabelaNPS[Período],$E$4,TabelaNPS[Curso],$A24)&gt;0,SUMIFS(TabelaNPS[Promotores (9-10)],TabelaNPS[Período],$E$4,TabelaNPS[Curso],$A24),SUMIFS(TabelaNPS[Promotores (9-10)],TabelaNPS[Período],$H$4,TabelaNPS[Curso],$A24)),IF(COUNTIFS(TabelaNPS[Período],$H$4,TabelaNPS[Curso],$A24)&gt;0,SUMIFS(TabelaNPS[Promotores (9-10)],TabelaNPS[Período],$H$4,TabelaNPS[Curso],$A24),SUMIFS(TabelaNPS[Promotores (9-10)],TabelaNPS[Período],"&gt;="&amp;(LEFT($H$4,4)&amp;"-"&amp;IF(RIGHT($H$4,1)="1","01","07")),TabelaNPS[Período],"&lt;="&amp;(LEFT($H$4,4)&amp;"-"&amp;IF(RIGHT($H$4,1)="1","06","12")),TabelaNPS[Curso],$A24))))</f>
        <v/>
      </c>
      <c r="D24" s="350">
        <f>IF($A24="","",IF($B$4="Mensal",IF(COUNTIFS(TabelaNPS[Período],$E$4,TabelaNPS[Curso],$A24)&gt;0,SUMIFS(TabelaNPS[Detratores (0-6)],TabelaNPS[Período],$E$4,TabelaNPS[Curso],$A24),SUMIFS(TabelaNPS[Detratores (0-6)],TabelaNPS[Período],$H$4,TabelaNPS[Curso],$A24)),IF(COUNTIFS(TabelaNPS[Período],$H$4,TabelaNPS[Curso],$A24)&gt;0,SUMIFS(TabelaNPS[Detratores (0-6)],TabelaNPS[Período],$H$4,TabelaNPS[Curso],$A24),SUMIFS(TabelaNPS[Detratores (0-6)],TabelaNPS[Período],"&gt;="&amp;(LEFT($H$4,4)&amp;"-"&amp;IF(RIGHT($H$4,1)="1","01","07")),TabelaNPS[Período],"&lt;="&amp;(LEFT($H$4,4)&amp;"-"&amp;IF(RIGHT($H$4,1)="1","06","12")),TabelaNPS[Curso],$A24))))</f>
        <v/>
      </c>
      <c r="E24" s="346">
        <f>IFERROR((C24-D24)/B24*100,"")</f>
        <v/>
      </c>
      <c r="F24" s="350">
        <f>IF($A24="","",IF($B$4="Mensal",IF(COUNTIFS(TabelaNPS[Período],$E$5,TabelaNPS[Curso],$A24)&gt;0,SUMIFS(TabelaNPS[Respondentes],TabelaNPS[Período],$E$5,TabelaNPS[Curso],$A24),SUMIFS(TabelaNPS[Respondentes],TabelaNPS[Período],$H$5,TabelaNPS[Curso],$A24)),IF(COUNTIFS(TabelaNPS[Período],$H$5,TabelaNPS[Curso],$A24)&gt;0,SUMIFS(TabelaNPS[Respondentes],TabelaNPS[Período],$H$5,TabelaNPS[Curso],$A24),SUMIFS(TabelaNPS[Respondentes],TabelaNPS[Período],"&gt;="&amp;(LEFT($H$5,4)&amp;"-"&amp;IF(RIGHT($H$5,1)="1","01","07")),TabelaNPS[Período],"&lt;="&amp;(LEFT($H$5,4)&amp;"-"&amp;IF(RIGHT($H$5,1)="1","06","12")),TabelaNPS[Curso],$A24))))</f>
        <v/>
      </c>
      <c r="G24" s="350">
        <f>IF($A24="","",IF($B$4="Mensal",IF(COUNTIFS(TabelaNPS[Período],$E$5,TabelaNPS[Curso],$A24)&gt;0,SUMIFS(TabelaNPS[Promotores (9-10)],TabelaNPS[Período],$E$5,TabelaNPS[Curso],$A24),SUMIFS(TabelaNPS[Promotores (9-10)],TabelaNPS[Período],$H$5,TabelaNPS[Curso],$A24)),IF(COUNTIFS(TabelaNPS[Período],$H$5,TabelaNPS[Curso],$A24)&gt;0,SUMIFS(TabelaNPS[Promotores (9-10)],TabelaNPS[Período],$H$5,TabelaNPS[Curso],$A24),SUMIFS(TabelaNPS[Promotores (9-10)],TabelaNPS[Período],"&gt;="&amp;(LEFT($H$5,4)&amp;"-"&amp;IF(RIGHT($H$5,1)="1","01","07")),TabelaNPS[Período],"&lt;="&amp;(LEFT($H$5,4)&amp;"-"&amp;IF(RIGHT($H$5,1)="1","06","12")),TabelaNPS[Curso],$A24))))</f>
        <v/>
      </c>
      <c r="H24" s="350">
        <f>IF($A24="","",IF($B$4="Mensal",IF(COUNTIFS(TabelaNPS[Período],$E$5,TabelaNPS[Curso],$A24)&gt;0,SUMIFS(TabelaNPS[Detratores (0-6)],TabelaNPS[Período],$E$5,TabelaNPS[Curso],$A24),SUMIFS(TabelaNPS[Detratores (0-6)],TabelaNPS[Período],$H$5,TabelaNPS[Curso],$A24)),IF(COUNTIFS(TabelaNPS[Período],$H$5,TabelaNPS[Curso],$A24)&gt;0,SUMIFS(TabelaNPS[Detratores (0-6)],TabelaNPS[Período],$H$5,TabelaNPS[Curso],$A24),SUMIFS(TabelaNPS[Detratores (0-6)],TabelaNPS[Período],"&gt;="&amp;(LEFT($H$5,4)&amp;"-"&amp;IF(RIGHT($H$5,1)="1","01","07")),TabelaNPS[Período],"&lt;="&amp;(LEFT($H$5,4)&amp;"-"&amp;IF(RIGHT($H$5,1)="1","06","12")),TabelaNPS[Curso],$A24))))</f>
        <v/>
      </c>
      <c r="I24" s="346">
        <f>IFERROR((G24-H24)/F24*100,"")</f>
        <v/>
      </c>
      <c r="J24" s="351">
        <f>IFERROR(SUMPRODUCT(--(TabelaAvaliacaoDocente[Período]=$H$4),--((($A24="(todos)")+(TabelaAvaliacaoDocente[Curso]=$A24))&gt;0),--((("(todas)"="(todas)")+(TabelaAvaliacaoDocente[Disciplina]="(todas)"))&gt;0),TabelaAvaliacaoDocente[Respondentes],TabelaAvaliacaoDocente[Nota Média (0-10)])/SUMPRODUCT(--(TabelaAvaliacaoDocente[Período]=$H$4),--((($A24="(todos)")+(TabelaAvaliacaoDocente[Curso]=$A24))&gt;0),--((("(todas)"="(todas)")+(TabelaAvaliacaoDocente[Disciplina]="(todas)"))&gt;0),TabelaAvaliacaoDocente[Respondentes]),"")</f>
        <v/>
      </c>
      <c r="K24" s="354">
        <f>IFERROR((SUMIFS(TabelaResultadosAcademicos[Aprovados],TabelaResultadosAcademicos[Período],$H$4,TabelaResultadosAcademicos[Curso],IF($A24="(todos)","*",$A24),TabelaResultadosAcademicos[Disciplina],IF("(todas)"="(todas)","*","(todas)")))/((SUMIFS(TabelaResultadosAcademicos[Aprovados],TabelaResultadosAcademicos[Período],$H$4,TabelaResultadosAcademicos[Curso],IF($A24="(todos)","*",$A24),TabelaResultadosAcademicos[Disciplina],IF("(todas)"="(todas)","*","(todas)")))+(SUMIFS(TabelaResultadosAcademicos[Reprovados],TabelaResultadosAcademicos[Período],$H$4,TabelaResultadosAcademicos[Curso],IF($A24="(todos)","*",$A24),TabelaResultadosAcademicos[Disciplina],IF("(todas)"="(todas)","*","(todas)"))))*100,"")</f>
        <v/>
      </c>
      <c r="L24" s="351">
        <f>IFERROR((SUMIFS(TabelaResultadosAcademicos[Soma das notas],TabelaResultadosAcademicos[Período],$H$4,TabelaResultadosAcademicos[Curso],IF($A24="(todos)","*",$A24),TabelaResultadosAcademicos[Disciplina],IF("(todas)"="(todas)","*","(todas)")))/(SUMIFS(TabelaResultadosAcademicos[Quantidade de notas],TabelaResultadosAcademicos[Período],$H$4,TabelaResultadosAcademicos[Curso],IF($A24="(todos)","*",$A24),TabelaResultadosAcademicos[Disciplina],IF("(todas)"="(todas)","*","(todas)"))),"")</f>
        <v/>
      </c>
      <c r="M24" s="347">
        <f>SUMIFS(TabelaResultadosAcademicos[Reprovados por nota],TabelaResultadosAcademicos[Período],$H$4,TabelaResultadosAcademicos[Curso],IF($A24="(todos)","*",$A24),TabelaResultadosAcademicos[Disciplina],IF("(todas)"="(todas)","*","(todas)"))</f>
        <v/>
      </c>
      <c r="N24" s="347">
        <f>SUMIFS(TabelaResultadosAcademicos[Reprovados por falta],TabelaResultadosAcademicos[Período],$H$4,TabelaResultadosAcademicos[Curso],IF($A24="(todos)","*",$A24),TabelaResultadosAcademicos[Disciplina],IF("(todas)"="(todas)","*","(todas)"))</f>
        <v/>
      </c>
      <c r="O24" s="347">
        <f>SUMIFS(TabelaResultadosAcademicos[Total],TabelaResultadosAcademicos[Período],$H$4,TabelaResultadosAcademicos[Curso],IF($A24="(todos)","*",$A24),TabelaResultadosAcademicos[Disciplina],IF("(todas)"="(todas)","*","(todas)"))</f>
        <v/>
      </c>
    </row>
    <row r="25" ht="15" customHeight="1" s="131">
      <c r="A25" s="242" t="inlineStr">
        <is>
          <t>Comunicação Social - Publicidade e Propaganda</t>
        </is>
      </c>
      <c r="B25" s="350">
        <f>IF($A25="","",IF($B$4="Mensal",IF(COUNTIFS(TabelaNPS[Período],$E$4,TabelaNPS[Curso],$A25)&gt;0,SUMIFS(TabelaNPS[Respondentes],TabelaNPS[Período],$E$4,TabelaNPS[Curso],$A25),SUMIFS(TabelaNPS[Respondentes],TabelaNPS[Período],$H$4,TabelaNPS[Curso],$A25)),IF(COUNTIFS(TabelaNPS[Período],$H$4,TabelaNPS[Curso],$A25)&gt;0,SUMIFS(TabelaNPS[Respondentes],TabelaNPS[Período],$H$4,TabelaNPS[Curso],$A25),SUMIFS(TabelaNPS[Respondentes],TabelaNPS[Período],"&gt;="&amp;(LEFT($H$4,4)&amp;"-"&amp;IF(RIGHT($H$4,1)="1","01","07")),TabelaNPS[Período],"&lt;="&amp;(LEFT($H$4,4)&amp;"-"&amp;IF(RIGHT($H$4,1)="1","06","12")),TabelaNPS[Curso],$A25))))</f>
        <v/>
      </c>
      <c r="C25" s="350">
        <f>IF($A25="","",IF($B$4="Mensal",IF(COUNTIFS(TabelaNPS[Período],$E$4,TabelaNPS[Curso],$A25)&gt;0,SUMIFS(TabelaNPS[Promotores (9-10)],TabelaNPS[Período],$E$4,TabelaNPS[Curso],$A25),SUMIFS(TabelaNPS[Promotores (9-10)],TabelaNPS[Período],$H$4,TabelaNPS[Curso],$A25)),IF(COUNTIFS(TabelaNPS[Período],$H$4,TabelaNPS[Curso],$A25)&gt;0,SUMIFS(TabelaNPS[Promotores (9-10)],TabelaNPS[Período],$H$4,TabelaNPS[Curso],$A25),SUMIFS(TabelaNPS[Promotores (9-10)],TabelaNPS[Período],"&gt;="&amp;(LEFT($H$4,4)&amp;"-"&amp;IF(RIGHT($H$4,1)="1","01","07")),TabelaNPS[Período],"&lt;="&amp;(LEFT($H$4,4)&amp;"-"&amp;IF(RIGHT($H$4,1)="1","06","12")),TabelaNPS[Curso],$A25))))</f>
        <v/>
      </c>
      <c r="D25" s="350">
        <f>IF($A25="","",IF($B$4="Mensal",IF(COUNTIFS(TabelaNPS[Período],$E$4,TabelaNPS[Curso],$A25)&gt;0,SUMIFS(TabelaNPS[Detratores (0-6)],TabelaNPS[Período],$E$4,TabelaNPS[Curso],$A25),SUMIFS(TabelaNPS[Detratores (0-6)],TabelaNPS[Período],$H$4,TabelaNPS[Curso],$A25)),IF(COUNTIFS(TabelaNPS[Período],$H$4,TabelaNPS[Curso],$A25)&gt;0,SUMIFS(TabelaNPS[Detratores (0-6)],TabelaNPS[Período],$H$4,TabelaNPS[Curso],$A25),SUMIFS(TabelaNPS[Detratores (0-6)],TabelaNPS[Período],"&gt;="&amp;(LEFT($H$4,4)&amp;"-"&amp;IF(RIGHT($H$4,1)="1","01","07")),TabelaNPS[Período],"&lt;="&amp;(LEFT($H$4,4)&amp;"-"&amp;IF(RIGHT($H$4,1)="1","06","12")),TabelaNPS[Curso],$A25))))</f>
        <v/>
      </c>
      <c r="E25" s="346">
        <f>IFERROR((C25-D25)/B25*100,"")</f>
        <v/>
      </c>
      <c r="F25" s="350">
        <f>IF($A25="","",IF($B$4="Mensal",IF(COUNTIFS(TabelaNPS[Período],$E$5,TabelaNPS[Curso],$A25)&gt;0,SUMIFS(TabelaNPS[Respondentes],TabelaNPS[Período],$E$5,TabelaNPS[Curso],$A25),SUMIFS(TabelaNPS[Respondentes],TabelaNPS[Período],$H$5,TabelaNPS[Curso],$A25)),IF(COUNTIFS(TabelaNPS[Período],$H$5,TabelaNPS[Curso],$A25)&gt;0,SUMIFS(TabelaNPS[Respondentes],TabelaNPS[Período],$H$5,TabelaNPS[Curso],$A25),SUMIFS(TabelaNPS[Respondentes],TabelaNPS[Período],"&gt;="&amp;(LEFT($H$5,4)&amp;"-"&amp;IF(RIGHT($H$5,1)="1","01","07")),TabelaNPS[Período],"&lt;="&amp;(LEFT($H$5,4)&amp;"-"&amp;IF(RIGHT($H$5,1)="1","06","12")),TabelaNPS[Curso],$A25))))</f>
        <v/>
      </c>
      <c r="G25" s="350">
        <f>IF($A25="","",IF($B$4="Mensal",IF(COUNTIFS(TabelaNPS[Período],$E$5,TabelaNPS[Curso],$A25)&gt;0,SUMIFS(TabelaNPS[Promotores (9-10)],TabelaNPS[Período],$E$5,TabelaNPS[Curso],$A25),SUMIFS(TabelaNPS[Promotores (9-10)],TabelaNPS[Período],$H$5,TabelaNPS[Curso],$A25)),IF(COUNTIFS(TabelaNPS[Período],$H$5,TabelaNPS[Curso],$A25)&gt;0,SUMIFS(TabelaNPS[Promotores (9-10)],TabelaNPS[Período],$H$5,TabelaNPS[Curso],$A25),SUMIFS(TabelaNPS[Promotores (9-10)],TabelaNPS[Período],"&gt;="&amp;(LEFT($H$5,4)&amp;"-"&amp;IF(RIGHT($H$5,1)="1","01","07")),TabelaNPS[Período],"&lt;="&amp;(LEFT($H$5,4)&amp;"-"&amp;IF(RIGHT($H$5,1)="1","06","12")),TabelaNPS[Curso],$A25))))</f>
        <v/>
      </c>
      <c r="H25" s="350">
        <f>IF($A25="","",IF($B$4="Mensal",IF(COUNTIFS(TabelaNPS[Período],$E$5,TabelaNPS[Curso],$A25)&gt;0,SUMIFS(TabelaNPS[Detratores (0-6)],TabelaNPS[Período],$E$5,TabelaNPS[Curso],$A25),SUMIFS(TabelaNPS[Detratores (0-6)],TabelaNPS[Período],$H$5,TabelaNPS[Curso],$A25)),IF(COUNTIFS(TabelaNPS[Período],$H$5,TabelaNPS[Curso],$A25)&gt;0,SUMIFS(TabelaNPS[Detratores (0-6)],TabelaNPS[Período],$H$5,TabelaNPS[Curso],$A25),SUMIFS(TabelaNPS[Detratores (0-6)],TabelaNPS[Período],"&gt;="&amp;(LEFT($H$5,4)&amp;"-"&amp;IF(RIGHT($H$5,1)="1","01","07")),TabelaNPS[Período],"&lt;="&amp;(LEFT($H$5,4)&amp;"-"&amp;IF(RIGHT($H$5,1)="1","06","12")),TabelaNPS[Curso],$A25))))</f>
        <v/>
      </c>
      <c r="I25" s="346">
        <f>IFERROR((G25-H25)/F25*100,"")</f>
        <v/>
      </c>
      <c r="J25" s="351">
        <f>IFERROR(SUMPRODUCT(--(TabelaAvaliacaoDocente[Período]=$H$4),--((($A25="(todos)")+(TabelaAvaliacaoDocente[Curso]=$A25))&gt;0),--((("(todas)"="(todas)")+(TabelaAvaliacaoDocente[Disciplina]="(todas)"))&gt;0),TabelaAvaliacaoDocente[Respondentes],TabelaAvaliacaoDocente[Nota Média (0-10)])/SUMPRODUCT(--(TabelaAvaliacaoDocente[Período]=$H$4),--((($A25="(todos)")+(TabelaAvaliacaoDocente[Curso]=$A25))&gt;0),--((("(todas)"="(todas)")+(TabelaAvaliacaoDocente[Disciplina]="(todas)"))&gt;0),TabelaAvaliacaoDocente[Respondentes]),"")</f>
        <v/>
      </c>
      <c r="K25" s="354">
        <f>IFERROR((SUMIFS(TabelaResultadosAcademicos[Aprovados],TabelaResultadosAcademicos[Período],$H$4,TabelaResultadosAcademicos[Curso],IF($A25="(todos)","*",$A25),TabelaResultadosAcademicos[Disciplina],IF("(todas)"="(todas)","*","(todas)")))/((SUMIFS(TabelaResultadosAcademicos[Aprovados],TabelaResultadosAcademicos[Período],$H$4,TabelaResultadosAcademicos[Curso],IF($A25="(todos)","*",$A25),TabelaResultadosAcademicos[Disciplina],IF("(todas)"="(todas)","*","(todas)")))+(SUMIFS(TabelaResultadosAcademicos[Reprovados],TabelaResultadosAcademicos[Período],$H$4,TabelaResultadosAcademicos[Curso],IF($A25="(todos)","*",$A25),TabelaResultadosAcademicos[Disciplina],IF("(todas)"="(todas)","*","(todas)"))))*100,"")</f>
        <v/>
      </c>
      <c r="L25" s="351">
        <f>IFERROR((SUMIFS(TabelaResultadosAcademicos[Soma das notas],TabelaResultadosAcademicos[Período],$H$4,TabelaResultadosAcademicos[Curso],IF($A25="(todos)","*",$A25),TabelaResultadosAcademicos[Disciplina],IF("(todas)"="(todas)","*","(todas)")))/(SUMIFS(TabelaResultadosAcademicos[Quantidade de notas],TabelaResultadosAcademicos[Período],$H$4,TabelaResultadosAcademicos[Curso],IF($A25="(todos)","*",$A25),TabelaResultadosAcademicos[Disciplina],IF("(todas)"="(todas)","*","(todas)"))),"")</f>
        <v/>
      </c>
      <c r="M25" s="347">
        <f>SUMIFS(TabelaResultadosAcademicos[Reprovados por nota],TabelaResultadosAcademicos[Período],$H$4,TabelaResultadosAcademicos[Curso],IF($A25="(todos)","*",$A25),TabelaResultadosAcademicos[Disciplina],IF("(todas)"="(todas)","*","(todas)"))</f>
        <v/>
      </c>
      <c r="N25" s="347">
        <f>SUMIFS(TabelaResultadosAcademicos[Reprovados por falta],TabelaResultadosAcademicos[Período],$H$4,TabelaResultadosAcademicos[Curso],IF($A25="(todos)","*",$A25),TabelaResultadosAcademicos[Disciplina],IF("(todas)"="(todas)","*","(todas)"))</f>
        <v/>
      </c>
      <c r="O25" s="347">
        <f>SUMIFS(TabelaResultadosAcademicos[Total],TabelaResultadosAcademicos[Período],$H$4,TabelaResultadosAcademicos[Curso],IF($A25="(todos)","*",$A25),TabelaResultadosAcademicos[Disciplina],IF("(todas)"="(todas)","*","(todas)"))</f>
        <v/>
      </c>
    </row>
    <row r="26" ht="15" customHeight="1" s="131">
      <c r="A26" s="242" t="n"/>
      <c r="B26" s="243" t="n"/>
      <c r="C26" s="179" t="n"/>
      <c r="D26" s="179" t="n"/>
      <c r="E26" s="179" t="n"/>
      <c r="F26" s="179" t="n"/>
      <c r="G26" s="244" t="n"/>
      <c r="H26" s="202" t="n"/>
      <c r="I26" s="245" t="n"/>
    </row>
    <row r="27" ht="15" customHeight="1" s="131">
      <c r="A27" s="242" t="n"/>
      <c r="B27" s="243" t="n"/>
      <c r="C27" s="179" t="n"/>
      <c r="D27" s="179" t="n"/>
      <c r="E27" s="179" t="n"/>
      <c r="F27" s="179" t="n"/>
      <c r="G27" s="244" t="n"/>
      <c r="H27" s="202" t="n"/>
      <c r="I27" s="245" t="n"/>
    </row>
    <row r="28" ht="15" customHeight="1" s="131">
      <c r="A28" s="242" t="n"/>
      <c r="B28" s="243" t="n"/>
      <c r="C28" s="179" t="n"/>
      <c r="D28" s="179" t="n"/>
      <c r="E28" s="179" t="n"/>
      <c r="F28" s="179" t="n"/>
      <c r="G28" s="244" t="n"/>
      <c r="H28" s="202" t="n"/>
      <c r="I28" s="245" t="n"/>
    </row>
    <row r="29" ht="15" customHeight="1" s="131">
      <c r="A29" s="242" t="n"/>
      <c r="B29" s="243" t="n"/>
      <c r="C29" s="179" t="n"/>
      <c r="D29" s="179" t="n"/>
      <c r="E29" s="179" t="n"/>
      <c r="F29" s="179" t="n"/>
      <c r="G29" s="244" t="n"/>
      <c r="H29" s="202" t="n"/>
      <c r="I29" s="245" t="n"/>
    </row>
    <row r="30" ht="22" customHeight="1" s="131">
      <c r="A30" s="273" t="inlineStr">
        <is>
          <t>RESULTADOS POR DISCIPLINA — REFERÊNCIA</t>
        </is>
      </c>
      <c r="B30" s="273" t="n"/>
      <c r="C30" s="295" t="n"/>
      <c r="D30" s="295" t="n"/>
      <c r="E30" s="295" t="n"/>
      <c r="F30" s="295" t="n"/>
      <c r="G30" s="273" t="n"/>
      <c r="H30" s="352" t="n"/>
      <c r="I30" s="352" t="n"/>
      <c r="J30" s="267" t="n"/>
    </row>
    <row r="31" ht="30" customHeight="1" s="131">
      <c r="A31" s="282" t="inlineStr">
        <is>
          <t>Curso</t>
        </is>
      </c>
      <c r="B31" s="282" t="inlineStr">
        <is>
          <t>Disciplina</t>
        </is>
      </c>
      <c r="C31" s="297" t="inlineStr">
        <is>
          <t>Aprovados</t>
        </is>
      </c>
      <c r="D31" s="297" t="inlineStr">
        <is>
          <t>Rep. nota</t>
        </is>
      </c>
      <c r="E31" s="297" t="inlineStr">
        <is>
          <t>Rep. falta</t>
        </is>
      </c>
      <c r="F31" s="297" t="inlineStr">
        <is>
          <t>Outros</t>
        </is>
      </c>
      <c r="G31" s="282" t="inlineStr">
        <is>
          <t>Taxa aprovação</t>
        </is>
      </c>
      <c r="H31" s="345" t="inlineStr">
        <is>
          <t>Média nota</t>
        </is>
      </c>
      <c r="I31" s="345" t="inlineStr">
        <is>
          <t>Total</t>
        </is>
      </c>
      <c r="J31" s="282" t="inlineStr">
        <is>
          <t>Semestre</t>
        </is>
      </c>
    </row>
    <row r="32" ht="15" customHeight="1" s="131">
      <c r="A32" s="340">
        <f>DISCIPLINAS!A5</f>
        <v/>
      </c>
      <c r="B32" s="340">
        <f>DISCIPLINAS!B5</f>
        <v/>
      </c>
      <c r="C32" s="350">
        <f>SUMIFS(TabelaResultadosAcademicos[Aprovados],TabelaResultadosAcademicos[Período],$H$4,TabelaResultadosAcademicos[Curso],IF($A32="(todos)","*",$A32),TabelaResultadosAcademicos[Disciplina],IF($B32="(todas)","*",$B32))</f>
        <v/>
      </c>
      <c r="D32" s="350">
        <f>SUMIFS(TabelaResultadosAcademicos[Reprovados por nota],TabelaResultadosAcademicos[Período],$H$4,TabelaResultadosAcademicos[Curso],IF($A32="(todos)","*",$A32),TabelaResultadosAcademicos[Disciplina],IF($B32="(todas)","*",$B32))</f>
        <v/>
      </c>
      <c r="E32" s="350">
        <f>SUMIFS(TabelaResultadosAcademicos[Reprovados por falta],TabelaResultadosAcademicos[Período],$H$4,TabelaResultadosAcademicos[Curso],IF($A32="(todos)","*",$A32),TabelaResultadosAcademicos[Disciplina],IF($B32="(todas)","*",$B32))</f>
        <v/>
      </c>
      <c r="F32" s="350">
        <f>SUMIFS(TabelaResultadosAcademicos[Reprovados outros],TabelaResultadosAcademicos[Período],$H$4,TabelaResultadosAcademicos[Curso],IF($A32="(todos)","*",$A32),TabelaResultadosAcademicos[Disciplina],IF($B32="(todas)","*",$B32))</f>
        <v/>
      </c>
      <c r="G32" s="349">
        <f>IF(OR($A32="",$B32=""),"",IFERROR(C32/(C32+SUMIFS(TabelaResultadosAcademicos[Reprovados],TabelaResultadosAcademicos[Período],$H$4,TabelaResultadosAcademicos[Curso],IF($A32="(todos)","*",$A32),TabelaResultadosAcademicos[Disciplina],IF($B32="(todas)","*",$B32)))*100,""))</f>
        <v/>
      </c>
      <c r="H32" s="348">
        <f>IFERROR((SUMIFS(TabelaResultadosAcademicos[Soma das notas],TabelaResultadosAcademicos[Período],$H$4,TabelaResultadosAcademicos[Curso],IF($A32="(todos)","*",$A32),TabelaResultadosAcademicos[Disciplina],IF($B32="(todas)","*",$B32)))/(SUMIFS(TabelaResultadosAcademicos[Quantidade de notas],TabelaResultadosAcademicos[Período],$H$4,TabelaResultadosAcademicos[Curso],IF($A32="(todos)","*",$A32),TabelaResultadosAcademicos[Disciplina],IF($B32="(todas)","*",$B32))),"")</f>
        <v/>
      </c>
      <c r="I32" s="350">
        <f>IF(OR($A32="",$B32=""),"",SUMIFS(TabelaResultadosAcademicos[Total],TabelaResultadosAcademicos[Período],$H$4,TabelaResultadosAcademicos[Curso],IF($A32="(todos)","*",$A32),TabelaResultadosAcademicos[Disciplina],IF($B32="(todas)","*",$B32)))</f>
        <v/>
      </c>
      <c r="J32" s="343">
        <f>$H$4</f>
        <v/>
      </c>
    </row>
    <row r="33" ht="15" customHeight="1" s="131">
      <c r="A33" s="340">
        <f>DISCIPLINAS!A6</f>
        <v/>
      </c>
      <c r="B33" s="340">
        <f>DISCIPLINAS!B6</f>
        <v/>
      </c>
      <c r="C33" s="350">
        <f>SUMIFS(TabelaResultadosAcademicos[Aprovados],TabelaResultadosAcademicos[Período],$H$4,TabelaResultadosAcademicos[Curso],IF($A33="(todos)","*",$A33),TabelaResultadosAcademicos[Disciplina],IF($B33="(todas)","*",$B33))</f>
        <v/>
      </c>
      <c r="D33" s="350">
        <f>SUMIFS(TabelaResultadosAcademicos[Reprovados por nota],TabelaResultadosAcademicos[Período],$H$4,TabelaResultadosAcademicos[Curso],IF($A33="(todos)","*",$A33),TabelaResultadosAcademicos[Disciplina],IF($B33="(todas)","*",$B33))</f>
        <v/>
      </c>
      <c r="E33" s="350">
        <f>SUMIFS(TabelaResultadosAcademicos[Reprovados por falta],TabelaResultadosAcademicos[Período],$H$4,TabelaResultadosAcademicos[Curso],IF($A33="(todos)","*",$A33),TabelaResultadosAcademicos[Disciplina],IF($B33="(todas)","*",$B33))</f>
        <v/>
      </c>
      <c r="F33" s="350">
        <f>SUMIFS(TabelaResultadosAcademicos[Reprovados outros],TabelaResultadosAcademicos[Período],$H$4,TabelaResultadosAcademicos[Curso],IF($A33="(todos)","*",$A33),TabelaResultadosAcademicos[Disciplina],IF($B33="(todas)","*",$B33))</f>
        <v/>
      </c>
      <c r="G33" s="349">
        <f>IF(OR($A33="",$B33=""),"",IFERROR(C33/(C33+SUMIFS(TabelaResultadosAcademicos[Reprovados],TabelaResultadosAcademicos[Período],$H$4,TabelaResultadosAcademicos[Curso],IF($A33="(todos)","*",$A33),TabelaResultadosAcademicos[Disciplina],IF($B33="(todas)","*",$B33)))*100,""))</f>
        <v/>
      </c>
      <c r="H33" s="348">
        <f>IFERROR((SUMIFS(TabelaResultadosAcademicos[Soma das notas],TabelaResultadosAcademicos[Período],$H$4,TabelaResultadosAcademicos[Curso],IF($A33="(todos)","*",$A33),TabelaResultadosAcademicos[Disciplina],IF($B33="(todas)","*",$B33)))/(SUMIFS(TabelaResultadosAcademicos[Quantidade de notas],TabelaResultadosAcademicos[Período],$H$4,TabelaResultadosAcademicos[Curso],IF($A33="(todos)","*",$A33),TabelaResultadosAcademicos[Disciplina],IF($B33="(todas)","*",$B33))),"")</f>
        <v/>
      </c>
      <c r="I33" s="350">
        <f>IF(OR($A33="",$B33=""),"",SUMIFS(TabelaResultadosAcademicos[Total],TabelaResultadosAcademicos[Período],$H$4,TabelaResultadosAcademicos[Curso],IF($A33="(todos)","*",$A33),TabelaResultadosAcademicos[Disciplina],IF($B33="(todas)","*",$B33)))</f>
        <v/>
      </c>
      <c r="J33" s="343">
        <f>$H$4</f>
        <v/>
      </c>
    </row>
    <row r="34">
      <c r="A34" s="343">
        <f>DISCIPLINAS!A7</f>
        <v/>
      </c>
      <c r="B34" s="343">
        <f>DISCIPLINAS!B7</f>
        <v/>
      </c>
      <c r="C34" s="347">
        <f>SUMIFS(TabelaResultadosAcademicos[Aprovados],TabelaResultadosAcademicos[Período],$H$4,TabelaResultadosAcademicos[Curso],IF($A34="(todos)","*",$A34),TabelaResultadosAcademicos[Disciplina],IF($B34="(todas)","*",$B34))</f>
        <v/>
      </c>
      <c r="D34" s="347">
        <f>SUMIFS(TabelaResultadosAcademicos[Reprovados por nota],TabelaResultadosAcademicos[Período],$H$4,TabelaResultadosAcademicos[Curso],IF($A34="(todos)","*",$A34),TabelaResultadosAcademicos[Disciplina],IF($B34="(todas)","*",$B34))</f>
        <v/>
      </c>
      <c r="E34" s="347">
        <f>SUMIFS(TabelaResultadosAcademicos[Reprovados por falta],TabelaResultadosAcademicos[Período],$H$4,TabelaResultadosAcademicos[Curso],IF($A34="(todos)","*",$A34),TabelaResultadosAcademicos[Disciplina],IF($B34="(todas)","*",$B34))</f>
        <v/>
      </c>
      <c r="F34" s="347">
        <f>SUMIFS(TabelaResultadosAcademicos[Reprovados outros],TabelaResultadosAcademicos[Período],$H$4,TabelaResultadosAcademicos[Curso],IF($A34="(todos)","*",$A34),TabelaResultadosAcademicos[Disciplina],IF($B34="(todas)","*",$B34))</f>
        <v/>
      </c>
      <c r="G34" s="354">
        <f>IF(OR($A34="",$B34=""),"",IFERROR(C34/(C34+SUMIFS(TabelaResultadosAcademicos[Reprovados],TabelaResultadosAcademicos[Período],$H$4,TabelaResultadosAcademicos[Curso],IF($A34="(todos)","*",$A34),TabelaResultadosAcademicos[Disciplina],IF($B34="(todas)","*",$B34)))*100,""))</f>
        <v/>
      </c>
      <c r="H34" s="351">
        <f>IFERROR((SUMIFS(TabelaResultadosAcademicos[Soma das notas],TabelaResultadosAcademicos[Período],$H$4,TabelaResultadosAcademicos[Curso],IF($A34="(todos)","*",$A34),TabelaResultadosAcademicos[Disciplina],IF($B34="(todas)","*",$B34)))/(SUMIFS(TabelaResultadosAcademicos[Quantidade de notas],TabelaResultadosAcademicos[Período],$H$4,TabelaResultadosAcademicos[Curso],IF($A34="(todos)","*",$A34),TabelaResultadosAcademicos[Disciplina],IF($B34="(todas)","*",$B34))),"")</f>
        <v/>
      </c>
      <c r="I34" s="347">
        <f>IF(OR($A34="",$B34=""),"",SUMIFS(TabelaResultadosAcademicos[Total],TabelaResultadosAcademicos[Período],$H$4,TabelaResultadosAcademicos[Curso],IF($A34="(todos)","*",$A34),TabelaResultadosAcademicos[Disciplina],IF($B34="(todas)","*",$B34)))</f>
        <v/>
      </c>
      <c r="J34" s="343">
        <f>$H$4</f>
        <v/>
      </c>
    </row>
    <row r="35" ht="15" customHeight="1" s="131">
      <c r="A35" s="342">
        <f>DISCIPLINAS!A8</f>
        <v/>
      </c>
      <c r="B35" s="343">
        <f>DISCIPLINAS!B8</f>
        <v/>
      </c>
      <c r="C35" s="347">
        <f>SUMIFS(TabelaResultadosAcademicos[Aprovados],TabelaResultadosAcademicos[Período],$H$4,TabelaResultadosAcademicos[Curso],IF($A35="(todos)","*",$A35),TabelaResultadosAcademicos[Disciplina],IF($B35="(todas)","*",$B35))</f>
        <v/>
      </c>
      <c r="D35" s="347">
        <f>SUMIFS(TabelaResultadosAcademicos[Reprovados por nota],TabelaResultadosAcademicos[Período],$H$4,TabelaResultadosAcademicos[Curso],IF($A35="(todos)","*",$A35),TabelaResultadosAcademicos[Disciplina],IF($B35="(todas)","*",$B35))</f>
        <v/>
      </c>
      <c r="E35" s="347">
        <f>SUMIFS(TabelaResultadosAcademicos[Reprovados por falta],TabelaResultadosAcademicos[Período],$H$4,TabelaResultadosAcademicos[Curso],IF($A35="(todos)","*",$A35),TabelaResultadosAcademicos[Disciplina],IF($B35="(todas)","*",$B35))</f>
        <v/>
      </c>
      <c r="F35" s="347">
        <f>SUMIFS(TabelaResultadosAcademicos[Reprovados outros],TabelaResultadosAcademicos[Período],$H$4,TabelaResultadosAcademicos[Curso],IF($A35="(todos)","*",$A35),TabelaResultadosAcademicos[Disciplina],IF($B35="(todas)","*",$B35))</f>
        <v/>
      </c>
      <c r="G35" s="354">
        <f>IF(OR($A35="",$B35=""),"",IFERROR(C35/(C35+SUMIFS(TabelaResultadosAcademicos[Reprovados],TabelaResultadosAcademicos[Período],$H$4,TabelaResultadosAcademicos[Curso],IF($A35="(todos)","*",$A35),TabelaResultadosAcademicos[Disciplina],IF($B35="(todas)","*",$B35)))*100,""))</f>
        <v/>
      </c>
      <c r="H35" s="351">
        <f>IFERROR((SUMIFS(TabelaResultadosAcademicos[Soma das notas],TabelaResultadosAcademicos[Período],$H$4,TabelaResultadosAcademicos[Curso],IF($A35="(todos)","*",$A35),TabelaResultadosAcademicos[Disciplina],IF($B35="(todas)","*",$B35)))/(SUMIFS(TabelaResultadosAcademicos[Quantidade de notas],TabelaResultadosAcademicos[Período],$H$4,TabelaResultadosAcademicos[Curso],IF($A35="(todos)","*",$A35),TabelaResultadosAcademicos[Disciplina],IF($B35="(todas)","*",$B35))),"")</f>
        <v/>
      </c>
      <c r="I35" s="347">
        <f>IF(OR($A35="",$B35=""),"",SUMIFS(TabelaResultadosAcademicos[Total],TabelaResultadosAcademicos[Período],$H$4,TabelaResultadosAcademicos[Curso],IF($A35="(todos)","*",$A35),TabelaResultadosAcademicos[Disciplina],IF($B35="(todas)","*",$B35)))</f>
        <v/>
      </c>
      <c r="J35" s="343">
        <f>$H$4</f>
        <v/>
      </c>
    </row>
    <row r="36" ht="33.75" customHeight="1" s="131">
      <c r="A36" s="340">
        <f>DISCIPLINAS!A9</f>
        <v/>
      </c>
      <c r="B36" s="340">
        <f>DISCIPLINAS!B9</f>
        <v/>
      </c>
      <c r="C36" s="350">
        <f>SUMIFS(TabelaResultadosAcademicos[Aprovados],TabelaResultadosAcademicos[Período],$H$4,TabelaResultadosAcademicos[Curso],IF($A36="(todos)","*",$A36),TabelaResultadosAcademicos[Disciplina],IF($B36="(todas)","*",$B36))</f>
        <v/>
      </c>
      <c r="D36" s="350">
        <f>SUMIFS(TabelaResultadosAcademicos[Reprovados por nota],TabelaResultadosAcademicos[Período],$H$4,TabelaResultadosAcademicos[Curso],IF($A36="(todos)","*",$A36),TabelaResultadosAcademicos[Disciplina],IF($B36="(todas)","*",$B36))</f>
        <v/>
      </c>
      <c r="E36" s="350">
        <f>SUMIFS(TabelaResultadosAcademicos[Reprovados por falta],TabelaResultadosAcademicos[Período],$H$4,TabelaResultadosAcademicos[Curso],IF($A36="(todos)","*",$A36),TabelaResultadosAcademicos[Disciplina],IF($B36="(todas)","*",$B36))</f>
        <v/>
      </c>
      <c r="F36" s="350">
        <f>SUMIFS(TabelaResultadosAcademicos[Reprovados outros],TabelaResultadosAcademicos[Período],$H$4,TabelaResultadosAcademicos[Curso],IF($A36="(todos)","*",$A36),TabelaResultadosAcademicos[Disciplina],IF($B36="(todas)","*",$B36))</f>
        <v/>
      </c>
      <c r="G36" s="349">
        <f>IF(OR($A36="",$B36=""),"",IFERROR(C36/(C36+SUMIFS(TabelaResultadosAcademicos[Reprovados],TabelaResultadosAcademicos[Período],$H$4,TabelaResultadosAcademicos[Curso],IF($A36="(todos)","*",$A36),TabelaResultadosAcademicos[Disciplina],IF($B36="(todas)","*",$B36)))*100,""))</f>
        <v/>
      </c>
      <c r="H36" s="348">
        <f>IFERROR((SUMIFS(TabelaResultadosAcademicos[Soma das notas],TabelaResultadosAcademicos[Período],$H$4,TabelaResultadosAcademicos[Curso],IF($A36="(todos)","*",$A36),TabelaResultadosAcademicos[Disciplina],IF($B36="(todas)","*",$B36)))/(SUMIFS(TabelaResultadosAcademicos[Quantidade de notas],TabelaResultadosAcademicos[Período],$H$4,TabelaResultadosAcademicos[Curso],IF($A36="(todos)","*",$A36),TabelaResultadosAcademicos[Disciplina],IF($B36="(todas)","*",$B36))),"")</f>
        <v/>
      </c>
      <c r="I36" s="350">
        <f>IF(OR($A36="",$B36=""),"",SUMIFS(TabelaResultadosAcademicos[Total],TabelaResultadosAcademicos[Período],$H$4,TabelaResultadosAcademicos[Curso],IF($A36="(todos)","*",$A36),TabelaResultadosAcademicos[Disciplina],IF($B36="(todas)","*",$B36)))</f>
        <v/>
      </c>
      <c r="J36" s="340">
        <f>$H$4</f>
        <v/>
      </c>
      <c r="K36" s="199" t="n"/>
      <c r="L36" s="199" t="n"/>
      <c r="M36" s="199" t="n"/>
      <c r="N36" s="199" t="n"/>
      <c r="O36" s="199" t="n"/>
    </row>
    <row r="37" ht="15" customHeight="1" s="131">
      <c r="A37" s="356">
        <f>DISCIPLINAS!A10</f>
        <v/>
      </c>
      <c r="B37" s="346">
        <f>DISCIPLINAS!B10</f>
        <v/>
      </c>
      <c r="C37" s="350">
        <f>SUMIFS(TabelaResultadosAcademicos[Aprovados],TabelaResultadosAcademicos[Período],$H$4,TabelaResultadosAcademicos[Curso],IF($A37="(todos)","*",$A37),TabelaResultadosAcademicos[Disciplina],IF($B37="(todas)","*",$B37))</f>
        <v/>
      </c>
      <c r="D37" s="350">
        <f>SUMIFS(TabelaResultadosAcademicos[Reprovados por nota],TabelaResultadosAcademicos[Período],$H$4,TabelaResultadosAcademicos[Curso],IF($A37="(todos)","*",$A37),TabelaResultadosAcademicos[Disciplina],IF($B37="(todas)","*",$B37))</f>
        <v/>
      </c>
      <c r="E37" s="350">
        <f>SUMIFS(TabelaResultadosAcademicos[Reprovados por falta],TabelaResultadosAcademicos[Período],$H$4,TabelaResultadosAcademicos[Curso],IF($A37="(todos)","*",$A37),TabelaResultadosAcademicos[Disciplina],IF($B37="(todas)","*",$B37))</f>
        <v/>
      </c>
      <c r="F37" s="350">
        <f>SUMIFS(TabelaResultadosAcademicos[Reprovados outros],TabelaResultadosAcademicos[Período],$H$4,TabelaResultadosAcademicos[Curso],IF($A37="(todos)","*",$A37),TabelaResultadosAcademicos[Disciplina],IF($B37="(todas)","*",$B37))</f>
        <v/>
      </c>
      <c r="G37" s="349">
        <f>IF(OR($A37="",$B37=""),"",IFERROR(C37/(C37+SUMIFS(TabelaResultadosAcademicos[Reprovados],TabelaResultadosAcademicos[Período],$H$4,TabelaResultadosAcademicos[Curso],IF($A37="(todos)","*",$A37),TabelaResultadosAcademicos[Disciplina],IF($B37="(todas)","*",$B37)))*100,""))</f>
        <v/>
      </c>
      <c r="H37" s="348">
        <f>IFERROR((SUMIFS(TabelaResultadosAcademicos[Soma das notas],TabelaResultadosAcademicos[Período],$H$4,TabelaResultadosAcademicos[Curso],IF($A37="(todos)","*",$A37),TabelaResultadosAcademicos[Disciplina],IF($B37="(todas)","*",$B37)))/(SUMIFS(TabelaResultadosAcademicos[Quantidade de notas],TabelaResultadosAcademicos[Período],$H$4,TabelaResultadosAcademicos[Curso],IF($A37="(todos)","*",$A37),TabelaResultadosAcademicos[Disciplina],IF($B37="(todas)","*",$B37))),"")</f>
        <v/>
      </c>
      <c r="I37" s="350">
        <f>IF(OR($A37="",$B37=""),"",SUMIFS(TabelaResultadosAcademicos[Total],TabelaResultadosAcademicos[Período],$H$4,TabelaResultadosAcademicos[Curso],IF($A37="(todos)","*",$A37),TabelaResultadosAcademicos[Disciplina],IF($B37="(todas)","*",$B37)))</f>
        <v/>
      </c>
      <c r="J37" s="340">
        <f>$H$4</f>
        <v/>
      </c>
      <c r="K37" s="163" t="n"/>
      <c r="L37" s="165" t="n"/>
      <c r="M37" s="165" t="n"/>
      <c r="N37" s="243" t="n"/>
      <c r="O37" s="243" t="n"/>
    </row>
    <row r="38">
      <c r="A38" s="343">
        <f>DISCIPLINAS!A11</f>
        <v/>
      </c>
      <c r="B38" s="343">
        <f>DISCIPLINAS!B11</f>
        <v/>
      </c>
      <c r="C38" s="347">
        <f>SUMIFS(TabelaResultadosAcademicos[Aprovados],TabelaResultadosAcademicos[Período],$H$4,TabelaResultadosAcademicos[Curso],IF($A38="(todos)","*",$A38),TabelaResultadosAcademicos[Disciplina],IF($B38="(todas)","*",$B38))</f>
        <v/>
      </c>
      <c r="D38" s="347">
        <f>SUMIFS(TabelaResultadosAcademicos[Reprovados por nota],TabelaResultadosAcademicos[Período],$H$4,TabelaResultadosAcademicos[Curso],IF($A38="(todos)","*",$A38),TabelaResultadosAcademicos[Disciplina],IF($B38="(todas)","*",$B38))</f>
        <v/>
      </c>
      <c r="E38" s="347">
        <f>SUMIFS(TabelaResultadosAcademicos[Reprovados por falta],TabelaResultadosAcademicos[Período],$H$4,TabelaResultadosAcademicos[Curso],IF($A38="(todos)","*",$A38),TabelaResultadosAcademicos[Disciplina],IF($B38="(todas)","*",$B38))</f>
        <v/>
      </c>
      <c r="F38" s="347">
        <f>SUMIFS(TabelaResultadosAcademicos[Reprovados outros],TabelaResultadosAcademicos[Período],$H$4,TabelaResultadosAcademicos[Curso],IF($A38="(todos)","*",$A38),TabelaResultadosAcademicos[Disciplina],IF($B38="(todas)","*",$B38))</f>
        <v/>
      </c>
      <c r="G38" s="354">
        <f>IF(OR($A38="",$B38=""),"",IFERROR(C38/(C38+SUMIFS(TabelaResultadosAcademicos[Reprovados],TabelaResultadosAcademicos[Período],$H$4,TabelaResultadosAcademicos[Curso],IF($A38="(todos)","*",$A38),TabelaResultadosAcademicos[Disciplina],IF($B38="(todas)","*",$B38)))*100,""))</f>
        <v/>
      </c>
      <c r="H38" s="351">
        <f>IFERROR((SUMIFS(TabelaResultadosAcademicos[Soma das notas],TabelaResultadosAcademicos[Período],$H$4,TabelaResultadosAcademicos[Curso],IF($A38="(todos)","*",$A38),TabelaResultadosAcademicos[Disciplina],IF($B38="(todas)","*",$B38)))/(SUMIFS(TabelaResultadosAcademicos[Quantidade de notas],TabelaResultadosAcademicos[Período],$H$4,TabelaResultadosAcademicos[Curso],IF($A38="(todos)","*",$A38),TabelaResultadosAcademicos[Disciplina],IF($B38="(todas)","*",$B38))),"")</f>
        <v/>
      </c>
      <c r="I38" s="347">
        <f>IF(OR($A38="",$B38=""),"",SUMIFS(TabelaResultadosAcademicos[Total],TabelaResultadosAcademicos[Período],$H$4,TabelaResultadosAcademicos[Curso],IF($A38="(todos)","*",$A38),TabelaResultadosAcademicos[Disciplina],IF($B38="(todas)","*",$B38)))</f>
        <v/>
      </c>
      <c r="J38" s="343">
        <f>$H$4</f>
        <v/>
      </c>
    </row>
    <row r="39" ht="23.25" customHeight="1" s="131">
      <c r="A39" s="342">
        <f>DISCIPLINAS!A12</f>
        <v/>
      </c>
      <c r="B39" s="343">
        <f>DISCIPLINAS!B12</f>
        <v/>
      </c>
      <c r="C39" s="347">
        <f>SUMIFS(TabelaResultadosAcademicos[Aprovados],TabelaResultadosAcademicos[Período],$H$4,TabelaResultadosAcademicos[Curso],IF($A39="(todos)","*",$A39),TabelaResultadosAcademicos[Disciplina],IF($B39="(todas)","*",$B39))</f>
        <v/>
      </c>
      <c r="D39" s="347">
        <f>SUMIFS(TabelaResultadosAcademicos[Reprovados por nota],TabelaResultadosAcademicos[Período],$H$4,TabelaResultadosAcademicos[Curso],IF($A39="(todos)","*",$A39),TabelaResultadosAcademicos[Disciplina],IF($B39="(todas)","*",$B39))</f>
        <v/>
      </c>
      <c r="E39" s="347">
        <f>SUMIFS(TabelaResultadosAcademicos[Reprovados por falta],TabelaResultadosAcademicos[Período],$H$4,TabelaResultadosAcademicos[Curso],IF($A39="(todos)","*",$A39),TabelaResultadosAcademicos[Disciplina],IF($B39="(todas)","*",$B39))</f>
        <v/>
      </c>
      <c r="F39" s="347">
        <f>SUMIFS(TabelaResultadosAcademicos[Reprovados outros],TabelaResultadosAcademicos[Período],$H$4,TabelaResultadosAcademicos[Curso],IF($A39="(todos)","*",$A39),TabelaResultadosAcademicos[Disciplina],IF($B39="(todas)","*",$B39))</f>
        <v/>
      </c>
      <c r="G39" s="354">
        <f>IF(OR($A39="",$B39=""),"",IFERROR(C39/(C39+SUMIFS(TabelaResultadosAcademicos[Reprovados],TabelaResultadosAcademicos[Período],$H$4,TabelaResultadosAcademicos[Curso],IF($A39="(todos)","*",$A39),TabelaResultadosAcademicos[Disciplina],IF($B39="(todas)","*",$B39)))*100,""))</f>
        <v/>
      </c>
      <c r="H39" s="351">
        <f>IFERROR((SUMIFS(TabelaResultadosAcademicos[Soma das notas],TabelaResultadosAcademicos[Período],$H$4,TabelaResultadosAcademicos[Curso],IF($A39="(todos)","*",$A39),TabelaResultadosAcademicos[Disciplina],IF($B39="(todas)","*",$B39)))/(SUMIFS(TabelaResultadosAcademicos[Quantidade de notas],TabelaResultadosAcademicos[Período],$H$4,TabelaResultadosAcademicos[Curso],IF($A39="(todos)","*",$A39),TabelaResultadosAcademicos[Disciplina],IF($B39="(todas)","*",$B39))),"")</f>
        <v/>
      </c>
      <c r="I39" s="347">
        <f>IF(OR($A39="",$B39=""),"",SUMIFS(TabelaResultadosAcademicos[Total],TabelaResultadosAcademicos[Período],$H$4,TabelaResultadosAcademicos[Curso],IF($A39="(todos)","*",$A39),TabelaResultadosAcademicos[Disciplina],IF($B39="(todas)","*",$B39)))</f>
        <v/>
      </c>
      <c r="J39" s="343">
        <f>$H$4</f>
        <v/>
      </c>
    </row>
    <row r="40" ht="33.75" customHeight="1" s="131">
      <c r="A40" s="340">
        <f>DISCIPLINAS!A13</f>
        <v/>
      </c>
      <c r="B40" s="340">
        <f>DISCIPLINAS!B13</f>
        <v/>
      </c>
      <c r="C40" s="350">
        <f>SUMIFS(TabelaResultadosAcademicos[Aprovados],TabelaResultadosAcademicos[Período],$H$4,TabelaResultadosAcademicos[Curso],IF($A40="(todos)","*",$A40),TabelaResultadosAcademicos[Disciplina],IF($B40="(todas)","*",$B40))</f>
        <v/>
      </c>
      <c r="D40" s="350">
        <f>SUMIFS(TabelaResultadosAcademicos[Reprovados por nota],TabelaResultadosAcademicos[Período],$H$4,TabelaResultadosAcademicos[Curso],IF($A40="(todos)","*",$A40),TabelaResultadosAcademicos[Disciplina],IF($B40="(todas)","*",$B40))</f>
        <v/>
      </c>
      <c r="E40" s="350">
        <f>SUMIFS(TabelaResultadosAcademicos[Reprovados por falta],TabelaResultadosAcademicos[Período],$H$4,TabelaResultadosAcademicos[Curso],IF($A40="(todos)","*",$A40),TabelaResultadosAcademicos[Disciplina],IF($B40="(todas)","*",$B40))</f>
        <v/>
      </c>
      <c r="F40" s="350">
        <f>SUMIFS(TabelaResultadosAcademicos[Reprovados outros],TabelaResultadosAcademicos[Período],$H$4,TabelaResultadosAcademicos[Curso],IF($A40="(todos)","*",$A40),TabelaResultadosAcademicos[Disciplina],IF($B40="(todas)","*",$B40))</f>
        <v/>
      </c>
      <c r="G40" s="349">
        <f>IF(OR($A40="",$B40=""),"",IFERROR(C40/(C40+SUMIFS(TabelaResultadosAcademicos[Reprovados],TabelaResultadosAcademicos[Período],$H$4,TabelaResultadosAcademicos[Curso],IF($A40="(todos)","*",$A40),TabelaResultadosAcademicos[Disciplina],IF($B40="(todas)","*",$B40)))*100,""))</f>
        <v/>
      </c>
      <c r="H40" s="348">
        <f>IFERROR((SUMIFS(TabelaResultadosAcademicos[Soma das notas],TabelaResultadosAcademicos[Período],$H$4,TabelaResultadosAcademicos[Curso],IF($A40="(todos)","*",$A40),TabelaResultadosAcademicos[Disciplina],IF($B40="(todas)","*",$B40)))/(SUMIFS(TabelaResultadosAcademicos[Quantidade de notas],TabelaResultadosAcademicos[Período],$H$4,TabelaResultadosAcademicos[Curso],IF($A40="(todos)","*",$A40),TabelaResultadosAcademicos[Disciplina],IF($B40="(todas)","*",$B40))),"")</f>
        <v/>
      </c>
      <c r="I40" s="350">
        <f>IF(OR($A40="",$B40=""),"",SUMIFS(TabelaResultadosAcademicos[Total],TabelaResultadosAcademicos[Período],$H$4,TabelaResultadosAcademicos[Curso],IF($A40="(todos)","*",$A40),TabelaResultadosAcademicos[Disciplina],IF($B40="(todas)","*",$B40)))</f>
        <v/>
      </c>
      <c r="J40" s="340">
        <f>$H$4</f>
        <v/>
      </c>
      <c r="K40" s="199" t="n"/>
    </row>
    <row r="41" ht="15" customHeight="1" s="131">
      <c r="A41" s="356">
        <f>DISCIPLINAS!A14</f>
        <v/>
      </c>
      <c r="B41" s="357">
        <f>DISCIPLINAS!B14</f>
        <v/>
      </c>
      <c r="C41" s="350">
        <f>SUMIFS(TabelaResultadosAcademicos[Aprovados],TabelaResultadosAcademicos[Período],$H$4,TabelaResultadosAcademicos[Curso],IF($A41="(todos)","*",$A41),TabelaResultadosAcademicos[Disciplina],IF($B41="(todas)","*",$B41))</f>
        <v/>
      </c>
      <c r="D41" s="350">
        <f>SUMIFS(TabelaResultadosAcademicos[Reprovados por nota],TabelaResultadosAcademicos[Período],$H$4,TabelaResultadosAcademicos[Curso],IF($A41="(todos)","*",$A41),TabelaResultadosAcademicos[Disciplina],IF($B41="(todas)","*",$B41))</f>
        <v/>
      </c>
      <c r="E41" s="350">
        <f>SUMIFS(TabelaResultadosAcademicos[Reprovados por falta],TabelaResultadosAcademicos[Período],$H$4,TabelaResultadosAcademicos[Curso],IF($A41="(todos)","*",$A41),TabelaResultadosAcademicos[Disciplina],IF($B41="(todas)","*",$B41))</f>
        <v/>
      </c>
      <c r="F41" s="350">
        <f>SUMIFS(TabelaResultadosAcademicos[Reprovados outros],TabelaResultadosAcademicos[Período],$H$4,TabelaResultadosAcademicos[Curso],IF($A41="(todos)","*",$A41),TabelaResultadosAcademicos[Disciplina],IF($B41="(todas)","*",$B41))</f>
        <v/>
      </c>
      <c r="G41" s="349">
        <f>IF(OR($A41="",$B41=""),"",IFERROR(C41/(C41+SUMIFS(TabelaResultadosAcademicos[Reprovados],TabelaResultadosAcademicos[Período],$H$4,TabelaResultadosAcademicos[Curso],IF($A41="(todos)","*",$A41),TabelaResultadosAcademicos[Disciplina],IF($B41="(todas)","*",$B41)))*100,""))</f>
        <v/>
      </c>
      <c r="H41" s="348">
        <f>IFERROR((SUMIFS(TabelaResultadosAcademicos[Soma das notas],TabelaResultadosAcademicos[Período],$H$4,TabelaResultadosAcademicos[Curso],IF($A41="(todos)","*",$A41),TabelaResultadosAcademicos[Disciplina],IF($B41="(todas)","*",$B41)))/(SUMIFS(TabelaResultadosAcademicos[Quantidade de notas],TabelaResultadosAcademicos[Período],$H$4,TabelaResultadosAcademicos[Curso],IF($A41="(todos)","*",$A41),TabelaResultadosAcademicos[Disciplina],IF($B41="(todas)","*",$B41))),"")</f>
        <v/>
      </c>
      <c r="I41" s="350">
        <f>IF(OR($A41="",$B41=""),"",SUMIFS(TabelaResultadosAcademicos[Total],TabelaResultadosAcademicos[Período],$H$4,TabelaResultadosAcademicos[Curso],IF($A41="(todos)","*",$A41),TabelaResultadosAcademicos[Disciplina],IF($B41="(todas)","*",$B41)))</f>
        <v/>
      </c>
      <c r="J41" s="346">
        <f>$H$4</f>
        <v/>
      </c>
      <c r="K41" s="171" t="n"/>
    </row>
    <row r="42" ht="15" customHeight="1" s="131">
      <c r="A42" s="356">
        <f>DISCIPLINAS!A15</f>
        <v/>
      </c>
      <c r="B42" s="357">
        <f>DISCIPLINAS!B15</f>
        <v/>
      </c>
      <c r="C42" s="350">
        <f>SUMIFS(TabelaResultadosAcademicos[Aprovados],TabelaResultadosAcademicos[Período],$H$4,TabelaResultadosAcademicos[Curso],IF($A42="(todos)","*",$A42),TabelaResultadosAcademicos[Disciplina],IF($B42="(todas)","*",$B42))</f>
        <v/>
      </c>
      <c r="D42" s="350">
        <f>SUMIFS(TabelaResultadosAcademicos[Reprovados por nota],TabelaResultadosAcademicos[Período],$H$4,TabelaResultadosAcademicos[Curso],IF($A42="(todos)","*",$A42),TabelaResultadosAcademicos[Disciplina],IF($B42="(todas)","*",$B42))</f>
        <v/>
      </c>
      <c r="E42" s="350">
        <f>SUMIFS(TabelaResultadosAcademicos[Reprovados por falta],TabelaResultadosAcademicos[Período],$H$4,TabelaResultadosAcademicos[Curso],IF($A42="(todos)","*",$A42),TabelaResultadosAcademicos[Disciplina],IF($B42="(todas)","*",$B42))</f>
        <v/>
      </c>
      <c r="F42" s="350">
        <f>SUMIFS(TabelaResultadosAcademicos[Reprovados outros],TabelaResultadosAcademicos[Período],$H$4,TabelaResultadosAcademicos[Curso],IF($A42="(todos)","*",$A42),TabelaResultadosAcademicos[Disciplina],IF($B42="(todas)","*",$B42))</f>
        <v/>
      </c>
      <c r="G42" s="349">
        <f>IF(OR($A42="",$B42=""),"",IFERROR(C42/(C42+SUMIFS(TabelaResultadosAcademicos[Reprovados],TabelaResultadosAcademicos[Período],$H$4,TabelaResultadosAcademicos[Curso],IF($A42="(todos)","*",$A42),TabelaResultadosAcademicos[Disciplina],IF($B42="(todas)","*",$B42)))*100,""))</f>
        <v/>
      </c>
      <c r="H42" s="348">
        <f>IFERROR((SUMIFS(TabelaResultadosAcademicos[Soma das notas],TabelaResultadosAcademicos[Período],$H$4,TabelaResultadosAcademicos[Curso],IF($A42="(todos)","*",$A42),TabelaResultadosAcademicos[Disciplina],IF($B42="(todas)","*",$B42)))/(SUMIFS(TabelaResultadosAcademicos[Quantidade de notas],TabelaResultadosAcademicos[Período],$H$4,TabelaResultadosAcademicos[Curso],IF($A42="(todos)","*",$A42),TabelaResultadosAcademicos[Disciplina],IF($B42="(todas)","*",$B42))),"")</f>
        <v/>
      </c>
      <c r="I42" s="350">
        <f>IF(OR($A42="",$B42=""),"",SUMIFS(TabelaResultadosAcademicos[Total],TabelaResultadosAcademicos[Período],$H$4,TabelaResultadosAcademicos[Curso],IF($A42="(todos)","*",$A42),TabelaResultadosAcademicos[Disciplina],IF($B42="(todas)","*",$B42)))</f>
        <v/>
      </c>
      <c r="J42" s="346">
        <f>$H$4</f>
        <v/>
      </c>
      <c r="K42" s="171" t="n"/>
    </row>
    <row r="43" ht="15" customHeight="1" s="131">
      <c r="A43" s="356">
        <f>DISCIPLINAS!A16</f>
        <v/>
      </c>
      <c r="B43" s="357">
        <f>DISCIPLINAS!B16</f>
        <v/>
      </c>
      <c r="C43" s="350">
        <f>SUMIFS(TabelaResultadosAcademicos[Aprovados],TabelaResultadosAcademicos[Período],$H$4,TabelaResultadosAcademicos[Curso],IF($A43="(todos)","*",$A43),TabelaResultadosAcademicos[Disciplina],IF($B43="(todas)","*",$B43))</f>
        <v/>
      </c>
      <c r="D43" s="350">
        <f>SUMIFS(TabelaResultadosAcademicos[Reprovados por nota],TabelaResultadosAcademicos[Período],$H$4,TabelaResultadosAcademicos[Curso],IF($A43="(todos)","*",$A43),TabelaResultadosAcademicos[Disciplina],IF($B43="(todas)","*",$B43))</f>
        <v/>
      </c>
      <c r="E43" s="350">
        <f>SUMIFS(TabelaResultadosAcademicos[Reprovados por falta],TabelaResultadosAcademicos[Período],$H$4,TabelaResultadosAcademicos[Curso],IF($A43="(todos)","*",$A43),TabelaResultadosAcademicos[Disciplina],IF($B43="(todas)","*",$B43))</f>
        <v/>
      </c>
      <c r="F43" s="350">
        <f>SUMIFS(TabelaResultadosAcademicos[Reprovados outros],TabelaResultadosAcademicos[Período],$H$4,TabelaResultadosAcademicos[Curso],IF($A43="(todos)","*",$A43),TabelaResultadosAcademicos[Disciplina],IF($B43="(todas)","*",$B43))</f>
        <v/>
      </c>
      <c r="G43" s="349">
        <f>IF(OR($A43="",$B43=""),"",IFERROR(C43/(C43+SUMIFS(TabelaResultadosAcademicos[Reprovados],TabelaResultadosAcademicos[Período],$H$4,TabelaResultadosAcademicos[Curso],IF($A43="(todos)","*",$A43),TabelaResultadosAcademicos[Disciplina],IF($B43="(todas)","*",$B43)))*100,""))</f>
        <v/>
      </c>
      <c r="H43" s="348">
        <f>IFERROR((SUMIFS(TabelaResultadosAcademicos[Soma das notas],TabelaResultadosAcademicos[Período],$H$4,TabelaResultadosAcademicos[Curso],IF($A43="(todos)","*",$A43),TabelaResultadosAcademicos[Disciplina],IF($B43="(todas)","*",$B43)))/(SUMIFS(TabelaResultadosAcademicos[Quantidade de notas],TabelaResultadosAcademicos[Período],$H$4,TabelaResultadosAcademicos[Curso],IF($A43="(todos)","*",$A43),TabelaResultadosAcademicos[Disciplina],IF($B43="(todas)","*",$B43))),"")</f>
        <v/>
      </c>
      <c r="I43" s="350">
        <f>IF(OR($A43="",$B43=""),"",SUMIFS(TabelaResultadosAcademicos[Total],TabelaResultadosAcademicos[Período],$H$4,TabelaResultadosAcademicos[Curso],IF($A43="(todos)","*",$A43),TabelaResultadosAcademicos[Disciplina],IF($B43="(todas)","*",$B43)))</f>
        <v/>
      </c>
      <c r="J43" s="346">
        <f>$H$4</f>
        <v/>
      </c>
      <c r="K43" s="171" t="n"/>
    </row>
    <row r="44" ht="15" customHeight="1" s="131">
      <c r="A44" s="356">
        <f>DISCIPLINAS!A17</f>
        <v/>
      </c>
      <c r="B44" s="357">
        <f>DISCIPLINAS!B17</f>
        <v/>
      </c>
      <c r="C44" s="350">
        <f>SUMIFS(TabelaResultadosAcademicos[Aprovados],TabelaResultadosAcademicos[Período],$H$4,TabelaResultadosAcademicos[Curso],IF($A44="(todos)","*",$A44),TabelaResultadosAcademicos[Disciplina],IF($B44="(todas)","*",$B44))</f>
        <v/>
      </c>
      <c r="D44" s="350">
        <f>SUMIFS(TabelaResultadosAcademicos[Reprovados por nota],TabelaResultadosAcademicos[Período],$H$4,TabelaResultadosAcademicos[Curso],IF($A44="(todos)","*",$A44),TabelaResultadosAcademicos[Disciplina],IF($B44="(todas)","*",$B44))</f>
        <v/>
      </c>
      <c r="E44" s="350">
        <f>SUMIFS(TabelaResultadosAcademicos[Reprovados por falta],TabelaResultadosAcademicos[Período],$H$4,TabelaResultadosAcademicos[Curso],IF($A44="(todos)","*",$A44),TabelaResultadosAcademicos[Disciplina],IF($B44="(todas)","*",$B44))</f>
        <v/>
      </c>
      <c r="F44" s="350">
        <f>SUMIFS(TabelaResultadosAcademicos[Reprovados outros],TabelaResultadosAcademicos[Período],$H$4,TabelaResultadosAcademicos[Curso],IF($A44="(todos)","*",$A44),TabelaResultadosAcademicos[Disciplina],IF($B44="(todas)","*",$B44))</f>
        <v/>
      </c>
      <c r="G44" s="349">
        <f>IF(OR($A44="",$B44=""),"",IFERROR(C44/(C44+SUMIFS(TabelaResultadosAcademicos[Reprovados],TabelaResultadosAcademicos[Período],$H$4,TabelaResultadosAcademicos[Curso],IF($A44="(todos)","*",$A44),TabelaResultadosAcademicos[Disciplina],IF($B44="(todas)","*",$B44)))*100,""))</f>
        <v/>
      </c>
      <c r="H44" s="348">
        <f>IFERROR((SUMIFS(TabelaResultadosAcademicos[Soma das notas],TabelaResultadosAcademicos[Período],$H$4,TabelaResultadosAcademicos[Curso],IF($A44="(todos)","*",$A44),TabelaResultadosAcademicos[Disciplina],IF($B44="(todas)","*",$B44)))/(SUMIFS(TabelaResultadosAcademicos[Quantidade de notas],TabelaResultadosAcademicos[Período],$H$4,TabelaResultadosAcademicos[Curso],IF($A44="(todos)","*",$A44),TabelaResultadosAcademicos[Disciplina],IF($B44="(todas)","*",$B44))),"")</f>
        <v/>
      </c>
      <c r="I44" s="350">
        <f>IF(OR($A44="",$B44=""),"",SUMIFS(TabelaResultadosAcademicos[Total],TabelaResultadosAcademicos[Período],$H$4,TabelaResultadosAcademicos[Curso],IF($A44="(todos)","*",$A44),TabelaResultadosAcademicos[Disciplina],IF($B44="(todas)","*",$B44)))</f>
        <v/>
      </c>
      <c r="J44" s="346">
        <f>$H$4</f>
        <v/>
      </c>
      <c r="K44" s="171" t="n"/>
    </row>
    <row r="45" ht="15" customHeight="1" s="131">
      <c r="A45" s="356">
        <f>DISCIPLINAS!A18</f>
        <v/>
      </c>
      <c r="B45" s="357">
        <f>DISCIPLINAS!B18</f>
        <v/>
      </c>
      <c r="C45" s="350">
        <f>SUMIFS(TabelaResultadosAcademicos[Aprovados],TabelaResultadosAcademicos[Período],$H$4,TabelaResultadosAcademicos[Curso],IF($A45="(todos)","*",$A45),TabelaResultadosAcademicos[Disciplina],IF($B45="(todas)","*",$B45))</f>
        <v/>
      </c>
      <c r="D45" s="350">
        <f>SUMIFS(TabelaResultadosAcademicos[Reprovados por nota],TabelaResultadosAcademicos[Período],$H$4,TabelaResultadosAcademicos[Curso],IF($A45="(todos)","*",$A45),TabelaResultadosAcademicos[Disciplina],IF($B45="(todas)","*",$B45))</f>
        <v/>
      </c>
      <c r="E45" s="350">
        <f>SUMIFS(TabelaResultadosAcademicos[Reprovados por falta],TabelaResultadosAcademicos[Período],$H$4,TabelaResultadosAcademicos[Curso],IF($A45="(todos)","*",$A45),TabelaResultadosAcademicos[Disciplina],IF($B45="(todas)","*",$B45))</f>
        <v/>
      </c>
      <c r="F45" s="350">
        <f>SUMIFS(TabelaResultadosAcademicos[Reprovados outros],TabelaResultadosAcademicos[Período],$H$4,TabelaResultadosAcademicos[Curso],IF($A45="(todos)","*",$A45),TabelaResultadosAcademicos[Disciplina],IF($B45="(todas)","*",$B45))</f>
        <v/>
      </c>
      <c r="G45" s="349">
        <f>IF(OR($A45="",$B45=""),"",IFERROR(C45/(C45+SUMIFS(TabelaResultadosAcademicos[Reprovados],TabelaResultadosAcademicos[Período],$H$4,TabelaResultadosAcademicos[Curso],IF($A45="(todos)","*",$A45),TabelaResultadosAcademicos[Disciplina],IF($B45="(todas)","*",$B45)))*100,""))</f>
        <v/>
      </c>
      <c r="H45" s="348">
        <f>IFERROR((SUMIFS(TabelaResultadosAcademicos[Soma das notas],TabelaResultadosAcademicos[Período],$H$4,TabelaResultadosAcademicos[Curso],IF($A45="(todos)","*",$A45),TabelaResultadosAcademicos[Disciplina],IF($B45="(todas)","*",$B45)))/(SUMIFS(TabelaResultadosAcademicos[Quantidade de notas],TabelaResultadosAcademicos[Período],$H$4,TabelaResultadosAcademicos[Curso],IF($A45="(todos)","*",$A45),TabelaResultadosAcademicos[Disciplina],IF($B45="(todas)","*",$B45))),"")</f>
        <v/>
      </c>
      <c r="I45" s="350">
        <f>IF(OR($A45="",$B45=""),"",SUMIFS(TabelaResultadosAcademicos[Total],TabelaResultadosAcademicos[Período],$H$4,TabelaResultadosAcademicos[Curso],IF($A45="(todos)","*",$A45),TabelaResultadosAcademicos[Disciplina],IF($B45="(todas)","*",$B45)))</f>
        <v/>
      </c>
      <c r="J45" s="346">
        <f>$H$4</f>
        <v/>
      </c>
      <c r="K45" s="171" t="n"/>
    </row>
    <row r="46" ht="15" customHeight="1" s="131">
      <c r="A46" s="356">
        <f>DISCIPLINAS!A19</f>
        <v/>
      </c>
      <c r="B46" s="357">
        <f>DISCIPLINAS!B19</f>
        <v/>
      </c>
      <c r="C46" s="350">
        <f>SUMIFS(TabelaResultadosAcademicos[Aprovados],TabelaResultadosAcademicos[Período],$H$4,TabelaResultadosAcademicos[Curso],IF($A46="(todos)","*",$A46),TabelaResultadosAcademicos[Disciplina],IF($B46="(todas)","*",$B46))</f>
        <v/>
      </c>
      <c r="D46" s="350">
        <f>SUMIFS(TabelaResultadosAcademicos[Reprovados por nota],TabelaResultadosAcademicos[Período],$H$4,TabelaResultadosAcademicos[Curso],IF($A46="(todos)","*",$A46),TabelaResultadosAcademicos[Disciplina],IF($B46="(todas)","*",$B46))</f>
        <v/>
      </c>
      <c r="E46" s="350">
        <f>SUMIFS(TabelaResultadosAcademicos[Reprovados por falta],TabelaResultadosAcademicos[Período],$H$4,TabelaResultadosAcademicos[Curso],IF($A46="(todos)","*",$A46),TabelaResultadosAcademicos[Disciplina],IF($B46="(todas)","*",$B46))</f>
        <v/>
      </c>
      <c r="F46" s="350">
        <f>SUMIFS(TabelaResultadosAcademicos[Reprovados outros],TabelaResultadosAcademicos[Período],$H$4,TabelaResultadosAcademicos[Curso],IF($A46="(todos)","*",$A46),TabelaResultadosAcademicos[Disciplina],IF($B46="(todas)","*",$B46))</f>
        <v/>
      </c>
      <c r="G46" s="349">
        <f>IF(OR($A46="",$B46=""),"",IFERROR(C46/(C46+SUMIFS(TabelaResultadosAcademicos[Reprovados],TabelaResultadosAcademicos[Período],$H$4,TabelaResultadosAcademicos[Curso],IF($A46="(todos)","*",$A46),TabelaResultadosAcademicos[Disciplina],IF($B46="(todas)","*",$B46)))*100,""))</f>
        <v/>
      </c>
      <c r="H46" s="348">
        <f>IFERROR((SUMIFS(TabelaResultadosAcademicos[Soma das notas],TabelaResultadosAcademicos[Período],$H$4,TabelaResultadosAcademicos[Curso],IF($A46="(todos)","*",$A46),TabelaResultadosAcademicos[Disciplina],IF($B46="(todas)","*",$B46)))/(SUMIFS(TabelaResultadosAcademicos[Quantidade de notas],TabelaResultadosAcademicos[Período],$H$4,TabelaResultadosAcademicos[Curso],IF($A46="(todos)","*",$A46),TabelaResultadosAcademicos[Disciplina],IF($B46="(todas)","*",$B46))),"")</f>
        <v/>
      </c>
      <c r="I46" s="350">
        <f>IF(OR($A46="",$B46=""),"",SUMIFS(TabelaResultadosAcademicos[Total],TabelaResultadosAcademicos[Período],$H$4,TabelaResultadosAcademicos[Curso],IF($A46="(todos)","*",$A46),TabelaResultadosAcademicos[Disciplina],IF($B46="(todas)","*",$B46)))</f>
        <v/>
      </c>
      <c r="J46" s="346">
        <f>$H$4</f>
        <v/>
      </c>
      <c r="K46" s="171" t="n"/>
    </row>
    <row r="47" ht="15" customHeight="1" s="131">
      <c r="A47" s="356">
        <f>DISCIPLINAS!A20</f>
        <v/>
      </c>
      <c r="B47" s="357">
        <f>DISCIPLINAS!B20</f>
        <v/>
      </c>
      <c r="C47" s="350">
        <f>SUMIFS(TabelaResultadosAcademicos[Aprovados],TabelaResultadosAcademicos[Período],$H$4,TabelaResultadosAcademicos[Curso],IF($A47="(todos)","*",$A47),TabelaResultadosAcademicos[Disciplina],IF($B47="(todas)","*",$B47))</f>
        <v/>
      </c>
      <c r="D47" s="350">
        <f>SUMIFS(TabelaResultadosAcademicos[Reprovados por nota],TabelaResultadosAcademicos[Período],$H$4,TabelaResultadosAcademicos[Curso],IF($A47="(todos)","*",$A47),TabelaResultadosAcademicos[Disciplina],IF($B47="(todas)","*",$B47))</f>
        <v/>
      </c>
      <c r="E47" s="350">
        <f>SUMIFS(TabelaResultadosAcademicos[Reprovados por falta],TabelaResultadosAcademicos[Período],$H$4,TabelaResultadosAcademicos[Curso],IF($A47="(todos)","*",$A47),TabelaResultadosAcademicos[Disciplina],IF($B47="(todas)","*",$B47))</f>
        <v/>
      </c>
      <c r="F47" s="350">
        <f>SUMIFS(TabelaResultadosAcademicos[Reprovados outros],TabelaResultadosAcademicos[Período],$H$4,TabelaResultadosAcademicos[Curso],IF($A47="(todos)","*",$A47),TabelaResultadosAcademicos[Disciplina],IF($B47="(todas)","*",$B47))</f>
        <v/>
      </c>
      <c r="G47" s="349">
        <f>IF(OR($A47="",$B47=""),"",IFERROR(C47/(C47+SUMIFS(TabelaResultadosAcademicos[Reprovados],TabelaResultadosAcademicos[Período],$H$4,TabelaResultadosAcademicos[Curso],IF($A47="(todos)","*",$A47),TabelaResultadosAcademicos[Disciplina],IF($B47="(todas)","*",$B47)))*100,""))</f>
        <v/>
      </c>
      <c r="H47" s="348">
        <f>IFERROR((SUMIFS(TabelaResultadosAcademicos[Soma das notas],TabelaResultadosAcademicos[Período],$H$4,TabelaResultadosAcademicos[Curso],IF($A47="(todos)","*",$A47),TabelaResultadosAcademicos[Disciplina],IF($B47="(todas)","*",$B47)))/(SUMIFS(TabelaResultadosAcademicos[Quantidade de notas],TabelaResultadosAcademicos[Período],$H$4,TabelaResultadosAcademicos[Curso],IF($A47="(todos)","*",$A47),TabelaResultadosAcademicos[Disciplina],IF($B47="(todas)","*",$B47))),"")</f>
        <v/>
      </c>
      <c r="I47" s="350">
        <f>IF(OR($A47="",$B47=""),"",SUMIFS(TabelaResultadosAcademicos[Total],TabelaResultadosAcademicos[Período],$H$4,TabelaResultadosAcademicos[Curso],IF($A47="(todos)","*",$A47),TabelaResultadosAcademicos[Disciplina],IF($B47="(todas)","*",$B47)))</f>
        <v/>
      </c>
      <c r="J47" s="346">
        <f>$H$4</f>
        <v/>
      </c>
      <c r="K47" s="171" t="n"/>
    </row>
    <row r="48" ht="15" customHeight="1" s="131">
      <c r="A48" s="356">
        <f>DISCIPLINAS!A21</f>
        <v/>
      </c>
      <c r="B48" s="357">
        <f>DISCIPLINAS!B21</f>
        <v/>
      </c>
      <c r="C48" s="350">
        <f>SUMIFS(TabelaResultadosAcademicos[Aprovados],TabelaResultadosAcademicos[Período],$H$4,TabelaResultadosAcademicos[Curso],IF($A48="(todos)","*",$A48),TabelaResultadosAcademicos[Disciplina],IF($B48="(todas)","*",$B48))</f>
        <v/>
      </c>
      <c r="D48" s="350">
        <f>SUMIFS(TabelaResultadosAcademicos[Reprovados por nota],TabelaResultadosAcademicos[Período],$H$4,TabelaResultadosAcademicos[Curso],IF($A48="(todos)","*",$A48),TabelaResultadosAcademicos[Disciplina],IF($B48="(todas)","*",$B48))</f>
        <v/>
      </c>
      <c r="E48" s="350">
        <f>SUMIFS(TabelaResultadosAcademicos[Reprovados por falta],TabelaResultadosAcademicos[Período],$H$4,TabelaResultadosAcademicos[Curso],IF($A48="(todos)","*",$A48),TabelaResultadosAcademicos[Disciplina],IF($B48="(todas)","*",$B48))</f>
        <v/>
      </c>
      <c r="F48" s="350">
        <f>SUMIFS(TabelaResultadosAcademicos[Reprovados outros],TabelaResultadosAcademicos[Período],$H$4,TabelaResultadosAcademicos[Curso],IF($A48="(todos)","*",$A48),TabelaResultadosAcademicos[Disciplina],IF($B48="(todas)","*",$B48))</f>
        <v/>
      </c>
      <c r="G48" s="349">
        <f>IF(OR($A48="",$B48=""),"",IFERROR(C48/(C48+SUMIFS(TabelaResultadosAcademicos[Reprovados],TabelaResultadosAcademicos[Período],$H$4,TabelaResultadosAcademicos[Curso],IF($A48="(todos)","*",$A48),TabelaResultadosAcademicos[Disciplina],IF($B48="(todas)","*",$B48)))*100,""))</f>
        <v/>
      </c>
      <c r="H48" s="348">
        <f>IFERROR((SUMIFS(TabelaResultadosAcademicos[Soma das notas],TabelaResultadosAcademicos[Período],$H$4,TabelaResultadosAcademicos[Curso],IF($A48="(todos)","*",$A48),TabelaResultadosAcademicos[Disciplina],IF($B48="(todas)","*",$B48)))/(SUMIFS(TabelaResultadosAcademicos[Quantidade de notas],TabelaResultadosAcademicos[Período],$H$4,TabelaResultadosAcademicos[Curso],IF($A48="(todos)","*",$A48),TabelaResultadosAcademicos[Disciplina],IF($B48="(todas)","*",$B48))),"")</f>
        <v/>
      </c>
      <c r="I48" s="350">
        <f>IF(OR($A48="",$B48=""),"",SUMIFS(TabelaResultadosAcademicos[Total],TabelaResultadosAcademicos[Período],$H$4,TabelaResultadosAcademicos[Curso],IF($A48="(todos)","*",$A48),TabelaResultadosAcademicos[Disciplina],IF($B48="(todas)","*",$B48)))</f>
        <v/>
      </c>
      <c r="J48" s="346">
        <f>$H$4</f>
        <v/>
      </c>
      <c r="K48" s="171" t="n"/>
    </row>
    <row r="49" ht="15" customHeight="1" s="131">
      <c r="A49" s="356">
        <f>DISCIPLINAS!A22</f>
        <v/>
      </c>
      <c r="B49" s="357">
        <f>DISCIPLINAS!B22</f>
        <v/>
      </c>
      <c r="C49" s="350">
        <f>SUMIFS(TabelaResultadosAcademicos[Aprovados],TabelaResultadosAcademicos[Período],$H$4,TabelaResultadosAcademicos[Curso],IF($A49="(todos)","*",$A49),TabelaResultadosAcademicos[Disciplina],IF($B49="(todas)","*",$B49))</f>
        <v/>
      </c>
      <c r="D49" s="350">
        <f>SUMIFS(TabelaResultadosAcademicos[Reprovados por nota],TabelaResultadosAcademicos[Período],$H$4,TabelaResultadosAcademicos[Curso],IF($A49="(todos)","*",$A49),TabelaResultadosAcademicos[Disciplina],IF($B49="(todas)","*",$B49))</f>
        <v/>
      </c>
      <c r="E49" s="350">
        <f>SUMIFS(TabelaResultadosAcademicos[Reprovados por falta],TabelaResultadosAcademicos[Período],$H$4,TabelaResultadosAcademicos[Curso],IF($A49="(todos)","*",$A49),TabelaResultadosAcademicos[Disciplina],IF($B49="(todas)","*",$B49))</f>
        <v/>
      </c>
      <c r="F49" s="350">
        <f>SUMIFS(TabelaResultadosAcademicos[Reprovados outros],TabelaResultadosAcademicos[Período],$H$4,TabelaResultadosAcademicos[Curso],IF($A49="(todos)","*",$A49),TabelaResultadosAcademicos[Disciplina],IF($B49="(todas)","*",$B49))</f>
        <v/>
      </c>
      <c r="G49" s="349">
        <f>IF(OR($A49="",$B49=""),"",IFERROR(C49/(C49+SUMIFS(TabelaResultadosAcademicos[Reprovados],TabelaResultadosAcademicos[Período],$H$4,TabelaResultadosAcademicos[Curso],IF($A49="(todos)","*",$A49),TabelaResultadosAcademicos[Disciplina],IF($B49="(todas)","*",$B49)))*100,""))</f>
        <v/>
      </c>
      <c r="H49" s="348">
        <f>IFERROR((SUMIFS(TabelaResultadosAcademicos[Soma das notas],TabelaResultadosAcademicos[Período],$H$4,TabelaResultadosAcademicos[Curso],IF($A49="(todos)","*",$A49),TabelaResultadosAcademicos[Disciplina],IF($B49="(todas)","*",$B49)))/(SUMIFS(TabelaResultadosAcademicos[Quantidade de notas],TabelaResultadosAcademicos[Período],$H$4,TabelaResultadosAcademicos[Curso],IF($A49="(todos)","*",$A49),TabelaResultadosAcademicos[Disciplina],IF($B49="(todas)","*",$B49))),"")</f>
        <v/>
      </c>
      <c r="I49" s="350">
        <f>IF(OR($A49="",$B49=""),"",SUMIFS(TabelaResultadosAcademicos[Total],TabelaResultadosAcademicos[Período],$H$4,TabelaResultadosAcademicos[Curso],IF($A49="(todos)","*",$A49),TabelaResultadosAcademicos[Disciplina],IF($B49="(todas)","*",$B49)))</f>
        <v/>
      </c>
      <c r="J49" s="346">
        <f>$H$4</f>
        <v/>
      </c>
      <c r="K49" s="171" t="n"/>
    </row>
    <row r="50">
      <c r="A50" s="343">
        <f>DISCIPLINAS!A23</f>
        <v/>
      </c>
      <c r="B50" s="343">
        <f>DISCIPLINAS!B23</f>
        <v/>
      </c>
      <c r="C50" s="347">
        <f>SUMIFS(TabelaResultadosAcademicos[Aprovados],TabelaResultadosAcademicos[Período],$H$4,TabelaResultadosAcademicos[Curso],IF($A50="(todos)","*",$A50),TabelaResultadosAcademicos[Disciplina],IF($B50="(todas)","*",$B50))</f>
        <v/>
      </c>
      <c r="D50" s="347">
        <f>SUMIFS(TabelaResultadosAcademicos[Reprovados por nota],TabelaResultadosAcademicos[Período],$H$4,TabelaResultadosAcademicos[Curso],IF($A50="(todos)","*",$A50),TabelaResultadosAcademicos[Disciplina],IF($B50="(todas)","*",$B50))</f>
        <v/>
      </c>
      <c r="E50" s="347">
        <f>SUMIFS(TabelaResultadosAcademicos[Reprovados por falta],TabelaResultadosAcademicos[Período],$H$4,TabelaResultadosAcademicos[Curso],IF($A50="(todos)","*",$A50),TabelaResultadosAcademicos[Disciplina],IF($B50="(todas)","*",$B50))</f>
        <v/>
      </c>
      <c r="F50" s="347">
        <f>SUMIFS(TabelaResultadosAcademicos[Reprovados outros],TabelaResultadosAcademicos[Período],$H$4,TabelaResultadosAcademicos[Curso],IF($A50="(todos)","*",$A50),TabelaResultadosAcademicos[Disciplina],IF($B50="(todas)","*",$B50))</f>
        <v/>
      </c>
      <c r="G50" s="354">
        <f>IF(OR($A50="",$B50=""),"",IFERROR(C50/(C50+SUMIFS(TabelaResultadosAcademicos[Reprovados],TabelaResultadosAcademicos[Período],$H$4,TabelaResultadosAcademicos[Curso],IF($A50="(todos)","*",$A50),TabelaResultadosAcademicos[Disciplina],IF($B50="(todas)","*",$B50)))*100,""))</f>
        <v/>
      </c>
      <c r="H50" s="351">
        <f>IFERROR((SUMIFS(TabelaResultadosAcademicos[Soma das notas],TabelaResultadosAcademicos[Período],$H$4,TabelaResultadosAcademicos[Curso],IF($A50="(todos)","*",$A50),TabelaResultadosAcademicos[Disciplina],IF($B50="(todas)","*",$B50)))/(SUMIFS(TabelaResultadosAcademicos[Quantidade de notas],TabelaResultadosAcademicos[Período],$H$4,TabelaResultadosAcademicos[Curso],IF($A50="(todos)","*",$A50),TabelaResultadosAcademicos[Disciplina],IF($B50="(todas)","*",$B50))),"")</f>
        <v/>
      </c>
      <c r="I50" s="347">
        <f>IF(OR($A50="",$B50=""),"",SUMIFS(TabelaResultadosAcademicos[Total],TabelaResultadosAcademicos[Período],$H$4,TabelaResultadosAcademicos[Curso],IF($A50="(todos)","*",$A50),TabelaResultadosAcademicos[Disciplina],IF($B50="(todas)","*",$B50)))</f>
        <v/>
      </c>
      <c r="J50" s="343">
        <f>$H$4</f>
        <v/>
      </c>
    </row>
    <row r="51">
      <c r="A51" s="343">
        <f>DISCIPLINAS!A24</f>
        <v/>
      </c>
      <c r="B51" s="343">
        <f>DISCIPLINAS!B24</f>
        <v/>
      </c>
      <c r="C51" s="347">
        <f>SUMIFS(TabelaResultadosAcademicos[Aprovados],TabelaResultadosAcademicos[Período],$H$4,TabelaResultadosAcademicos[Curso],IF($A51="(todos)","*",$A51),TabelaResultadosAcademicos[Disciplina],IF($B51="(todas)","*",$B51))</f>
        <v/>
      </c>
      <c r="D51" s="347">
        <f>SUMIFS(TabelaResultadosAcademicos[Reprovados por nota],TabelaResultadosAcademicos[Período],$H$4,TabelaResultadosAcademicos[Curso],IF($A51="(todos)","*",$A51),TabelaResultadosAcademicos[Disciplina],IF($B51="(todas)","*",$B51))</f>
        <v/>
      </c>
      <c r="E51" s="347">
        <f>SUMIFS(TabelaResultadosAcademicos[Reprovados por falta],TabelaResultadosAcademicos[Período],$H$4,TabelaResultadosAcademicos[Curso],IF($A51="(todos)","*",$A51),TabelaResultadosAcademicos[Disciplina],IF($B51="(todas)","*",$B51))</f>
        <v/>
      </c>
      <c r="F51" s="347">
        <f>SUMIFS(TabelaResultadosAcademicos[Reprovados outros],TabelaResultadosAcademicos[Período],$H$4,TabelaResultadosAcademicos[Curso],IF($A51="(todos)","*",$A51),TabelaResultadosAcademicos[Disciplina],IF($B51="(todas)","*",$B51))</f>
        <v/>
      </c>
      <c r="G51" s="354">
        <f>IF(OR($A51="",$B51=""),"",IFERROR(C51/(C51+SUMIFS(TabelaResultadosAcademicos[Reprovados],TabelaResultadosAcademicos[Período],$H$4,TabelaResultadosAcademicos[Curso],IF($A51="(todos)","*",$A51),TabelaResultadosAcademicos[Disciplina],IF($B51="(todas)","*",$B51)))*100,""))</f>
        <v/>
      </c>
      <c r="H51" s="351">
        <f>IFERROR((SUMIFS(TabelaResultadosAcademicos[Soma das notas],TabelaResultadosAcademicos[Período],$H$4,TabelaResultadosAcademicos[Curso],IF($A51="(todos)","*",$A51),TabelaResultadosAcademicos[Disciplina],IF($B51="(todas)","*",$B51)))/(SUMIFS(TabelaResultadosAcademicos[Quantidade de notas],TabelaResultadosAcademicos[Período],$H$4,TabelaResultadosAcademicos[Curso],IF($A51="(todos)","*",$A51),TabelaResultadosAcademicos[Disciplina],IF($B51="(todas)","*",$B51))),"")</f>
        <v/>
      </c>
      <c r="I51" s="347">
        <f>IF(OR($A51="",$B51=""),"",SUMIFS(TabelaResultadosAcademicos[Total],TabelaResultadosAcademicos[Período],$H$4,TabelaResultadosAcademicos[Curso],IF($A51="(todos)","*",$A51),TabelaResultadosAcademicos[Disciplina],IF($B51="(todas)","*",$B51)))</f>
        <v/>
      </c>
      <c r="J51" s="343">
        <f>$H$4</f>
        <v/>
      </c>
    </row>
    <row r="52">
      <c r="A52" s="343">
        <f>DISCIPLINAS!A25</f>
        <v/>
      </c>
      <c r="B52" s="343">
        <f>DISCIPLINAS!B25</f>
        <v/>
      </c>
      <c r="C52" s="347">
        <f>SUMIFS(TabelaResultadosAcademicos[Aprovados],TabelaResultadosAcademicos[Período],$H$4,TabelaResultadosAcademicos[Curso],IF($A52="(todos)","*",$A52),TabelaResultadosAcademicos[Disciplina],IF($B52="(todas)","*",$B52))</f>
        <v/>
      </c>
      <c r="D52" s="347">
        <f>SUMIFS(TabelaResultadosAcademicos[Reprovados por nota],TabelaResultadosAcademicos[Período],$H$4,TabelaResultadosAcademicos[Curso],IF($A52="(todos)","*",$A52),TabelaResultadosAcademicos[Disciplina],IF($B52="(todas)","*",$B52))</f>
        <v/>
      </c>
      <c r="E52" s="347">
        <f>SUMIFS(TabelaResultadosAcademicos[Reprovados por falta],TabelaResultadosAcademicos[Período],$H$4,TabelaResultadosAcademicos[Curso],IF($A52="(todos)","*",$A52),TabelaResultadosAcademicos[Disciplina],IF($B52="(todas)","*",$B52))</f>
        <v/>
      </c>
      <c r="F52" s="347">
        <f>SUMIFS(TabelaResultadosAcademicos[Reprovados outros],TabelaResultadosAcademicos[Período],$H$4,TabelaResultadosAcademicos[Curso],IF($A52="(todos)","*",$A52),TabelaResultadosAcademicos[Disciplina],IF($B52="(todas)","*",$B52))</f>
        <v/>
      </c>
      <c r="G52" s="354">
        <f>IF(OR($A52="",$B52=""),"",IFERROR(C52/(C52+SUMIFS(TabelaResultadosAcademicos[Reprovados],TabelaResultadosAcademicos[Período],$H$4,TabelaResultadosAcademicos[Curso],IF($A52="(todos)","*",$A52),TabelaResultadosAcademicos[Disciplina],IF($B52="(todas)","*",$B52)))*100,""))</f>
        <v/>
      </c>
      <c r="H52" s="351">
        <f>IFERROR((SUMIFS(TabelaResultadosAcademicos[Soma das notas],TabelaResultadosAcademicos[Período],$H$4,TabelaResultadosAcademicos[Curso],IF($A52="(todos)","*",$A52),TabelaResultadosAcademicos[Disciplina],IF($B52="(todas)","*",$B52)))/(SUMIFS(TabelaResultadosAcademicos[Quantidade de notas],TabelaResultadosAcademicos[Período],$H$4,TabelaResultadosAcademicos[Curso],IF($A52="(todos)","*",$A52),TabelaResultadosAcademicos[Disciplina],IF($B52="(todas)","*",$B52))),"")</f>
        <v/>
      </c>
      <c r="I52" s="347">
        <f>IF(OR($A52="",$B52=""),"",SUMIFS(TabelaResultadosAcademicos[Total],TabelaResultadosAcademicos[Período],$H$4,TabelaResultadosAcademicos[Curso],IF($A52="(todos)","*",$A52),TabelaResultadosAcademicos[Disciplina],IF($B52="(todas)","*",$B52)))</f>
        <v/>
      </c>
      <c r="J52" s="343">
        <f>$H$4</f>
        <v/>
      </c>
    </row>
    <row r="53" ht="32.25" customHeight="1" s="131">
      <c r="A53" s="342">
        <f>DISCIPLINAS!A26</f>
        <v/>
      </c>
      <c r="B53" s="343">
        <f>DISCIPLINAS!B26</f>
        <v/>
      </c>
      <c r="C53" s="355">
        <f>SUMIFS(TabelaResultadosAcademicos[Aprovados],TabelaResultadosAcademicos[Período],$H$4,TabelaResultadosAcademicos[Curso],IF($A53="(todos)","*",$A53),TabelaResultadosAcademicos[Disciplina],IF($B53="(todas)","*",$B53))</f>
        <v/>
      </c>
      <c r="D53" s="347">
        <f>SUMIFS(TabelaResultadosAcademicos[Reprovados por nota],TabelaResultadosAcademicos[Período],$H$4,TabelaResultadosAcademicos[Curso],IF($A53="(todos)","*",$A53),TabelaResultadosAcademicos[Disciplina],IF($B53="(todas)","*",$B53))</f>
        <v/>
      </c>
      <c r="E53" s="347">
        <f>SUMIFS(TabelaResultadosAcademicos[Reprovados por falta],TabelaResultadosAcademicos[Período],$H$4,TabelaResultadosAcademicos[Curso],IF($A53="(todos)","*",$A53),TabelaResultadosAcademicos[Disciplina],IF($B53="(todas)","*",$B53))</f>
        <v/>
      </c>
      <c r="F53" s="347">
        <f>SUMIFS(TabelaResultadosAcademicos[Reprovados outros],TabelaResultadosAcademicos[Período],$H$4,TabelaResultadosAcademicos[Curso],IF($A53="(todos)","*",$A53),TabelaResultadosAcademicos[Disciplina],IF($B53="(todas)","*",$B53))</f>
        <v/>
      </c>
      <c r="G53" s="354">
        <f>IF(OR($A53="",$B53=""),"",IFERROR(C53/(C53+SUMIFS(TabelaResultadosAcademicos[Reprovados],TabelaResultadosAcademicos[Período],$H$4,TabelaResultadosAcademicos[Curso],IF($A53="(todos)","*",$A53),TabelaResultadosAcademicos[Disciplina],IF($B53="(todas)","*",$B53)))*100,""))</f>
        <v/>
      </c>
      <c r="H53" s="351">
        <f>IFERROR((SUMIFS(TabelaResultadosAcademicos[Soma das notas],TabelaResultadosAcademicos[Período],$H$4,TabelaResultadosAcademicos[Curso],IF($A53="(todos)","*",$A53),TabelaResultadosAcademicos[Disciplina],IF($B53="(todas)","*",$B53)))/(SUMIFS(TabelaResultadosAcademicos[Quantidade de notas],TabelaResultadosAcademicos[Período],$H$4,TabelaResultadosAcademicos[Curso],IF($A53="(todos)","*",$A53),TabelaResultadosAcademicos[Disciplina],IF($B53="(todas)","*",$B53))),"")</f>
        <v/>
      </c>
      <c r="I53" s="347">
        <f>IF(OR($A53="",$B53=""),"",SUMIFS(TabelaResultadosAcademicos[Total],TabelaResultadosAcademicos[Período],$H$4,TabelaResultadosAcademicos[Curso],IF($A53="(todos)","*",$A53),TabelaResultadosAcademicos[Disciplina],IF($B53="(todas)","*",$B53)))</f>
        <v/>
      </c>
      <c r="J53" s="343">
        <f>$H$4</f>
        <v/>
      </c>
    </row>
    <row r="54" ht="31.5" customHeight="1" s="131">
      <c r="A54" s="340">
        <f>DISCIPLINAS!A27</f>
        <v/>
      </c>
      <c r="B54" s="340">
        <f>DISCIPLINAS!B27</f>
        <v/>
      </c>
      <c r="C54" s="350">
        <f>SUMIFS(TabelaResultadosAcademicos[Aprovados],TabelaResultadosAcademicos[Período],$H$4,TabelaResultadosAcademicos[Curso],IF($A54="(todos)","*",$A54),TabelaResultadosAcademicos[Disciplina],IF($B54="(todas)","*",$B54))</f>
        <v/>
      </c>
      <c r="D54" s="350">
        <f>SUMIFS(TabelaResultadosAcademicos[Reprovados por nota],TabelaResultadosAcademicos[Período],$H$4,TabelaResultadosAcademicos[Curso],IF($A54="(todos)","*",$A54),TabelaResultadosAcademicos[Disciplina],IF($B54="(todas)","*",$B54))</f>
        <v/>
      </c>
      <c r="E54" s="350">
        <f>SUMIFS(TabelaResultadosAcademicos[Reprovados por falta],TabelaResultadosAcademicos[Período],$H$4,TabelaResultadosAcademicos[Curso],IF($A54="(todos)","*",$A54),TabelaResultadosAcademicos[Disciplina],IF($B54="(todas)","*",$B54))</f>
        <v/>
      </c>
      <c r="F54" s="350">
        <f>SUMIFS(TabelaResultadosAcademicos[Reprovados outros],TabelaResultadosAcademicos[Período],$H$4,TabelaResultadosAcademicos[Curso],IF($A54="(todos)","*",$A54),TabelaResultadosAcademicos[Disciplina],IF($B54="(todas)","*",$B54))</f>
        <v/>
      </c>
      <c r="G54" s="349">
        <f>IF(OR($A54="",$B54=""),"",IFERROR(C54/(C54+SUMIFS(TabelaResultadosAcademicos[Reprovados],TabelaResultadosAcademicos[Período],$H$4,TabelaResultadosAcademicos[Curso],IF($A54="(todos)","*",$A54),TabelaResultadosAcademicos[Disciplina],IF($B54="(todas)","*",$B54)))*100,""))</f>
        <v/>
      </c>
      <c r="H54" s="351">
        <f>IFERROR((SUMIFS(TabelaResultadosAcademicos[Soma das notas],TabelaResultadosAcademicos[Período],$H$4,TabelaResultadosAcademicos[Curso],IF($A54="(todos)","*",$A54),TabelaResultadosAcademicos[Disciplina],IF($B54="(todas)","*",$B54)))/(SUMIFS(TabelaResultadosAcademicos[Quantidade de notas],TabelaResultadosAcademicos[Período],$H$4,TabelaResultadosAcademicos[Curso],IF($A54="(todos)","*",$A54),TabelaResultadosAcademicos[Disciplina],IF($B54="(todas)","*",$B54))),"")</f>
        <v/>
      </c>
      <c r="I54" s="347">
        <f>IF(OR($A54="",$B54=""),"",SUMIFS(TabelaResultadosAcademicos[Total],TabelaResultadosAcademicos[Período],$H$4,TabelaResultadosAcademicos[Curso],IF($A54="(todos)","*",$A54),TabelaResultadosAcademicos[Disciplina],IF($B54="(todas)","*",$B54)))</f>
        <v/>
      </c>
      <c r="J54" s="343">
        <f>$H$4</f>
        <v/>
      </c>
    </row>
    <row r="55" ht="15" customHeight="1" s="131">
      <c r="A55" s="340">
        <f>DISCIPLINAS!A28</f>
        <v/>
      </c>
      <c r="B55" s="340">
        <f>DISCIPLINAS!B28</f>
        <v/>
      </c>
      <c r="C55" s="350">
        <f>SUMIFS(TabelaResultadosAcademicos[Aprovados],TabelaResultadosAcademicos[Período],$H$4,TabelaResultadosAcademicos[Curso],IF($A55="(todos)","*",$A55),TabelaResultadosAcademicos[Disciplina],IF($B55="(todas)","*",$B55))</f>
        <v/>
      </c>
      <c r="D55" s="350">
        <f>SUMIFS(TabelaResultadosAcademicos[Reprovados por nota],TabelaResultadosAcademicos[Período],$H$4,TabelaResultadosAcademicos[Curso],IF($A55="(todos)","*",$A55),TabelaResultadosAcademicos[Disciplina],IF($B55="(todas)","*",$B55))</f>
        <v/>
      </c>
      <c r="E55" s="350">
        <f>SUMIFS(TabelaResultadosAcademicos[Reprovados por falta],TabelaResultadosAcademicos[Período],$H$4,TabelaResultadosAcademicos[Curso],IF($A55="(todos)","*",$A55),TabelaResultadosAcademicos[Disciplina],IF($B55="(todas)","*",$B55))</f>
        <v/>
      </c>
      <c r="F55" s="350">
        <f>SUMIFS(TabelaResultadosAcademicos[Reprovados outros],TabelaResultadosAcademicos[Período],$H$4,TabelaResultadosAcademicos[Curso],IF($A55="(todos)","*",$A55),TabelaResultadosAcademicos[Disciplina],IF($B55="(todas)","*",$B55))</f>
        <v/>
      </c>
      <c r="G55" s="349">
        <f>IF(OR($A55="",$B55=""),"",IFERROR(C55/(C55+SUMIFS(TabelaResultadosAcademicos[Reprovados],TabelaResultadosAcademicos[Período],$H$4,TabelaResultadosAcademicos[Curso],IF($A55="(todos)","*",$A55),TabelaResultadosAcademicos[Disciplina],IF($B55="(todas)","*",$B55)))*100,""))</f>
        <v/>
      </c>
      <c r="H55" s="351">
        <f>IFERROR((SUMIFS(TabelaResultadosAcademicos[Soma das notas],TabelaResultadosAcademicos[Período],$H$4,TabelaResultadosAcademicos[Curso],IF($A55="(todos)","*",$A55),TabelaResultadosAcademicos[Disciplina],IF($B55="(todas)","*",$B55)))/(SUMIFS(TabelaResultadosAcademicos[Quantidade de notas],TabelaResultadosAcademicos[Período],$H$4,TabelaResultadosAcademicos[Curso],IF($A55="(todos)","*",$A55),TabelaResultadosAcademicos[Disciplina],IF($B55="(todas)","*",$B55))),"")</f>
        <v/>
      </c>
      <c r="I55" s="347">
        <f>IF(OR($A55="",$B55=""),"",SUMIFS(TabelaResultadosAcademicos[Total],TabelaResultadosAcademicos[Período],$H$4,TabelaResultadosAcademicos[Curso],IF($A55="(todos)","*",$A55),TabelaResultadosAcademicos[Disciplina],IF($B55="(todas)","*",$B55)))</f>
        <v/>
      </c>
      <c r="J55" s="343">
        <f>$H$4</f>
        <v/>
      </c>
    </row>
    <row r="56" ht="15" customHeight="1" s="131">
      <c r="A56" s="340">
        <f>DISCIPLINAS!A29</f>
        <v/>
      </c>
      <c r="B56" s="340">
        <f>DISCIPLINAS!B29</f>
        <v/>
      </c>
      <c r="C56" s="350">
        <f>SUMIFS(TabelaResultadosAcademicos[Aprovados],TabelaResultadosAcademicos[Período],$H$4,TabelaResultadosAcademicos[Curso],IF($A56="(todos)","*",$A56),TabelaResultadosAcademicos[Disciplina],IF($B56="(todas)","*",$B56))</f>
        <v/>
      </c>
      <c r="D56" s="350">
        <f>SUMIFS(TabelaResultadosAcademicos[Reprovados por nota],TabelaResultadosAcademicos[Período],$H$4,TabelaResultadosAcademicos[Curso],IF($A56="(todos)","*",$A56),TabelaResultadosAcademicos[Disciplina],IF($B56="(todas)","*",$B56))</f>
        <v/>
      </c>
      <c r="E56" s="350">
        <f>SUMIFS(TabelaResultadosAcademicos[Reprovados por falta],TabelaResultadosAcademicos[Período],$H$4,TabelaResultadosAcademicos[Curso],IF($A56="(todos)","*",$A56),TabelaResultadosAcademicos[Disciplina],IF($B56="(todas)","*",$B56))</f>
        <v/>
      </c>
      <c r="F56" s="350">
        <f>SUMIFS(TabelaResultadosAcademicos[Reprovados outros],TabelaResultadosAcademicos[Período],$H$4,TabelaResultadosAcademicos[Curso],IF($A56="(todos)","*",$A56),TabelaResultadosAcademicos[Disciplina],IF($B56="(todas)","*",$B56))</f>
        <v/>
      </c>
      <c r="G56" s="349">
        <f>IF(OR($A56="",$B56=""),"",IFERROR(C56/(C56+SUMIFS(TabelaResultadosAcademicos[Reprovados],TabelaResultadosAcademicos[Período],$H$4,TabelaResultadosAcademicos[Curso],IF($A56="(todos)","*",$A56),TabelaResultadosAcademicos[Disciplina],IF($B56="(todas)","*",$B56)))*100,""))</f>
        <v/>
      </c>
      <c r="H56" s="351">
        <f>IFERROR((SUMIFS(TabelaResultadosAcademicos[Soma das notas],TabelaResultadosAcademicos[Período],$H$4,TabelaResultadosAcademicos[Curso],IF($A56="(todos)","*",$A56),TabelaResultadosAcademicos[Disciplina],IF($B56="(todas)","*",$B56)))/(SUMIFS(TabelaResultadosAcademicos[Quantidade de notas],TabelaResultadosAcademicos[Período],$H$4,TabelaResultadosAcademicos[Curso],IF($A56="(todos)","*",$A56),TabelaResultadosAcademicos[Disciplina],IF($B56="(todas)","*",$B56))),"")</f>
        <v/>
      </c>
      <c r="I56" s="347">
        <f>IF(OR($A56="",$B56=""),"",SUMIFS(TabelaResultadosAcademicos[Total],TabelaResultadosAcademicos[Período],$H$4,TabelaResultadosAcademicos[Curso],IF($A56="(todos)","*",$A56),TabelaResultadosAcademicos[Disciplina],IF($B56="(todas)","*",$B56)))</f>
        <v/>
      </c>
      <c r="J56" s="343">
        <f>$H$4</f>
        <v/>
      </c>
    </row>
    <row r="57" ht="15" customHeight="1" s="131">
      <c r="A57" s="340">
        <f>DISCIPLINAS!A30</f>
        <v/>
      </c>
      <c r="B57" s="340">
        <f>DISCIPLINAS!B30</f>
        <v/>
      </c>
      <c r="C57" s="350">
        <f>SUMIFS(TabelaResultadosAcademicos[Aprovados],TabelaResultadosAcademicos[Período],$H$4,TabelaResultadosAcademicos[Curso],IF($A57="(todos)","*",$A57),TabelaResultadosAcademicos[Disciplina],IF($B57="(todas)","*",$B57))</f>
        <v/>
      </c>
      <c r="D57" s="350">
        <f>SUMIFS(TabelaResultadosAcademicos[Reprovados por nota],TabelaResultadosAcademicos[Período],$H$4,TabelaResultadosAcademicos[Curso],IF($A57="(todos)","*",$A57),TabelaResultadosAcademicos[Disciplina],IF($B57="(todas)","*",$B57))</f>
        <v/>
      </c>
      <c r="E57" s="350">
        <f>SUMIFS(TabelaResultadosAcademicos[Reprovados por falta],TabelaResultadosAcademicos[Período],$H$4,TabelaResultadosAcademicos[Curso],IF($A57="(todos)","*",$A57),TabelaResultadosAcademicos[Disciplina],IF($B57="(todas)","*",$B57))</f>
        <v/>
      </c>
      <c r="F57" s="350">
        <f>SUMIFS(TabelaResultadosAcademicos[Reprovados outros],TabelaResultadosAcademicos[Período],$H$4,TabelaResultadosAcademicos[Curso],IF($A57="(todos)","*",$A57),TabelaResultadosAcademicos[Disciplina],IF($B57="(todas)","*",$B57))</f>
        <v/>
      </c>
      <c r="G57" s="349">
        <f>IF(OR($A57="",$B57=""),"",IFERROR(C57/(C57+SUMIFS(TabelaResultadosAcademicos[Reprovados],TabelaResultadosAcademicos[Período],$H$4,TabelaResultadosAcademicos[Curso],IF($A57="(todos)","*",$A57),TabelaResultadosAcademicos[Disciplina],IF($B57="(todas)","*",$B57)))*100,""))</f>
        <v/>
      </c>
      <c r="H57" s="351">
        <f>IFERROR((SUMIFS(TabelaResultadosAcademicos[Soma das notas],TabelaResultadosAcademicos[Período],$H$4,TabelaResultadosAcademicos[Curso],IF($A57="(todos)","*",$A57),TabelaResultadosAcademicos[Disciplina],IF($B57="(todas)","*",$B57)))/(SUMIFS(TabelaResultadosAcademicos[Quantidade de notas],TabelaResultadosAcademicos[Período],$H$4,TabelaResultadosAcademicos[Curso],IF($A57="(todos)","*",$A57),TabelaResultadosAcademicos[Disciplina],IF($B57="(todas)","*",$B57))),"")</f>
        <v/>
      </c>
      <c r="I57" s="347">
        <f>IF(OR($A57="",$B57=""),"",SUMIFS(TabelaResultadosAcademicos[Total],TabelaResultadosAcademicos[Período],$H$4,TabelaResultadosAcademicos[Curso],IF($A57="(todos)","*",$A57),TabelaResultadosAcademicos[Disciplina],IF($B57="(todas)","*",$B57)))</f>
        <v/>
      </c>
      <c r="J57" s="343">
        <f>$H$4</f>
        <v/>
      </c>
    </row>
    <row r="58" ht="15" customHeight="1" s="131">
      <c r="A58" s="340">
        <f>DISCIPLINAS!A31</f>
        <v/>
      </c>
      <c r="B58" s="340">
        <f>DISCIPLINAS!B31</f>
        <v/>
      </c>
      <c r="C58" s="350">
        <f>SUMIFS(TabelaResultadosAcademicos[Aprovados],TabelaResultadosAcademicos[Período],$H$4,TabelaResultadosAcademicos[Curso],IF($A58="(todos)","*",$A58),TabelaResultadosAcademicos[Disciplina],IF($B58="(todas)","*",$B58))</f>
        <v/>
      </c>
      <c r="D58" s="350">
        <f>SUMIFS(TabelaResultadosAcademicos[Reprovados por nota],TabelaResultadosAcademicos[Período],$H$4,TabelaResultadosAcademicos[Curso],IF($A58="(todos)","*",$A58),TabelaResultadosAcademicos[Disciplina],IF($B58="(todas)","*",$B58))</f>
        <v/>
      </c>
      <c r="E58" s="350">
        <f>SUMIFS(TabelaResultadosAcademicos[Reprovados por falta],TabelaResultadosAcademicos[Período],$H$4,TabelaResultadosAcademicos[Curso],IF($A58="(todos)","*",$A58),TabelaResultadosAcademicos[Disciplina],IF($B58="(todas)","*",$B58))</f>
        <v/>
      </c>
      <c r="F58" s="350">
        <f>SUMIFS(TabelaResultadosAcademicos[Reprovados outros],TabelaResultadosAcademicos[Período],$H$4,TabelaResultadosAcademicos[Curso],IF($A58="(todos)","*",$A58),TabelaResultadosAcademicos[Disciplina],IF($B58="(todas)","*",$B58))</f>
        <v/>
      </c>
      <c r="G58" s="349">
        <f>IF(OR($A58="",$B58=""),"",IFERROR(C58/(C58+SUMIFS(TabelaResultadosAcademicos[Reprovados],TabelaResultadosAcademicos[Período],$H$4,TabelaResultadosAcademicos[Curso],IF($A58="(todos)","*",$A58),TabelaResultadosAcademicos[Disciplina],IF($B58="(todas)","*",$B58)))*100,""))</f>
        <v/>
      </c>
      <c r="H58" s="351">
        <f>IFERROR((SUMIFS(TabelaResultadosAcademicos[Soma das notas],TabelaResultadosAcademicos[Período],$H$4,TabelaResultadosAcademicos[Curso],IF($A58="(todos)","*",$A58),TabelaResultadosAcademicos[Disciplina],IF($B58="(todas)","*",$B58)))/(SUMIFS(TabelaResultadosAcademicos[Quantidade de notas],TabelaResultadosAcademicos[Período],$H$4,TabelaResultadosAcademicos[Curso],IF($A58="(todos)","*",$A58),TabelaResultadosAcademicos[Disciplina],IF($B58="(todas)","*",$B58))),"")</f>
        <v/>
      </c>
      <c r="I58" s="347">
        <f>IF(OR($A58="",$B58=""),"",SUMIFS(TabelaResultadosAcademicos[Total],TabelaResultadosAcademicos[Período],$H$4,TabelaResultadosAcademicos[Curso],IF($A58="(todos)","*",$A58),TabelaResultadosAcademicos[Disciplina],IF($B58="(todas)","*",$B58)))</f>
        <v/>
      </c>
      <c r="J58" s="343">
        <f>$H$4</f>
        <v/>
      </c>
    </row>
    <row r="59" ht="15" customHeight="1" s="131">
      <c r="A59" s="340">
        <f>DISCIPLINAS!A32</f>
        <v/>
      </c>
      <c r="B59" s="340">
        <f>DISCIPLINAS!B32</f>
        <v/>
      </c>
      <c r="C59" s="350">
        <f>SUMIFS(TabelaResultadosAcademicos[Aprovados],TabelaResultadosAcademicos[Período],$H$4,TabelaResultadosAcademicos[Curso],IF($A59="(todos)","*",$A59),TabelaResultadosAcademicos[Disciplina],IF($B59="(todas)","*",$B59))</f>
        <v/>
      </c>
      <c r="D59" s="350">
        <f>SUMIFS(TabelaResultadosAcademicos[Reprovados por nota],TabelaResultadosAcademicos[Período],$H$4,TabelaResultadosAcademicos[Curso],IF($A59="(todos)","*",$A59),TabelaResultadosAcademicos[Disciplina],IF($B59="(todas)","*",$B59))</f>
        <v/>
      </c>
      <c r="E59" s="350">
        <f>SUMIFS(TabelaResultadosAcademicos[Reprovados por falta],TabelaResultadosAcademicos[Período],$H$4,TabelaResultadosAcademicos[Curso],IF($A59="(todos)","*",$A59),TabelaResultadosAcademicos[Disciplina],IF($B59="(todas)","*",$B59))</f>
        <v/>
      </c>
      <c r="F59" s="350">
        <f>SUMIFS(TabelaResultadosAcademicos[Reprovados outros],TabelaResultadosAcademicos[Período],$H$4,TabelaResultadosAcademicos[Curso],IF($A59="(todos)","*",$A59),TabelaResultadosAcademicos[Disciplina],IF($B59="(todas)","*",$B59))</f>
        <v/>
      </c>
      <c r="G59" s="349">
        <f>IF(OR($A59="",$B59=""),"",IFERROR(C59/(C59+SUMIFS(TabelaResultadosAcademicos[Reprovados],TabelaResultadosAcademicos[Período],$H$4,TabelaResultadosAcademicos[Curso],IF($A59="(todos)","*",$A59),TabelaResultadosAcademicos[Disciplina],IF($B59="(todas)","*",$B59)))*100,""))</f>
        <v/>
      </c>
      <c r="H59" s="351">
        <f>IFERROR((SUMIFS(TabelaResultadosAcademicos[Soma das notas],TabelaResultadosAcademicos[Período],$H$4,TabelaResultadosAcademicos[Curso],IF($A59="(todos)","*",$A59),TabelaResultadosAcademicos[Disciplina],IF($B59="(todas)","*",$B59)))/(SUMIFS(TabelaResultadosAcademicos[Quantidade de notas],TabelaResultadosAcademicos[Período],$H$4,TabelaResultadosAcademicos[Curso],IF($A59="(todos)","*",$A59),TabelaResultadosAcademicos[Disciplina],IF($B59="(todas)","*",$B59))),"")</f>
        <v/>
      </c>
      <c r="I59" s="347">
        <f>IF(OR($A59="",$B59=""),"",SUMIFS(TabelaResultadosAcademicos[Total],TabelaResultadosAcademicos[Período],$H$4,TabelaResultadosAcademicos[Curso],IF($A59="(todos)","*",$A59),TabelaResultadosAcademicos[Disciplina],IF($B59="(todas)","*",$B59)))</f>
        <v/>
      </c>
      <c r="J59" s="343">
        <f>$H$4</f>
        <v/>
      </c>
    </row>
    <row r="60" ht="15" customHeight="1" s="131">
      <c r="A60" s="340">
        <f>DISCIPLINAS!A33</f>
        <v/>
      </c>
      <c r="B60" s="340">
        <f>DISCIPLINAS!B33</f>
        <v/>
      </c>
      <c r="C60" s="350">
        <f>SUMIFS(TabelaResultadosAcademicos[Aprovados],TabelaResultadosAcademicos[Período],$H$4,TabelaResultadosAcademicos[Curso],IF($A60="(todos)","*",$A60),TabelaResultadosAcademicos[Disciplina],IF($B60="(todas)","*",$B60))</f>
        <v/>
      </c>
      <c r="D60" s="350">
        <f>SUMIFS(TabelaResultadosAcademicos[Reprovados por nota],TabelaResultadosAcademicos[Período],$H$4,TabelaResultadosAcademicos[Curso],IF($A60="(todos)","*",$A60),TabelaResultadosAcademicos[Disciplina],IF($B60="(todas)","*",$B60))</f>
        <v/>
      </c>
      <c r="E60" s="350">
        <f>SUMIFS(TabelaResultadosAcademicos[Reprovados por falta],TabelaResultadosAcademicos[Período],$H$4,TabelaResultadosAcademicos[Curso],IF($A60="(todos)","*",$A60),TabelaResultadosAcademicos[Disciplina],IF($B60="(todas)","*",$B60))</f>
        <v/>
      </c>
      <c r="F60" s="350">
        <f>SUMIFS(TabelaResultadosAcademicos[Reprovados outros],TabelaResultadosAcademicos[Período],$H$4,TabelaResultadosAcademicos[Curso],IF($A60="(todos)","*",$A60),TabelaResultadosAcademicos[Disciplina],IF($B60="(todas)","*",$B60))</f>
        <v/>
      </c>
      <c r="G60" s="349">
        <f>IF(OR($A60="",$B60=""),"",IFERROR(C60/(C60+SUMIFS(TabelaResultadosAcademicos[Reprovados],TabelaResultadosAcademicos[Período],$H$4,TabelaResultadosAcademicos[Curso],IF($A60="(todos)","*",$A60),TabelaResultadosAcademicos[Disciplina],IF($B60="(todas)","*",$B60)))*100,""))</f>
        <v/>
      </c>
      <c r="H60" s="351">
        <f>IFERROR((SUMIFS(TabelaResultadosAcademicos[Soma das notas],TabelaResultadosAcademicos[Período],$H$4,TabelaResultadosAcademicos[Curso],IF($A60="(todos)","*",$A60),TabelaResultadosAcademicos[Disciplina],IF($B60="(todas)","*",$B60)))/(SUMIFS(TabelaResultadosAcademicos[Quantidade de notas],TabelaResultadosAcademicos[Período],$H$4,TabelaResultadosAcademicos[Curso],IF($A60="(todos)","*",$A60),TabelaResultadosAcademicos[Disciplina],IF($B60="(todas)","*",$B60))),"")</f>
        <v/>
      </c>
      <c r="I60" s="347">
        <f>IF(OR($A60="",$B60=""),"",SUMIFS(TabelaResultadosAcademicos[Total],TabelaResultadosAcademicos[Período],$H$4,TabelaResultadosAcademicos[Curso],IF($A60="(todos)","*",$A60),TabelaResultadosAcademicos[Disciplina],IF($B60="(todas)","*",$B60)))</f>
        <v/>
      </c>
      <c r="J60" s="343">
        <f>$H$4</f>
        <v/>
      </c>
    </row>
    <row r="61" ht="15" customHeight="1" s="131">
      <c r="A61" s="340">
        <f>DISCIPLINAS!A34</f>
        <v/>
      </c>
      <c r="B61" s="340">
        <f>DISCIPLINAS!B34</f>
        <v/>
      </c>
      <c r="C61" s="350">
        <f>SUMIFS(TabelaResultadosAcademicos[Aprovados],TabelaResultadosAcademicos[Período],$H$4,TabelaResultadosAcademicos[Curso],IF($A61="(todos)","*",$A61),TabelaResultadosAcademicos[Disciplina],IF($B61="(todas)","*",$B61))</f>
        <v/>
      </c>
      <c r="D61" s="350">
        <f>SUMIFS(TabelaResultadosAcademicos[Reprovados por nota],TabelaResultadosAcademicos[Período],$H$4,TabelaResultadosAcademicos[Curso],IF($A61="(todos)","*",$A61),TabelaResultadosAcademicos[Disciplina],IF($B61="(todas)","*",$B61))</f>
        <v/>
      </c>
      <c r="E61" s="350">
        <f>SUMIFS(TabelaResultadosAcademicos[Reprovados por falta],TabelaResultadosAcademicos[Período],$H$4,TabelaResultadosAcademicos[Curso],IF($A61="(todos)","*",$A61),TabelaResultadosAcademicos[Disciplina],IF($B61="(todas)","*",$B61))</f>
        <v/>
      </c>
      <c r="F61" s="350">
        <f>SUMIFS(TabelaResultadosAcademicos[Reprovados outros],TabelaResultadosAcademicos[Período],$H$4,TabelaResultadosAcademicos[Curso],IF($A61="(todos)","*",$A61),TabelaResultadosAcademicos[Disciplina],IF($B61="(todas)","*",$B61))</f>
        <v/>
      </c>
      <c r="G61" s="349">
        <f>IF(OR($A61="",$B61=""),"",IFERROR(C61/(C61+SUMIFS(TabelaResultadosAcademicos[Reprovados],TabelaResultadosAcademicos[Período],$H$4,TabelaResultadosAcademicos[Curso],IF($A61="(todos)","*",$A61),TabelaResultadosAcademicos[Disciplina],IF($B61="(todas)","*",$B61)))*100,""))</f>
        <v/>
      </c>
      <c r="H61" s="351">
        <f>IFERROR((SUMIFS(TabelaResultadosAcademicos[Soma das notas],TabelaResultadosAcademicos[Período],$H$4,TabelaResultadosAcademicos[Curso],IF($A61="(todos)","*",$A61),TabelaResultadosAcademicos[Disciplina],IF($B61="(todas)","*",$B61)))/(SUMIFS(TabelaResultadosAcademicos[Quantidade de notas],TabelaResultadosAcademicos[Período],$H$4,TabelaResultadosAcademicos[Curso],IF($A61="(todos)","*",$A61),TabelaResultadosAcademicos[Disciplina],IF($B61="(todas)","*",$B61))),"")</f>
        <v/>
      </c>
      <c r="I61" s="347">
        <f>IF(OR($A61="",$B61=""),"",SUMIFS(TabelaResultadosAcademicos[Total],TabelaResultadosAcademicos[Período],$H$4,TabelaResultadosAcademicos[Curso],IF($A61="(todos)","*",$A61),TabelaResultadosAcademicos[Disciplina],IF($B61="(todas)","*",$B61)))</f>
        <v/>
      </c>
      <c r="J61" s="343">
        <f>$H$4</f>
        <v/>
      </c>
    </row>
    <row r="62" ht="15" customHeight="1" s="131">
      <c r="A62" s="340">
        <f>DISCIPLINAS!A35</f>
        <v/>
      </c>
      <c r="B62" s="340">
        <f>DISCIPLINAS!B35</f>
        <v/>
      </c>
      <c r="C62" s="350">
        <f>SUMIFS(TabelaResultadosAcademicos[Aprovados],TabelaResultadosAcademicos[Período],$H$4,TabelaResultadosAcademicos[Curso],IF($A62="(todos)","*",$A62),TabelaResultadosAcademicos[Disciplina],IF($B62="(todas)","*",$B62))</f>
        <v/>
      </c>
      <c r="D62" s="350">
        <f>SUMIFS(TabelaResultadosAcademicos[Reprovados por nota],TabelaResultadosAcademicos[Período],$H$4,TabelaResultadosAcademicos[Curso],IF($A62="(todos)","*",$A62),TabelaResultadosAcademicos[Disciplina],IF($B62="(todas)","*",$B62))</f>
        <v/>
      </c>
      <c r="E62" s="350">
        <f>SUMIFS(TabelaResultadosAcademicos[Reprovados por falta],TabelaResultadosAcademicos[Período],$H$4,TabelaResultadosAcademicos[Curso],IF($A62="(todos)","*",$A62),TabelaResultadosAcademicos[Disciplina],IF($B62="(todas)","*",$B62))</f>
        <v/>
      </c>
      <c r="F62" s="350">
        <f>SUMIFS(TabelaResultadosAcademicos[Reprovados outros],TabelaResultadosAcademicos[Período],$H$4,TabelaResultadosAcademicos[Curso],IF($A62="(todos)","*",$A62),TabelaResultadosAcademicos[Disciplina],IF($B62="(todas)","*",$B62))</f>
        <v/>
      </c>
      <c r="G62" s="349">
        <f>IF(OR($A62="",$B62=""),"",IFERROR(C62/(C62+SUMIFS(TabelaResultadosAcademicos[Reprovados],TabelaResultadosAcademicos[Período],$H$4,TabelaResultadosAcademicos[Curso],IF($A62="(todos)","*",$A62),TabelaResultadosAcademicos[Disciplina],IF($B62="(todas)","*",$B62)))*100,""))</f>
        <v/>
      </c>
      <c r="H62" s="351">
        <f>IFERROR((SUMIFS(TabelaResultadosAcademicos[Soma das notas],TabelaResultadosAcademicos[Período],$H$4,TabelaResultadosAcademicos[Curso],IF($A62="(todos)","*",$A62),TabelaResultadosAcademicos[Disciplina],IF($B62="(todas)","*",$B62)))/(SUMIFS(TabelaResultadosAcademicos[Quantidade de notas],TabelaResultadosAcademicos[Período],$H$4,TabelaResultadosAcademicos[Curso],IF($A62="(todos)","*",$A62),TabelaResultadosAcademicos[Disciplina],IF($B62="(todas)","*",$B62))),"")</f>
        <v/>
      </c>
      <c r="I62" s="347">
        <f>IF(OR($A62="",$B62=""),"",SUMIFS(TabelaResultadosAcademicos[Total],TabelaResultadosAcademicos[Período],$H$4,TabelaResultadosAcademicos[Curso],IF($A62="(todos)","*",$A62),TabelaResultadosAcademicos[Disciplina],IF($B62="(todas)","*",$B62)))</f>
        <v/>
      </c>
      <c r="J62" s="343">
        <f>$H$4</f>
        <v/>
      </c>
    </row>
    <row r="63" ht="15" customHeight="1" s="131">
      <c r="A63" s="340">
        <f>DISCIPLINAS!A36</f>
        <v/>
      </c>
      <c r="B63" s="340">
        <f>DISCIPLINAS!B36</f>
        <v/>
      </c>
      <c r="C63" s="350">
        <f>SUMIFS(TabelaResultadosAcademicos[Aprovados],TabelaResultadosAcademicos[Período],$H$4,TabelaResultadosAcademicos[Curso],IF($A63="(todos)","*",$A63),TabelaResultadosAcademicos[Disciplina],IF($B63="(todas)","*",$B63))</f>
        <v/>
      </c>
      <c r="D63" s="350">
        <f>SUMIFS(TabelaResultadosAcademicos[Reprovados por nota],TabelaResultadosAcademicos[Período],$H$4,TabelaResultadosAcademicos[Curso],IF($A63="(todos)","*",$A63),TabelaResultadosAcademicos[Disciplina],IF($B63="(todas)","*",$B63))</f>
        <v/>
      </c>
      <c r="E63" s="350">
        <f>SUMIFS(TabelaResultadosAcademicos[Reprovados por falta],TabelaResultadosAcademicos[Período],$H$4,TabelaResultadosAcademicos[Curso],IF($A63="(todos)","*",$A63),TabelaResultadosAcademicos[Disciplina],IF($B63="(todas)","*",$B63))</f>
        <v/>
      </c>
      <c r="F63" s="350">
        <f>SUMIFS(TabelaResultadosAcademicos[Reprovados outros],TabelaResultadosAcademicos[Período],$H$4,TabelaResultadosAcademicos[Curso],IF($A63="(todos)","*",$A63),TabelaResultadosAcademicos[Disciplina],IF($B63="(todas)","*",$B63))</f>
        <v/>
      </c>
      <c r="G63" s="349">
        <f>IF(OR($A63="",$B63=""),"",IFERROR(C63/(C63+SUMIFS(TabelaResultadosAcademicos[Reprovados],TabelaResultadosAcademicos[Período],$H$4,TabelaResultadosAcademicos[Curso],IF($A63="(todos)","*",$A63),TabelaResultadosAcademicos[Disciplina],IF($B63="(todas)","*",$B63)))*100,""))</f>
        <v/>
      </c>
      <c r="H63" s="351">
        <f>IFERROR((SUMIFS(TabelaResultadosAcademicos[Soma das notas],TabelaResultadosAcademicos[Período],$H$4,TabelaResultadosAcademicos[Curso],IF($A63="(todos)","*",$A63),TabelaResultadosAcademicos[Disciplina],IF($B63="(todas)","*",$B63)))/(SUMIFS(TabelaResultadosAcademicos[Quantidade de notas],TabelaResultadosAcademicos[Período],$H$4,TabelaResultadosAcademicos[Curso],IF($A63="(todos)","*",$A63),TabelaResultadosAcademicos[Disciplina],IF($B63="(todas)","*",$B63))),"")</f>
        <v/>
      </c>
      <c r="I63" s="347">
        <f>IF(OR($A63="",$B63=""),"",SUMIFS(TabelaResultadosAcademicos[Total],TabelaResultadosAcademicos[Período],$H$4,TabelaResultadosAcademicos[Curso],IF($A63="(todos)","*",$A63),TabelaResultadosAcademicos[Disciplina],IF($B63="(todas)","*",$B63)))</f>
        <v/>
      </c>
      <c r="J63" s="343">
        <f>$H$4</f>
        <v/>
      </c>
    </row>
    <row r="64" ht="15" customHeight="1" s="131">
      <c r="A64" s="340">
        <f>DISCIPLINAS!A37</f>
        <v/>
      </c>
      <c r="B64" s="340">
        <f>DISCIPLINAS!B37</f>
        <v/>
      </c>
      <c r="C64" s="350">
        <f>SUMIFS(TabelaResultadosAcademicos[Aprovados],TabelaResultadosAcademicos[Período],$H$4,TabelaResultadosAcademicos[Curso],IF($A64="(todos)","*",$A64),TabelaResultadosAcademicos[Disciplina],IF($B64="(todas)","*",$B64))</f>
        <v/>
      </c>
      <c r="D64" s="350">
        <f>SUMIFS(TabelaResultadosAcademicos[Reprovados por nota],TabelaResultadosAcademicos[Período],$H$4,TabelaResultadosAcademicos[Curso],IF($A64="(todos)","*",$A64),TabelaResultadosAcademicos[Disciplina],IF($B64="(todas)","*",$B64))</f>
        <v/>
      </c>
      <c r="E64" s="350">
        <f>SUMIFS(TabelaResultadosAcademicos[Reprovados por falta],TabelaResultadosAcademicos[Período],$H$4,TabelaResultadosAcademicos[Curso],IF($A64="(todos)","*",$A64),TabelaResultadosAcademicos[Disciplina],IF($B64="(todas)","*",$B64))</f>
        <v/>
      </c>
      <c r="F64" s="350">
        <f>SUMIFS(TabelaResultadosAcademicos[Reprovados outros],TabelaResultadosAcademicos[Período],$H$4,TabelaResultadosAcademicos[Curso],IF($A64="(todos)","*",$A64),TabelaResultadosAcademicos[Disciplina],IF($B64="(todas)","*",$B64))</f>
        <v/>
      </c>
      <c r="G64" s="349">
        <f>IF(OR($A64="",$B64=""),"",IFERROR(C64/(C64+SUMIFS(TabelaResultadosAcademicos[Reprovados],TabelaResultadosAcademicos[Período],$H$4,TabelaResultadosAcademicos[Curso],IF($A64="(todos)","*",$A64),TabelaResultadosAcademicos[Disciplina],IF($B64="(todas)","*",$B64)))*100,""))</f>
        <v/>
      </c>
      <c r="H64" s="351">
        <f>IFERROR((SUMIFS(TabelaResultadosAcademicos[Soma das notas],TabelaResultadosAcademicos[Período],$H$4,TabelaResultadosAcademicos[Curso],IF($A64="(todos)","*",$A64),TabelaResultadosAcademicos[Disciplina],IF($B64="(todas)","*",$B64)))/(SUMIFS(TabelaResultadosAcademicos[Quantidade de notas],TabelaResultadosAcademicos[Período],$H$4,TabelaResultadosAcademicos[Curso],IF($A64="(todos)","*",$A64),TabelaResultadosAcademicos[Disciplina],IF($B64="(todas)","*",$B64))),"")</f>
        <v/>
      </c>
      <c r="I64" s="347">
        <f>IF(OR($A64="",$B64=""),"",SUMIFS(TabelaResultadosAcademicos[Total],TabelaResultadosAcademicos[Período],$H$4,TabelaResultadosAcademicos[Curso],IF($A64="(todos)","*",$A64),TabelaResultadosAcademicos[Disciplina],IF($B64="(todas)","*",$B64)))</f>
        <v/>
      </c>
      <c r="J64" s="343">
        <f>$H$4</f>
        <v/>
      </c>
    </row>
    <row r="65" ht="15" customHeight="1" s="131">
      <c r="A65" s="340">
        <f>DISCIPLINAS!A38</f>
        <v/>
      </c>
      <c r="B65" s="340">
        <f>DISCIPLINAS!B38</f>
        <v/>
      </c>
      <c r="C65" s="350">
        <f>SUMIFS(TabelaResultadosAcademicos[Aprovados],TabelaResultadosAcademicos[Período],$H$4,TabelaResultadosAcademicos[Curso],IF($A65="(todos)","*",$A65),TabelaResultadosAcademicos[Disciplina],IF($B65="(todas)","*",$B65))</f>
        <v/>
      </c>
      <c r="D65" s="350">
        <f>SUMIFS(TabelaResultadosAcademicos[Reprovados por nota],TabelaResultadosAcademicos[Período],$H$4,TabelaResultadosAcademicos[Curso],IF($A65="(todos)","*",$A65),TabelaResultadosAcademicos[Disciplina],IF($B65="(todas)","*",$B65))</f>
        <v/>
      </c>
      <c r="E65" s="350">
        <f>SUMIFS(TabelaResultadosAcademicos[Reprovados por falta],TabelaResultadosAcademicos[Período],$H$4,TabelaResultadosAcademicos[Curso],IF($A65="(todos)","*",$A65),TabelaResultadosAcademicos[Disciplina],IF($B65="(todas)","*",$B65))</f>
        <v/>
      </c>
      <c r="F65" s="350">
        <f>SUMIFS(TabelaResultadosAcademicos[Reprovados outros],TabelaResultadosAcademicos[Período],$H$4,TabelaResultadosAcademicos[Curso],IF($A65="(todos)","*",$A65),TabelaResultadosAcademicos[Disciplina],IF($B65="(todas)","*",$B65))</f>
        <v/>
      </c>
      <c r="G65" s="349">
        <f>IF(OR($A65="",$B65=""),"",IFERROR(C65/(C65+SUMIFS(TabelaResultadosAcademicos[Reprovados],TabelaResultadosAcademicos[Período],$H$4,TabelaResultadosAcademicos[Curso],IF($A65="(todos)","*",$A65),TabelaResultadosAcademicos[Disciplina],IF($B65="(todas)","*",$B65)))*100,""))</f>
        <v/>
      </c>
      <c r="H65" s="351">
        <f>IFERROR((SUMIFS(TabelaResultadosAcademicos[Soma das notas],TabelaResultadosAcademicos[Período],$H$4,TabelaResultadosAcademicos[Curso],IF($A65="(todos)","*",$A65),TabelaResultadosAcademicos[Disciplina],IF($B65="(todas)","*",$B65)))/(SUMIFS(TabelaResultadosAcademicos[Quantidade de notas],TabelaResultadosAcademicos[Período],$H$4,TabelaResultadosAcademicos[Curso],IF($A65="(todos)","*",$A65),TabelaResultadosAcademicos[Disciplina],IF($B65="(todas)","*",$B65))),"")</f>
        <v/>
      </c>
      <c r="I65" s="347">
        <f>IF(OR($A65="",$B65=""),"",SUMIFS(TabelaResultadosAcademicos[Total],TabelaResultadosAcademicos[Período],$H$4,TabelaResultadosAcademicos[Curso],IF($A65="(todos)","*",$A65),TabelaResultadosAcademicos[Disciplina],IF($B65="(todas)","*",$B65)))</f>
        <v/>
      </c>
      <c r="J65" s="343">
        <f>$H$4</f>
        <v/>
      </c>
    </row>
    <row r="66" ht="15" customHeight="1" s="131">
      <c r="A66" s="340">
        <f>DISCIPLINAS!A39</f>
        <v/>
      </c>
      <c r="B66" s="340">
        <f>DISCIPLINAS!B39</f>
        <v/>
      </c>
      <c r="C66" s="350">
        <f>SUMIFS(TabelaResultadosAcademicos[Aprovados],TabelaResultadosAcademicos[Período],$H$4,TabelaResultadosAcademicos[Curso],IF($A66="(todos)","*",$A66),TabelaResultadosAcademicos[Disciplina],IF($B66="(todas)","*",$B66))</f>
        <v/>
      </c>
      <c r="D66" s="350">
        <f>SUMIFS(TabelaResultadosAcademicos[Reprovados por nota],TabelaResultadosAcademicos[Período],$H$4,TabelaResultadosAcademicos[Curso],IF($A66="(todos)","*",$A66),TabelaResultadosAcademicos[Disciplina],IF($B66="(todas)","*",$B66))</f>
        <v/>
      </c>
      <c r="E66" s="350">
        <f>SUMIFS(TabelaResultadosAcademicos[Reprovados por falta],TabelaResultadosAcademicos[Período],$H$4,TabelaResultadosAcademicos[Curso],IF($A66="(todos)","*",$A66),TabelaResultadosAcademicos[Disciplina],IF($B66="(todas)","*",$B66))</f>
        <v/>
      </c>
      <c r="F66" s="350">
        <f>SUMIFS(TabelaResultadosAcademicos[Reprovados outros],TabelaResultadosAcademicos[Período],$H$4,TabelaResultadosAcademicos[Curso],IF($A66="(todos)","*",$A66),TabelaResultadosAcademicos[Disciplina],IF($B66="(todas)","*",$B66))</f>
        <v/>
      </c>
      <c r="G66" s="349">
        <f>IF(OR($A66="",$B66=""),"",IFERROR(C66/(C66+SUMIFS(TabelaResultadosAcademicos[Reprovados],TabelaResultadosAcademicos[Período],$H$4,TabelaResultadosAcademicos[Curso],IF($A66="(todos)","*",$A66),TabelaResultadosAcademicos[Disciplina],IF($B66="(todas)","*",$B66)))*100,""))</f>
        <v/>
      </c>
      <c r="H66" s="351">
        <f>IFERROR((SUMIFS(TabelaResultadosAcademicos[Soma das notas],TabelaResultadosAcademicos[Período],$H$4,TabelaResultadosAcademicos[Curso],IF($A66="(todos)","*",$A66),TabelaResultadosAcademicos[Disciplina],IF($B66="(todas)","*",$B66)))/(SUMIFS(TabelaResultadosAcademicos[Quantidade de notas],TabelaResultadosAcademicos[Período],$H$4,TabelaResultadosAcademicos[Curso],IF($A66="(todos)","*",$A66),TabelaResultadosAcademicos[Disciplina],IF($B66="(todas)","*",$B66))),"")</f>
        <v/>
      </c>
      <c r="I66" s="347">
        <f>IF(OR($A66="",$B66=""),"",SUMIFS(TabelaResultadosAcademicos[Total],TabelaResultadosAcademicos[Período],$H$4,TabelaResultadosAcademicos[Curso],IF($A66="(todos)","*",$A66),TabelaResultadosAcademicos[Disciplina],IF($B66="(todas)","*",$B66)))</f>
        <v/>
      </c>
      <c r="J66" s="343">
        <f>$H$4</f>
        <v/>
      </c>
    </row>
    <row r="67">
      <c r="A67" s="343">
        <f>DISCIPLINAS!A40</f>
        <v/>
      </c>
      <c r="B67" s="343">
        <f>DISCIPLINAS!B40</f>
        <v/>
      </c>
      <c r="C67" s="347">
        <f>SUMIFS(TabelaResultadosAcademicos[Aprovados],TabelaResultadosAcademicos[Período],$H$4,TabelaResultadosAcademicos[Curso],IF($A67="(todos)","*",$A67),TabelaResultadosAcademicos[Disciplina],IF($B67="(todas)","*",$B67))</f>
        <v/>
      </c>
      <c r="D67" s="347">
        <f>SUMIFS(TabelaResultadosAcademicos[Reprovados por nota],TabelaResultadosAcademicos[Período],$H$4,TabelaResultadosAcademicos[Curso],IF($A67="(todos)","*",$A67),TabelaResultadosAcademicos[Disciplina],IF($B67="(todas)","*",$B67))</f>
        <v/>
      </c>
      <c r="E67" s="347">
        <f>SUMIFS(TabelaResultadosAcademicos[Reprovados por falta],TabelaResultadosAcademicos[Período],$H$4,TabelaResultadosAcademicos[Curso],IF($A67="(todos)","*",$A67),TabelaResultadosAcademicos[Disciplina],IF($B67="(todas)","*",$B67))</f>
        <v/>
      </c>
      <c r="F67" s="347">
        <f>SUMIFS(TabelaResultadosAcademicos[Reprovados outros],TabelaResultadosAcademicos[Período],$H$4,TabelaResultadosAcademicos[Curso],IF($A67="(todos)","*",$A67),TabelaResultadosAcademicos[Disciplina],IF($B67="(todas)","*",$B67))</f>
        <v/>
      </c>
      <c r="G67" s="354">
        <f>IF(OR($A67="",$B67=""),"",IFERROR(C67/(C67+SUMIFS(TabelaResultadosAcademicos[Reprovados],TabelaResultadosAcademicos[Período],$H$4,TabelaResultadosAcademicos[Curso],IF($A67="(todos)","*",$A67),TabelaResultadosAcademicos[Disciplina],IF($B67="(todas)","*",$B67)))*100,""))</f>
        <v/>
      </c>
      <c r="H67" s="351">
        <f>IFERROR((SUMIFS(TabelaResultadosAcademicos[Soma das notas],TabelaResultadosAcademicos[Período],$H$4,TabelaResultadosAcademicos[Curso],IF($A67="(todos)","*",$A67),TabelaResultadosAcademicos[Disciplina],IF($B67="(todas)","*",$B67)))/(SUMIFS(TabelaResultadosAcademicos[Quantidade de notas],TabelaResultadosAcademicos[Período],$H$4,TabelaResultadosAcademicos[Curso],IF($A67="(todos)","*",$A67),TabelaResultadosAcademicos[Disciplina],IF($B67="(todas)","*",$B67))),"")</f>
        <v/>
      </c>
      <c r="I67" s="347">
        <f>IF(OR($A67="",$B67=""),"",SUMIFS(TabelaResultadosAcademicos[Total],TabelaResultadosAcademicos[Período],$H$4,TabelaResultadosAcademicos[Curso],IF($A67="(todos)","*",$A67),TabelaResultadosAcademicos[Disciplina],IF($B67="(todas)","*",$B67)))</f>
        <v/>
      </c>
      <c r="J67" s="343">
        <f>$H$4</f>
        <v/>
      </c>
    </row>
    <row r="68" ht="15" customHeight="1" s="131">
      <c r="A68" s="342">
        <f>DISCIPLINAS!A41</f>
        <v/>
      </c>
      <c r="B68" s="343">
        <f>DISCIPLINAS!B41</f>
        <v/>
      </c>
      <c r="C68" s="347">
        <f>SUMIFS(TabelaResultadosAcademicos[Aprovados],TabelaResultadosAcademicos[Período],$H$4,TabelaResultadosAcademicos[Curso],IF($A68="(todos)","*",$A68),TabelaResultadosAcademicos[Disciplina],IF($B68="(todas)","*",$B68))</f>
        <v/>
      </c>
      <c r="D68" s="347">
        <f>SUMIFS(TabelaResultadosAcademicos[Reprovados por nota],TabelaResultadosAcademicos[Período],$H$4,TabelaResultadosAcademicos[Curso],IF($A68="(todos)","*",$A68),TabelaResultadosAcademicos[Disciplina],IF($B68="(todas)","*",$B68))</f>
        <v/>
      </c>
      <c r="E68" s="347">
        <f>SUMIFS(TabelaResultadosAcademicos[Reprovados por falta],TabelaResultadosAcademicos[Período],$H$4,TabelaResultadosAcademicos[Curso],IF($A68="(todos)","*",$A68),TabelaResultadosAcademicos[Disciplina],IF($B68="(todas)","*",$B68))</f>
        <v/>
      </c>
      <c r="F68" s="347">
        <f>SUMIFS(TabelaResultadosAcademicos[Reprovados outros],TabelaResultadosAcademicos[Período],$H$4,TabelaResultadosAcademicos[Curso],IF($A68="(todos)","*",$A68),TabelaResultadosAcademicos[Disciplina],IF($B68="(todas)","*",$B68))</f>
        <v/>
      </c>
      <c r="G68" s="354">
        <f>IF(OR($A68="",$B68=""),"",IFERROR(C68/(C68+SUMIFS(TabelaResultadosAcademicos[Reprovados],TabelaResultadosAcademicos[Período],$H$4,TabelaResultadosAcademicos[Curso],IF($A68="(todos)","*",$A68),TabelaResultadosAcademicos[Disciplina],IF($B68="(todas)","*",$B68)))*100,""))</f>
        <v/>
      </c>
      <c r="H68" s="351">
        <f>IFERROR((SUMIFS(TabelaResultadosAcademicos[Soma das notas],TabelaResultadosAcademicos[Período],$H$4,TabelaResultadosAcademicos[Curso],IF($A68="(todos)","*",$A68),TabelaResultadosAcademicos[Disciplina],IF($B68="(todas)","*",$B68)))/(SUMIFS(TabelaResultadosAcademicos[Quantidade de notas],TabelaResultadosAcademicos[Período],$H$4,TabelaResultadosAcademicos[Curso],IF($A68="(todos)","*",$A68),TabelaResultadosAcademicos[Disciplina],IF($B68="(todas)","*",$B68))),"")</f>
        <v/>
      </c>
      <c r="I68" s="347">
        <f>IF(OR($A68="",$B68=""),"",SUMIFS(TabelaResultadosAcademicos[Total],TabelaResultadosAcademicos[Período],$H$4,TabelaResultadosAcademicos[Curso],IF($A68="(todos)","*",$A68),TabelaResultadosAcademicos[Disciplina],IF($B68="(todas)","*",$B68)))</f>
        <v/>
      </c>
      <c r="J68" s="343">
        <f>$H$4</f>
        <v/>
      </c>
    </row>
    <row r="69" ht="33.75" customHeight="1" s="131">
      <c r="A69" s="340">
        <f>DISCIPLINAS!A42</f>
        <v/>
      </c>
      <c r="B69" s="340">
        <f>DISCIPLINAS!B42</f>
        <v/>
      </c>
      <c r="C69" s="350">
        <f>SUMIFS(TabelaResultadosAcademicos[Aprovados],TabelaResultadosAcademicos[Período],$H$4,TabelaResultadosAcademicos[Curso],IF($A69="(todos)","*",$A69),TabelaResultadosAcademicos[Disciplina],IF($B69="(todas)","*",$B69))</f>
        <v/>
      </c>
      <c r="D69" s="350">
        <f>SUMIFS(TabelaResultadosAcademicos[Reprovados por nota],TabelaResultadosAcademicos[Período],$H$4,TabelaResultadosAcademicos[Curso],IF($A69="(todos)","*",$A69),TabelaResultadosAcademicos[Disciplina],IF($B69="(todas)","*",$B69))</f>
        <v/>
      </c>
      <c r="E69" s="350">
        <f>SUMIFS(TabelaResultadosAcademicos[Reprovados por falta],TabelaResultadosAcademicos[Período],$H$4,TabelaResultadosAcademicos[Curso],IF($A69="(todos)","*",$A69),TabelaResultadosAcademicos[Disciplina],IF($B69="(todas)","*",$B69))</f>
        <v/>
      </c>
      <c r="F69" s="350">
        <f>SUMIFS(TabelaResultadosAcademicos[Reprovados outros],TabelaResultadosAcademicos[Período],$H$4,TabelaResultadosAcademicos[Curso],IF($A69="(todos)","*",$A69),TabelaResultadosAcademicos[Disciplina],IF($B69="(todas)","*",$B69))</f>
        <v/>
      </c>
      <c r="G69" s="349">
        <f>IF(OR($A69="",$B69=""),"",IFERROR(C69/(C69+SUMIFS(TabelaResultadosAcademicos[Reprovados],TabelaResultadosAcademicos[Período],$H$4,TabelaResultadosAcademicos[Curso],IF($A69="(todos)","*",$A69),TabelaResultadosAcademicos[Disciplina],IF($B69="(todas)","*",$B69)))*100,""))</f>
        <v/>
      </c>
      <c r="H69" s="348">
        <f>IFERROR((SUMIFS(TabelaResultadosAcademicos[Soma das notas],TabelaResultadosAcademicos[Período],$H$4,TabelaResultadosAcademicos[Curso],IF($A69="(todos)","*",$A69),TabelaResultadosAcademicos[Disciplina],IF($B69="(todas)","*",$B69)))/(SUMIFS(TabelaResultadosAcademicos[Quantidade de notas],TabelaResultadosAcademicos[Período],$H$4,TabelaResultadosAcademicos[Curso],IF($A69="(todos)","*",$A69),TabelaResultadosAcademicos[Disciplina],IF($B69="(todas)","*",$B69))),"")</f>
        <v/>
      </c>
      <c r="I69" s="350">
        <f>IF(OR($A69="",$B69=""),"",SUMIFS(TabelaResultadosAcademicos[Total],TabelaResultadosAcademicos[Período],$H$4,TabelaResultadosAcademicos[Curso],IF($A69="(todos)","*",$A69),TabelaResultadosAcademicos[Disciplina],IF($B69="(todas)","*",$B69)))</f>
        <v/>
      </c>
      <c r="J69" s="340">
        <f>$H$4</f>
        <v/>
      </c>
      <c r="K69" s="199" t="n"/>
      <c r="L69" s="199" t="n"/>
      <c r="M69" s="199" t="n"/>
      <c r="N69" s="199" t="n"/>
      <c r="O69" s="199" t="n"/>
    </row>
    <row r="70" ht="15" customHeight="1" s="131">
      <c r="A70" s="356">
        <f>DISCIPLINAS!A43</f>
        <v/>
      </c>
      <c r="B70" s="357">
        <f>DISCIPLINAS!B43</f>
        <v/>
      </c>
      <c r="C70" s="350">
        <f>SUMIFS(TabelaResultadosAcademicos[Aprovados],TabelaResultadosAcademicos[Período],$H$4,TabelaResultadosAcademicos[Curso],IF($A70="(todos)","*",$A70),TabelaResultadosAcademicos[Disciplina],IF($B70="(todas)","*",$B70))</f>
        <v/>
      </c>
      <c r="D70" s="350">
        <f>SUMIFS(TabelaResultadosAcademicos[Reprovados por nota],TabelaResultadosAcademicos[Período],$H$4,TabelaResultadosAcademicos[Curso],IF($A70="(todos)","*",$A70),TabelaResultadosAcademicos[Disciplina],IF($B70="(todas)","*",$B70))</f>
        <v/>
      </c>
      <c r="E70" s="350">
        <f>SUMIFS(TabelaResultadosAcademicos[Reprovados por falta],TabelaResultadosAcademicos[Período],$H$4,TabelaResultadosAcademicos[Curso],IF($A70="(todos)","*",$A70),TabelaResultadosAcademicos[Disciplina],IF($B70="(todas)","*",$B70))</f>
        <v/>
      </c>
      <c r="F70" s="350">
        <f>SUMIFS(TabelaResultadosAcademicos[Reprovados outros],TabelaResultadosAcademicos[Período],$H$4,TabelaResultadosAcademicos[Curso],IF($A70="(todos)","*",$A70),TabelaResultadosAcademicos[Disciplina],IF($B70="(todas)","*",$B70))</f>
        <v/>
      </c>
      <c r="G70" s="349">
        <f>IF(OR($A70="",$B70=""),"",IFERROR(C70/(C70+SUMIFS(TabelaResultadosAcademicos[Reprovados],TabelaResultadosAcademicos[Período],$H$4,TabelaResultadosAcademicos[Curso],IF($A70="(todos)","*",$A70),TabelaResultadosAcademicos[Disciplina],IF($B70="(todas)","*",$B70)))*100,""))</f>
        <v/>
      </c>
      <c r="H70" s="348">
        <f>IFERROR((SUMIFS(TabelaResultadosAcademicos[Soma das notas],TabelaResultadosAcademicos[Período],$H$4,TabelaResultadosAcademicos[Curso],IF($A70="(todos)","*",$A70),TabelaResultadosAcademicos[Disciplina],IF($B70="(todas)","*",$B70)))/(SUMIFS(TabelaResultadosAcademicos[Quantidade de notas],TabelaResultadosAcademicos[Período],$H$4,TabelaResultadosAcademicos[Curso],IF($A70="(todos)","*",$A70),TabelaResultadosAcademicos[Disciplina],IF($B70="(todas)","*",$B70))),"")</f>
        <v/>
      </c>
      <c r="I70" s="350">
        <f>IF(OR($A70="",$B70=""),"",SUMIFS(TabelaResultadosAcademicos[Total],TabelaResultadosAcademicos[Período],$H$4,TabelaResultadosAcademicos[Curso],IF($A70="(todos)","*",$A70),TabelaResultadosAcademicos[Disciplina],IF($B70="(todas)","*",$B70)))</f>
        <v/>
      </c>
      <c r="J70" s="340">
        <f>$H$4</f>
        <v/>
      </c>
      <c r="K70" s="163" t="n"/>
      <c r="L70" s="165" t="n"/>
      <c r="M70" s="165" t="n"/>
      <c r="N70" s="243" t="n"/>
      <c r="O70" s="243" t="n"/>
    </row>
    <row r="71">
      <c r="A71" s="343">
        <f>DISCIPLINAS!A44</f>
        <v/>
      </c>
      <c r="B71" s="343">
        <f>DISCIPLINAS!B44</f>
        <v/>
      </c>
      <c r="C71" s="347">
        <f>SUMIFS(TabelaResultadosAcademicos[Aprovados],TabelaResultadosAcademicos[Período],$H$4,TabelaResultadosAcademicos[Curso],IF($A71="(todos)","*",$A71),TabelaResultadosAcademicos[Disciplina],IF($B71="(todas)","*",$B71))</f>
        <v/>
      </c>
      <c r="D71" s="347">
        <f>SUMIFS(TabelaResultadosAcademicos[Reprovados por nota],TabelaResultadosAcademicos[Período],$H$4,TabelaResultadosAcademicos[Curso],IF($A71="(todos)","*",$A71),TabelaResultadosAcademicos[Disciplina],IF($B71="(todas)","*",$B71))</f>
        <v/>
      </c>
      <c r="E71" s="347">
        <f>SUMIFS(TabelaResultadosAcademicos[Reprovados por falta],TabelaResultadosAcademicos[Período],$H$4,TabelaResultadosAcademicos[Curso],IF($A71="(todos)","*",$A71),TabelaResultadosAcademicos[Disciplina],IF($B71="(todas)","*",$B71))</f>
        <v/>
      </c>
      <c r="F71" s="347">
        <f>SUMIFS(TabelaResultadosAcademicos[Reprovados outros],TabelaResultadosAcademicos[Período],$H$4,TabelaResultadosAcademicos[Curso],IF($A71="(todos)","*",$A71),TabelaResultadosAcademicos[Disciplina],IF($B71="(todas)","*",$B71))</f>
        <v/>
      </c>
      <c r="G71" s="354">
        <f>IF(OR($A71="",$B71=""),"",IFERROR(C71/(C71+SUMIFS(TabelaResultadosAcademicos[Reprovados],TabelaResultadosAcademicos[Período],$H$4,TabelaResultadosAcademicos[Curso],IF($A71="(todos)","*",$A71),TabelaResultadosAcademicos[Disciplina],IF($B71="(todas)","*",$B71)))*100,""))</f>
        <v/>
      </c>
      <c r="H71" s="351">
        <f>IFERROR((SUMIFS(TabelaResultadosAcademicos[Soma das notas],TabelaResultadosAcademicos[Período],$H$4,TabelaResultadosAcademicos[Curso],IF($A71="(todos)","*",$A71),TabelaResultadosAcademicos[Disciplina],IF($B71="(todas)","*",$B71)))/(SUMIFS(TabelaResultadosAcademicos[Quantidade de notas],TabelaResultadosAcademicos[Período],$H$4,TabelaResultadosAcademicos[Curso],IF($A71="(todos)","*",$A71),TabelaResultadosAcademicos[Disciplina],IF($B71="(todas)","*",$B71))),"")</f>
        <v/>
      </c>
      <c r="I71" s="347">
        <f>IF(OR($A71="",$B71=""),"",SUMIFS(TabelaResultadosAcademicos[Total],TabelaResultadosAcademicos[Período],$H$4,TabelaResultadosAcademicos[Curso],IF($A71="(todos)","*",$A71),TabelaResultadosAcademicos[Disciplina],IF($B71="(todas)","*",$B71)))</f>
        <v/>
      </c>
      <c r="J71" s="343">
        <f>$H$4</f>
        <v/>
      </c>
    </row>
    <row r="72" ht="23.25" customHeight="1" s="131">
      <c r="A72" s="342">
        <f>DISCIPLINAS!A45</f>
        <v/>
      </c>
      <c r="B72" s="343">
        <f>DISCIPLINAS!B45</f>
        <v/>
      </c>
      <c r="C72" s="347">
        <f>SUMIFS(TabelaResultadosAcademicos[Aprovados],TabelaResultadosAcademicos[Período],$H$4,TabelaResultadosAcademicos[Curso],IF($A72="(todos)","*",$A72),TabelaResultadosAcademicos[Disciplina],IF($B72="(todas)","*",$B72))</f>
        <v/>
      </c>
      <c r="D72" s="347">
        <f>SUMIFS(TabelaResultadosAcademicos[Reprovados por nota],TabelaResultadosAcademicos[Período],$H$4,TabelaResultadosAcademicos[Curso],IF($A72="(todos)","*",$A72),TabelaResultadosAcademicos[Disciplina],IF($B72="(todas)","*",$B72))</f>
        <v/>
      </c>
      <c r="E72" s="347">
        <f>SUMIFS(TabelaResultadosAcademicos[Reprovados por falta],TabelaResultadosAcademicos[Período],$H$4,TabelaResultadosAcademicos[Curso],IF($A72="(todos)","*",$A72),TabelaResultadosAcademicos[Disciplina],IF($B72="(todas)","*",$B72))</f>
        <v/>
      </c>
      <c r="F72" s="347">
        <f>SUMIFS(TabelaResultadosAcademicos[Reprovados outros],TabelaResultadosAcademicos[Período],$H$4,TabelaResultadosAcademicos[Curso],IF($A72="(todos)","*",$A72),TabelaResultadosAcademicos[Disciplina],IF($B72="(todas)","*",$B72))</f>
        <v/>
      </c>
      <c r="G72" s="354">
        <f>IF(OR($A72="",$B72=""),"",IFERROR(C72/(C72+SUMIFS(TabelaResultadosAcademicos[Reprovados],TabelaResultadosAcademicos[Período],$H$4,TabelaResultadosAcademicos[Curso],IF($A72="(todos)","*",$A72),TabelaResultadosAcademicos[Disciplina],IF($B72="(todas)","*",$B72)))*100,""))</f>
        <v/>
      </c>
      <c r="H72" s="351">
        <f>IFERROR((SUMIFS(TabelaResultadosAcademicos[Soma das notas],TabelaResultadosAcademicos[Período],$H$4,TabelaResultadosAcademicos[Curso],IF($A72="(todos)","*",$A72),TabelaResultadosAcademicos[Disciplina],IF($B72="(todas)","*",$B72)))/(SUMIFS(TabelaResultadosAcademicos[Quantidade de notas],TabelaResultadosAcademicos[Período],$H$4,TabelaResultadosAcademicos[Curso],IF($A72="(todos)","*",$A72),TabelaResultadosAcademicos[Disciplina],IF($B72="(todas)","*",$B72))),"")</f>
        <v/>
      </c>
      <c r="I72" s="347">
        <f>IF(OR($A72="",$B72=""),"",SUMIFS(TabelaResultadosAcademicos[Total],TabelaResultadosAcademicos[Período],$H$4,TabelaResultadosAcademicos[Curso],IF($A72="(todos)","*",$A72),TabelaResultadosAcademicos[Disciplina],IF($B72="(todas)","*",$B72)))</f>
        <v/>
      </c>
      <c r="J72" s="343">
        <f>$H$4</f>
        <v/>
      </c>
    </row>
    <row r="73" ht="33.75" customHeight="1" s="131">
      <c r="A73" s="340">
        <f>DISCIPLINAS!A46</f>
        <v/>
      </c>
      <c r="B73" s="340">
        <f>DISCIPLINAS!B46</f>
        <v/>
      </c>
      <c r="C73" s="350">
        <f>SUMIFS(TabelaResultadosAcademicos[Aprovados],TabelaResultadosAcademicos[Período],$H$4,TabelaResultadosAcademicos[Curso],IF($A73="(todos)","*",$A73),TabelaResultadosAcademicos[Disciplina],IF($B73="(todas)","*",$B73))</f>
        <v/>
      </c>
      <c r="D73" s="350">
        <f>SUMIFS(TabelaResultadosAcademicos[Reprovados por nota],TabelaResultadosAcademicos[Período],$H$4,TabelaResultadosAcademicos[Curso],IF($A73="(todos)","*",$A73),TabelaResultadosAcademicos[Disciplina],IF($B73="(todas)","*",$B73))</f>
        <v/>
      </c>
      <c r="E73" s="350">
        <f>SUMIFS(TabelaResultadosAcademicos[Reprovados por falta],TabelaResultadosAcademicos[Período],$H$4,TabelaResultadosAcademicos[Curso],IF($A73="(todos)","*",$A73),TabelaResultadosAcademicos[Disciplina],IF($B73="(todas)","*",$B73))</f>
        <v/>
      </c>
      <c r="F73" s="350">
        <f>SUMIFS(TabelaResultadosAcademicos[Reprovados outros],TabelaResultadosAcademicos[Período],$H$4,TabelaResultadosAcademicos[Curso],IF($A73="(todos)","*",$A73),TabelaResultadosAcademicos[Disciplina],IF($B73="(todas)","*",$B73))</f>
        <v/>
      </c>
      <c r="G73" s="349">
        <f>IF(OR($A73="",$B73=""),"",IFERROR(C73/(C73+SUMIFS(TabelaResultadosAcademicos[Reprovados],TabelaResultadosAcademicos[Período],$H$4,TabelaResultadosAcademicos[Curso],IF($A73="(todos)","*",$A73),TabelaResultadosAcademicos[Disciplina],IF($B73="(todas)","*",$B73)))*100,""))</f>
        <v/>
      </c>
      <c r="H73" s="348">
        <f>IFERROR((SUMIFS(TabelaResultadosAcademicos[Soma das notas],TabelaResultadosAcademicos[Período],$H$4,TabelaResultadosAcademicos[Curso],IF($A73="(todos)","*",$A73),TabelaResultadosAcademicos[Disciplina],IF($B73="(todas)","*",$B73)))/(SUMIFS(TabelaResultadosAcademicos[Quantidade de notas],TabelaResultadosAcademicos[Período],$H$4,TabelaResultadosAcademicos[Curso],IF($A73="(todos)","*",$A73),TabelaResultadosAcademicos[Disciplina],IF($B73="(todas)","*",$B73))),"")</f>
        <v/>
      </c>
      <c r="I73" s="347">
        <f>IF(OR($A73="",$B73=""),"",SUMIFS(TabelaResultadosAcademicos[Total],TabelaResultadosAcademicos[Período],$H$4,TabelaResultadosAcademicos[Curso],IF($A73="(todos)","*",$A73),TabelaResultadosAcademicos[Disciplina],IF($B73="(todas)","*",$B73)))</f>
        <v/>
      </c>
      <c r="J73" s="343">
        <f>$H$4</f>
        <v/>
      </c>
    </row>
    <row r="74" ht="15" customHeight="1" s="131">
      <c r="A74" s="356">
        <f>DISCIPLINAS!A47</f>
        <v/>
      </c>
      <c r="B74" s="357">
        <f>DISCIPLINAS!B47</f>
        <v/>
      </c>
      <c r="C74" s="350">
        <f>SUMIFS(TabelaResultadosAcademicos[Aprovados],TabelaResultadosAcademicos[Período],$H$4,TabelaResultadosAcademicos[Curso],IF($A74="(todos)","*",$A74),TabelaResultadosAcademicos[Disciplina],IF($B74="(todas)","*",$B74))</f>
        <v/>
      </c>
      <c r="D74" s="350">
        <f>SUMIFS(TabelaResultadosAcademicos[Reprovados por nota],TabelaResultadosAcademicos[Período],$H$4,TabelaResultadosAcademicos[Curso],IF($A74="(todos)","*",$A74),TabelaResultadosAcademicos[Disciplina],IF($B74="(todas)","*",$B74))</f>
        <v/>
      </c>
      <c r="E74" s="350">
        <f>SUMIFS(TabelaResultadosAcademicos[Reprovados por falta],TabelaResultadosAcademicos[Período],$H$4,TabelaResultadosAcademicos[Curso],IF($A74="(todos)","*",$A74),TabelaResultadosAcademicos[Disciplina],IF($B74="(todas)","*",$B74))</f>
        <v/>
      </c>
      <c r="F74" s="350">
        <f>SUMIFS(TabelaResultadosAcademicos[Reprovados outros],TabelaResultadosAcademicos[Período],$H$4,TabelaResultadosAcademicos[Curso],IF($A74="(todos)","*",$A74),TabelaResultadosAcademicos[Disciplina],IF($B74="(todas)","*",$B74))</f>
        <v/>
      </c>
      <c r="G74" s="349">
        <f>IF(OR($A74="",$B74=""),"",IFERROR(C74/(C74+SUMIFS(TabelaResultadosAcademicos[Reprovados],TabelaResultadosAcademicos[Período],$H$4,TabelaResultadosAcademicos[Curso],IF($A74="(todos)","*",$A74),TabelaResultadosAcademicos[Disciplina],IF($B74="(todas)","*",$B74)))*100,""))</f>
        <v/>
      </c>
      <c r="H74" s="348">
        <f>IFERROR((SUMIFS(TabelaResultadosAcademicos[Soma das notas],TabelaResultadosAcademicos[Período],$H$4,TabelaResultadosAcademicos[Curso],IF($A74="(todos)","*",$A74),TabelaResultadosAcademicos[Disciplina],IF($B74="(todas)","*",$B74)))/(SUMIFS(TabelaResultadosAcademicos[Quantidade de notas],TabelaResultadosAcademicos[Período],$H$4,TabelaResultadosAcademicos[Curso],IF($A74="(todos)","*",$A74),TabelaResultadosAcademicos[Disciplina],IF($B74="(todas)","*",$B74))),"")</f>
        <v/>
      </c>
      <c r="I74" s="347">
        <f>IF(OR($A74="",$B74=""),"",SUMIFS(TabelaResultadosAcademicos[Total],TabelaResultadosAcademicos[Período],$H$4,TabelaResultadosAcademicos[Curso],IF($A74="(todos)","*",$A74),TabelaResultadosAcademicos[Disciplina],IF($B74="(todas)","*",$B74)))</f>
        <v/>
      </c>
      <c r="J74" s="343">
        <f>$H$4</f>
        <v/>
      </c>
    </row>
    <row r="75" ht="15" customHeight="1" s="131">
      <c r="A75" s="356">
        <f>DISCIPLINAS!A48</f>
        <v/>
      </c>
      <c r="B75" s="357">
        <f>DISCIPLINAS!B48</f>
        <v/>
      </c>
      <c r="C75" s="350">
        <f>SUMIFS(TabelaResultadosAcademicos[Aprovados],TabelaResultadosAcademicos[Período],$H$4,TabelaResultadosAcademicos[Curso],IF($A75="(todos)","*",$A75),TabelaResultadosAcademicos[Disciplina],IF($B75="(todas)","*",$B75))</f>
        <v/>
      </c>
      <c r="D75" s="350">
        <f>SUMIFS(TabelaResultadosAcademicos[Reprovados por nota],TabelaResultadosAcademicos[Período],$H$4,TabelaResultadosAcademicos[Curso],IF($A75="(todos)","*",$A75),TabelaResultadosAcademicos[Disciplina],IF($B75="(todas)","*",$B75))</f>
        <v/>
      </c>
      <c r="E75" s="350">
        <f>SUMIFS(TabelaResultadosAcademicos[Reprovados por falta],TabelaResultadosAcademicos[Período],$H$4,TabelaResultadosAcademicos[Curso],IF($A75="(todos)","*",$A75),TabelaResultadosAcademicos[Disciplina],IF($B75="(todas)","*",$B75))</f>
        <v/>
      </c>
      <c r="F75" s="350">
        <f>SUMIFS(TabelaResultadosAcademicos[Reprovados outros],TabelaResultadosAcademicos[Período],$H$4,TabelaResultadosAcademicos[Curso],IF($A75="(todos)","*",$A75),TabelaResultadosAcademicos[Disciplina],IF($B75="(todas)","*",$B75))</f>
        <v/>
      </c>
      <c r="G75" s="349">
        <f>IF(OR($A75="",$B75=""),"",IFERROR(C75/(C75+SUMIFS(TabelaResultadosAcademicos[Reprovados],TabelaResultadosAcademicos[Período],$H$4,TabelaResultadosAcademicos[Curso],IF($A75="(todos)","*",$A75),TabelaResultadosAcademicos[Disciplina],IF($B75="(todas)","*",$B75)))*100,""))</f>
        <v/>
      </c>
      <c r="H75" s="348">
        <f>IFERROR((SUMIFS(TabelaResultadosAcademicos[Soma das notas],TabelaResultadosAcademicos[Período],$H$4,TabelaResultadosAcademicos[Curso],IF($A75="(todos)","*",$A75),TabelaResultadosAcademicos[Disciplina],IF($B75="(todas)","*",$B75)))/(SUMIFS(TabelaResultadosAcademicos[Quantidade de notas],TabelaResultadosAcademicos[Período],$H$4,TabelaResultadosAcademicos[Curso],IF($A75="(todos)","*",$A75),TabelaResultadosAcademicos[Disciplina],IF($B75="(todas)","*",$B75))),"")</f>
        <v/>
      </c>
      <c r="I75" s="347">
        <f>IF(OR($A75="",$B75=""),"",SUMIFS(TabelaResultadosAcademicos[Total],TabelaResultadosAcademicos[Período],$H$4,TabelaResultadosAcademicos[Curso],IF($A75="(todos)","*",$A75),TabelaResultadosAcademicos[Disciplina],IF($B75="(todas)","*",$B75)))</f>
        <v/>
      </c>
      <c r="J75" s="343">
        <f>$H$4</f>
        <v/>
      </c>
    </row>
    <row r="76" ht="15" customHeight="1" s="131">
      <c r="A76" s="356">
        <f>DISCIPLINAS!A49</f>
        <v/>
      </c>
      <c r="B76" s="357">
        <f>DISCIPLINAS!B49</f>
        <v/>
      </c>
      <c r="C76" s="350">
        <f>SUMIFS(TabelaResultadosAcademicos[Aprovados],TabelaResultadosAcademicos[Período],$H$4,TabelaResultadosAcademicos[Curso],IF($A76="(todos)","*",$A76),TabelaResultadosAcademicos[Disciplina],IF($B76="(todas)","*",$B76))</f>
        <v/>
      </c>
      <c r="D76" s="350">
        <f>SUMIFS(TabelaResultadosAcademicos[Reprovados por nota],TabelaResultadosAcademicos[Período],$H$4,TabelaResultadosAcademicos[Curso],IF($A76="(todos)","*",$A76),TabelaResultadosAcademicos[Disciplina],IF($B76="(todas)","*",$B76))</f>
        <v/>
      </c>
      <c r="E76" s="350">
        <f>SUMIFS(TabelaResultadosAcademicos[Reprovados por falta],TabelaResultadosAcademicos[Período],$H$4,TabelaResultadosAcademicos[Curso],IF($A76="(todos)","*",$A76),TabelaResultadosAcademicos[Disciplina],IF($B76="(todas)","*",$B76))</f>
        <v/>
      </c>
      <c r="F76" s="350">
        <f>SUMIFS(TabelaResultadosAcademicos[Reprovados outros],TabelaResultadosAcademicos[Período],$H$4,TabelaResultadosAcademicos[Curso],IF($A76="(todos)","*",$A76),TabelaResultadosAcademicos[Disciplina],IF($B76="(todas)","*",$B76))</f>
        <v/>
      </c>
      <c r="G76" s="349">
        <f>IF(OR($A76="",$B76=""),"",IFERROR(C76/(C76+SUMIFS(TabelaResultadosAcademicos[Reprovados],TabelaResultadosAcademicos[Período],$H$4,TabelaResultadosAcademicos[Curso],IF($A76="(todos)","*",$A76),TabelaResultadosAcademicos[Disciplina],IF($B76="(todas)","*",$B76)))*100,""))</f>
        <v/>
      </c>
      <c r="H76" s="348">
        <f>IFERROR((SUMIFS(TabelaResultadosAcademicos[Soma das notas],TabelaResultadosAcademicos[Período],$H$4,TabelaResultadosAcademicos[Curso],IF($A76="(todos)","*",$A76),TabelaResultadosAcademicos[Disciplina],IF($B76="(todas)","*",$B76)))/(SUMIFS(TabelaResultadosAcademicos[Quantidade de notas],TabelaResultadosAcademicos[Período],$H$4,TabelaResultadosAcademicos[Curso],IF($A76="(todos)","*",$A76),TabelaResultadosAcademicos[Disciplina],IF($B76="(todas)","*",$B76))),"")</f>
        <v/>
      </c>
      <c r="I76" s="347">
        <f>IF(OR($A76="",$B76=""),"",SUMIFS(TabelaResultadosAcademicos[Total],TabelaResultadosAcademicos[Período],$H$4,TabelaResultadosAcademicos[Curso],IF($A76="(todos)","*",$A76),TabelaResultadosAcademicos[Disciplina],IF($B76="(todas)","*",$B76)))</f>
        <v/>
      </c>
      <c r="J76" s="343">
        <f>$H$4</f>
        <v/>
      </c>
    </row>
    <row r="77" ht="15" customHeight="1" s="131">
      <c r="A77" s="356">
        <f>DISCIPLINAS!A50</f>
        <v/>
      </c>
      <c r="B77" s="357">
        <f>DISCIPLINAS!B50</f>
        <v/>
      </c>
      <c r="C77" s="350">
        <f>SUMIFS(TabelaResultadosAcademicos[Aprovados],TabelaResultadosAcademicos[Período],$H$4,TabelaResultadosAcademicos[Curso],IF($A77="(todos)","*",$A77),TabelaResultadosAcademicos[Disciplina],IF($B77="(todas)","*",$B77))</f>
        <v/>
      </c>
      <c r="D77" s="350">
        <f>SUMIFS(TabelaResultadosAcademicos[Reprovados por nota],TabelaResultadosAcademicos[Período],$H$4,TabelaResultadosAcademicos[Curso],IF($A77="(todos)","*",$A77),TabelaResultadosAcademicos[Disciplina],IF($B77="(todas)","*",$B77))</f>
        <v/>
      </c>
      <c r="E77" s="350">
        <f>SUMIFS(TabelaResultadosAcademicos[Reprovados por falta],TabelaResultadosAcademicos[Período],$H$4,TabelaResultadosAcademicos[Curso],IF($A77="(todos)","*",$A77),TabelaResultadosAcademicos[Disciplina],IF($B77="(todas)","*",$B77))</f>
        <v/>
      </c>
      <c r="F77" s="350">
        <f>SUMIFS(TabelaResultadosAcademicos[Reprovados outros],TabelaResultadosAcademicos[Período],$H$4,TabelaResultadosAcademicos[Curso],IF($A77="(todos)","*",$A77),TabelaResultadosAcademicos[Disciplina],IF($B77="(todas)","*",$B77))</f>
        <v/>
      </c>
      <c r="G77" s="349">
        <f>IF(OR($A77="",$B77=""),"",IFERROR(C77/(C77+SUMIFS(TabelaResultadosAcademicos[Reprovados],TabelaResultadosAcademicos[Período],$H$4,TabelaResultadosAcademicos[Curso],IF($A77="(todos)","*",$A77),TabelaResultadosAcademicos[Disciplina],IF($B77="(todas)","*",$B77)))*100,""))</f>
        <v/>
      </c>
      <c r="H77" s="348">
        <f>IFERROR((SUMIFS(TabelaResultadosAcademicos[Soma das notas],TabelaResultadosAcademicos[Período],$H$4,TabelaResultadosAcademicos[Curso],IF($A77="(todos)","*",$A77),TabelaResultadosAcademicos[Disciplina],IF($B77="(todas)","*",$B77)))/(SUMIFS(TabelaResultadosAcademicos[Quantidade de notas],TabelaResultadosAcademicos[Período],$H$4,TabelaResultadosAcademicos[Curso],IF($A77="(todos)","*",$A77),TabelaResultadosAcademicos[Disciplina],IF($B77="(todas)","*",$B77))),"")</f>
        <v/>
      </c>
      <c r="I77" s="347">
        <f>IF(OR($A77="",$B77=""),"",SUMIFS(TabelaResultadosAcademicos[Total],TabelaResultadosAcademicos[Período],$H$4,TabelaResultadosAcademicos[Curso],IF($A77="(todos)","*",$A77),TabelaResultadosAcademicos[Disciplina],IF($B77="(todas)","*",$B77)))</f>
        <v/>
      </c>
      <c r="J77" s="343">
        <f>$H$4</f>
        <v/>
      </c>
    </row>
    <row r="78" ht="15" customHeight="1" s="131">
      <c r="A78" s="356">
        <f>DISCIPLINAS!A51</f>
        <v/>
      </c>
      <c r="B78" s="357">
        <f>DISCIPLINAS!B51</f>
        <v/>
      </c>
      <c r="C78" s="350">
        <f>SUMIFS(TabelaResultadosAcademicos[Aprovados],TabelaResultadosAcademicos[Período],$H$4,TabelaResultadosAcademicos[Curso],IF($A78="(todos)","*",$A78),TabelaResultadosAcademicos[Disciplina],IF($B78="(todas)","*",$B78))</f>
        <v/>
      </c>
      <c r="D78" s="350">
        <f>SUMIFS(TabelaResultadosAcademicos[Reprovados por nota],TabelaResultadosAcademicos[Período],$H$4,TabelaResultadosAcademicos[Curso],IF($A78="(todos)","*",$A78),TabelaResultadosAcademicos[Disciplina],IF($B78="(todas)","*",$B78))</f>
        <v/>
      </c>
      <c r="E78" s="350">
        <f>SUMIFS(TabelaResultadosAcademicos[Reprovados por falta],TabelaResultadosAcademicos[Período],$H$4,TabelaResultadosAcademicos[Curso],IF($A78="(todos)","*",$A78),TabelaResultadosAcademicos[Disciplina],IF($B78="(todas)","*",$B78))</f>
        <v/>
      </c>
      <c r="F78" s="350">
        <f>SUMIFS(TabelaResultadosAcademicos[Reprovados outros],TabelaResultadosAcademicos[Período],$H$4,TabelaResultadosAcademicos[Curso],IF($A78="(todos)","*",$A78),TabelaResultadosAcademicos[Disciplina],IF($B78="(todas)","*",$B78))</f>
        <v/>
      </c>
      <c r="G78" s="349">
        <f>IF(OR($A78="",$B78=""),"",IFERROR(C78/(C78+SUMIFS(TabelaResultadosAcademicos[Reprovados],TabelaResultadosAcademicos[Período],$H$4,TabelaResultadosAcademicos[Curso],IF($A78="(todos)","*",$A78),TabelaResultadosAcademicos[Disciplina],IF($B78="(todas)","*",$B78)))*100,""))</f>
        <v/>
      </c>
      <c r="H78" s="348">
        <f>IFERROR((SUMIFS(TabelaResultadosAcademicos[Soma das notas],TabelaResultadosAcademicos[Período],$H$4,TabelaResultadosAcademicos[Curso],IF($A78="(todos)","*",$A78),TabelaResultadosAcademicos[Disciplina],IF($B78="(todas)","*",$B78)))/(SUMIFS(TabelaResultadosAcademicos[Quantidade de notas],TabelaResultadosAcademicos[Período],$H$4,TabelaResultadosAcademicos[Curso],IF($A78="(todos)","*",$A78),TabelaResultadosAcademicos[Disciplina],IF($B78="(todas)","*",$B78))),"")</f>
        <v/>
      </c>
      <c r="I78" s="347">
        <f>IF(OR($A78="",$B78=""),"",SUMIFS(TabelaResultadosAcademicos[Total],TabelaResultadosAcademicos[Período],$H$4,TabelaResultadosAcademicos[Curso],IF($A78="(todos)","*",$A78),TabelaResultadosAcademicos[Disciplina],IF($B78="(todas)","*",$B78)))</f>
        <v/>
      </c>
      <c r="J78" s="343">
        <f>$H$4</f>
        <v/>
      </c>
    </row>
    <row r="79" ht="15" customHeight="1" s="131">
      <c r="A79" s="356">
        <f>DISCIPLINAS!A52</f>
        <v/>
      </c>
      <c r="B79" s="357">
        <f>DISCIPLINAS!B52</f>
        <v/>
      </c>
      <c r="C79" s="350">
        <f>SUMIFS(TabelaResultadosAcademicos[Aprovados],TabelaResultadosAcademicos[Período],$H$4,TabelaResultadosAcademicos[Curso],IF($A79="(todos)","*",$A79),TabelaResultadosAcademicos[Disciplina],IF($B79="(todas)","*",$B79))</f>
        <v/>
      </c>
      <c r="D79" s="350">
        <f>SUMIFS(TabelaResultadosAcademicos[Reprovados por nota],TabelaResultadosAcademicos[Período],$H$4,TabelaResultadosAcademicos[Curso],IF($A79="(todos)","*",$A79),TabelaResultadosAcademicos[Disciplina],IF($B79="(todas)","*",$B79))</f>
        <v/>
      </c>
      <c r="E79" s="350">
        <f>SUMIFS(TabelaResultadosAcademicos[Reprovados por falta],TabelaResultadosAcademicos[Período],$H$4,TabelaResultadosAcademicos[Curso],IF($A79="(todos)","*",$A79),TabelaResultadosAcademicos[Disciplina],IF($B79="(todas)","*",$B79))</f>
        <v/>
      </c>
      <c r="F79" s="350">
        <f>SUMIFS(TabelaResultadosAcademicos[Reprovados outros],TabelaResultadosAcademicos[Período],$H$4,TabelaResultadosAcademicos[Curso],IF($A79="(todos)","*",$A79),TabelaResultadosAcademicos[Disciplina],IF($B79="(todas)","*",$B79))</f>
        <v/>
      </c>
      <c r="G79" s="349">
        <f>IF(OR($A79="",$B79=""),"",IFERROR(C79/(C79+SUMIFS(TabelaResultadosAcademicos[Reprovados],TabelaResultadosAcademicos[Período],$H$4,TabelaResultadosAcademicos[Curso],IF($A79="(todos)","*",$A79),TabelaResultadosAcademicos[Disciplina],IF($B79="(todas)","*",$B79)))*100,""))</f>
        <v/>
      </c>
      <c r="H79" s="348">
        <f>IFERROR((SUMIFS(TabelaResultadosAcademicos[Soma das notas],TabelaResultadosAcademicos[Período],$H$4,TabelaResultadosAcademicos[Curso],IF($A79="(todos)","*",$A79),TabelaResultadosAcademicos[Disciplina],IF($B79="(todas)","*",$B79)))/(SUMIFS(TabelaResultadosAcademicos[Quantidade de notas],TabelaResultadosAcademicos[Período],$H$4,TabelaResultadosAcademicos[Curso],IF($A79="(todos)","*",$A79),TabelaResultadosAcademicos[Disciplina],IF($B79="(todas)","*",$B79))),"")</f>
        <v/>
      </c>
      <c r="I79" s="347">
        <f>IF(OR($A79="",$B79=""),"",SUMIFS(TabelaResultadosAcademicos[Total],TabelaResultadosAcademicos[Período],$H$4,TabelaResultadosAcademicos[Curso],IF($A79="(todos)","*",$A79),TabelaResultadosAcademicos[Disciplina],IF($B79="(todas)","*",$B79)))</f>
        <v/>
      </c>
      <c r="J79" s="343">
        <f>$H$4</f>
        <v/>
      </c>
    </row>
    <row r="80" ht="15" customHeight="1" s="131">
      <c r="A80" s="356">
        <f>DISCIPLINAS!A53</f>
        <v/>
      </c>
      <c r="B80" s="357">
        <f>DISCIPLINAS!B53</f>
        <v/>
      </c>
      <c r="C80" s="350">
        <f>SUMIFS(TabelaResultadosAcademicos[Aprovados],TabelaResultadosAcademicos[Período],$H$4,TabelaResultadosAcademicos[Curso],IF($A80="(todos)","*",$A80),TabelaResultadosAcademicos[Disciplina],IF($B80="(todas)","*",$B80))</f>
        <v/>
      </c>
      <c r="D80" s="350">
        <f>SUMIFS(TabelaResultadosAcademicos[Reprovados por nota],TabelaResultadosAcademicos[Período],$H$4,TabelaResultadosAcademicos[Curso],IF($A80="(todos)","*",$A80),TabelaResultadosAcademicos[Disciplina],IF($B80="(todas)","*",$B80))</f>
        <v/>
      </c>
      <c r="E80" s="350">
        <f>SUMIFS(TabelaResultadosAcademicos[Reprovados por falta],TabelaResultadosAcademicos[Período],$H$4,TabelaResultadosAcademicos[Curso],IF($A80="(todos)","*",$A80),TabelaResultadosAcademicos[Disciplina],IF($B80="(todas)","*",$B80))</f>
        <v/>
      </c>
      <c r="F80" s="350">
        <f>SUMIFS(TabelaResultadosAcademicos[Reprovados outros],TabelaResultadosAcademicos[Período],$H$4,TabelaResultadosAcademicos[Curso],IF($A80="(todos)","*",$A80),TabelaResultadosAcademicos[Disciplina],IF($B80="(todas)","*",$B80))</f>
        <v/>
      </c>
      <c r="G80" s="349">
        <f>IF(OR($A80="",$B80=""),"",IFERROR(C80/(C80+SUMIFS(TabelaResultadosAcademicos[Reprovados],TabelaResultadosAcademicos[Período],$H$4,TabelaResultadosAcademicos[Curso],IF($A80="(todos)","*",$A80),TabelaResultadosAcademicos[Disciplina],IF($B80="(todas)","*",$B80)))*100,""))</f>
        <v/>
      </c>
      <c r="H80" s="348">
        <f>IFERROR((SUMIFS(TabelaResultadosAcademicos[Soma das notas],TabelaResultadosAcademicos[Período],$H$4,TabelaResultadosAcademicos[Curso],IF($A80="(todos)","*",$A80),TabelaResultadosAcademicos[Disciplina],IF($B80="(todas)","*",$B80)))/(SUMIFS(TabelaResultadosAcademicos[Quantidade de notas],TabelaResultadosAcademicos[Período],$H$4,TabelaResultadosAcademicos[Curso],IF($A80="(todos)","*",$A80),TabelaResultadosAcademicos[Disciplina],IF($B80="(todas)","*",$B80))),"")</f>
        <v/>
      </c>
      <c r="I80" s="347">
        <f>IF(OR($A80="",$B80=""),"",SUMIFS(TabelaResultadosAcademicos[Total],TabelaResultadosAcademicos[Período],$H$4,TabelaResultadosAcademicos[Curso],IF($A80="(todos)","*",$A80),TabelaResultadosAcademicos[Disciplina],IF($B80="(todas)","*",$B80)))</f>
        <v/>
      </c>
      <c r="J80" s="343">
        <f>$H$4</f>
        <v/>
      </c>
    </row>
    <row r="81" ht="15" customHeight="1" s="131">
      <c r="A81" s="356">
        <f>DISCIPLINAS!A54</f>
        <v/>
      </c>
      <c r="B81" s="357">
        <f>DISCIPLINAS!B54</f>
        <v/>
      </c>
      <c r="C81" s="350">
        <f>SUMIFS(TabelaResultadosAcademicos[Aprovados],TabelaResultadosAcademicos[Período],$H$4,TabelaResultadosAcademicos[Curso],IF($A81="(todos)","*",$A81),TabelaResultadosAcademicos[Disciplina],IF($B81="(todas)","*",$B81))</f>
        <v/>
      </c>
      <c r="D81" s="350">
        <f>SUMIFS(TabelaResultadosAcademicos[Reprovados por nota],TabelaResultadosAcademicos[Período],$H$4,TabelaResultadosAcademicos[Curso],IF($A81="(todos)","*",$A81),TabelaResultadosAcademicos[Disciplina],IF($B81="(todas)","*",$B81))</f>
        <v/>
      </c>
      <c r="E81" s="350">
        <f>SUMIFS(TabelaResultadosAcademicos[Reprovados por falta],TabelaResultadosAcademicos[Período],$H$4,TabelaResultadosAcademicos[Curso],IF($A81="(todos)","*",$A81),TabelaResultadosAcademicos[Disciplina],IF($B81="(todas)","*",$B81))</f>
        <v/>
      </c>
      <c r="F81" s="350">
        <f>SUMIFS(TabelaResultadosAcademicos[Reprovados outros],TabelaResultadosAcademicos[Período],$H$4,TabelaResultadosAcademicos[Curso],IF($A81="(todos)","*",$A81),TabelaResultadosAcademicos[Disciplina],IF($B81="(todas)","*",$B81))</f>
        <v/>
      </c>
      <c r="G81" s="349">
        <f>IF(OR($A81="",$B81=""),"",IFERROR(C81/(C81+SUMIFS(TabelaResultadosAcademicos[Reprovados],TabelaResultadosAcademicos[Período],$H$4,TabelaResultadosAcademicos[Curso],IF($A81="(todos)","*",$A81),TabelaResultadosAcademicos[Disciplina],IF($B81="(todas)","*",$B81)))*100,""))</f>
        <v/>
      </c>
      <c r="H81" s="348">
        <f>IFERROR((SUMIFS(TabelaResultadosAcademicos[Soma das notas],TabelaResultadosAcademicos[Período],$H$4,TabelaResultadosAcademicos[Curso],IF($A81="(todos)","*",$A81),TabelaResultadosAcademicos[Disciplina],IF($B81="(todas)","*",$B81)))/(SUMIFS(TabelaResultadosAcademicos[Quantidade de notas],TabelaResultadosAcademicos[Período],$H$4,TabelaResultadosAcademicos[Curso],IF($A81="(todos)","*",$A81),TabelaResultadosAcademicos[Disciplina],IF($B81="(todas)","*",$B81))),"")</f>
        <v/>
      </c>
      <c r="I81" s="347">
        <f>IF(OR($A81="",$B81=""),"",SUMIFS(TabelaResultadosAcademicos[Total],TabelaResultadosAcademicos[Período],$H$4,TabelaResultadosAcademicos[Curso],IF($A81="(todos)","*",$A81),TabelaResultadosAcademicos[Disciplina],IF($B81="(todas)","*",$B81)))</f>
        <v/>
      </c>
      <c r="J81" s="343">
        <f>$H$4</f>
        <v/>
      </c>
    </row>
    <row r="82" ht="15" customHeight="1" s="131">
      <c r="A82" s="356">
        <f>DISCIPLINAS!A55</f>
        <v/>
      </c>
      <c r="B82" s="357">
        <f>DISCIPLINAS!B55</f>
        <v/>
      </c>
      <c r="C82" s="350">
        <f>SUMIFS(TabelaResultadosAcademicos[Aprovados],TabelaResultadosAcademicos[Período],$H$4,TabelaResultadosAcademicos[Curso],IF($A82="(todos)","*",$A82),TabelaResultadosAcademicos[Disciplina],IF($B82="(todas)","*",$B82))</f>
        <v/>
      </c>
      <c r="D82" s="350">
        <f>SUMIFS(TabelaResultadosAcademicos[Reprovados por nota],TabelaResultadosAcademicos[Período],$H$4,TabelaResultadosAcademicos[Curso],IF($A82="(todos)","*",$A82),TabelaResultadosAcademicos[Disciplina],IF($B82="(todas)","*",$B82))</f>
        <v/>
      </c>
      <c r="E82" s="350">
        <f>SUMIFS(TabelaResultadosAcademicos[Reprovados por falta],TabelaResultadosAcademicos[Período],$H$4,TabelaResultadosAcademicos[Curso],IF($A82="(todos)","*",$A82),TabelaResultadosAcademicos[Disciplina],IF($B82="(todas)","*",$B82))</f>
        <v/>
      </c>
      <c r="F82" s="350">
        <f>SUMIFS(TabelaResultadosAcademicos[Reprovados outros],TabelaResultadosAcademicos[Período],$H$4,TabelaResultadosAcademicos[Curso],IF($A82="(todos)","*",$A82),TabelaResultadosAcademicos[Disciplina],IF($B82="(todas)","*",$B82))</f>
        <v/>
      </c>
      <c r="G82" s="349">
        <f>IF(OR($A82="",$B82=""),"",IFERROR(C82/(C82+SUMIFS(TabelaResultadosAcademicos[Reprovados],TabelaResultadosAcademicos[Período],$H$4,TabelaResultadosAcademicos[Curso],IF($A82="(todos)","*",$A82),TabelaResultadosAcademicos[Disciplina],IF($B82="(todas)","*",$B82)))*100,""))</f>
        <v/>
      </c>
      <c r="H82" s="348">
        <f>IFERROR((SUMIFS(TabelaResultadosAcademicos[Soma das notas],TabelaResultadosAcademicos[Período],$H$4,TabelaResultadosAcademicos[Curso],IF($A82="(todos)","*",$A82),TabelaResultadosAcademicos[Disciplina],IF($B82="(todas)","*",$B82)))/(SUMIFS(TabelaResultadosAcademicos[Quantidade de notas],TabelaResultadosAcademicos[Período],$H$4,TabelaResultadosAcademicos[Curso],IF($A82="(todos)","*",$A82),TabelaResultadosAcademicos[Disciplina],IF($B82="(todas)","*",$B82))),"")</f>
        <v/>
      </c>
      <c r="I82" s="347">
        <f>IF(OR($A82="",$B82=""),"",SUMIFS(TabelaResultadosAcademicos[Total],TabelaResultadosAcademicos[Período],$H$4,TabelaResultadosAcademicos[Curso],IF($A82="(todos)","*",$A82),TabelaResultadosAcademicos[Disciplina],IF($B82="(todas)","*",$B82)))</f>
        <v/>
      </c>
      <c r="J82" s="343">
        <f>$H$4</f>
        <v/>
      </c>
    </row>
    <row r="83">
      <c r="A83" s="343">
        <f>DISCIPLINAS!A56</f>
        <v/>
      </c>
      <c r="B83" s="343">
        <f>DISCIPLINAS!B56</f>
        <v/>
      </c>
      <c r="C83" s="347">
        <f>SUMIFS(TabelaResultadosAcademicos[Aprovados],TabelaResultadosAcademicos[Período],$H$4,TabelaResultadosAcademicos[Curso],IF($A83="(todos)","*",$A83),TabelaResultadosAcademicos[Disciplina],IF($B83="(todas)","*",$B83))</f>
        <v/>
      </c>
      <c r="D83" s="347">
        <f>SUMIFS(TabelaResultadosAcademicos[Reprovados por nota],TabelaResultadosAcademicos[Período],$H$4,TabelaResultadosAcademicos[Curso],IF($A83="(todos)","*",$A83),TabelaResultadosAcademicos[Disciplina],IF($B83="(todas)","*",$B83))</f>
        <v/>
      </c>
      <c r="E83" s="347">
        <f>SUMIFS(TabelaResultadosAcademicos[Reprovados por falta],TabelaResultadosAcademicos[Período],$H$4,TabelaResultadosAcademicos[Curso],IF($A83="(todos)","*",$A83),TabelaResultadosAcademicos[Disciplina],IF($B83="(todas)","*",$B83))</f>
        <v/>
      </c>
      <c r="F83" s="347">
        <f>SUMIFS(TabelaResultadosAcademicos[Reprovados outros],TabelaResultadosAcademicos[Período],$H$4,TabelaResultadosAcademicos[Curso],IF($A83="(todos)","*",$A83),TabelaResultadosAcademicos[Disciplina],IF($B83="(todas)","*",$B83))</f>
        <v/>
      </c>
      <c r="G83" s="354">
        <f>IF(OR($A83="",$B83=""),"",IFERROR(C83/(C83+SUMIFS(TabelaResultadosAcademicos[Reprovados],TabelaResultadosAcademicos[Período],$H$4,TabelaResultadosAcademicos[Curso],IF($A83="(todos)","*",$A83),TabelaResultadosAcademicos[Disciplina],IF($B83="(todas)","*",$B83)))*100,""))</f>
        <v/>
      </c>
      <c r="H83" s="351">
        <f>IFERROR((SUMIFS(TabelaResultadosAcademicos[Soma das notas],TabelaResultadosAcademicos[Período],$H$4,TabelaResultadosAcademicos[Curso],IF($A83="(todos)","*",$A83),TabelaResultadosAcademicos[Disciplina],IF($B83="(todas)","*",$B83)))/(SUMIFS(TabelaResultadosAcademicos[Quantidade de notas],TabelaResultadosAcademicos[Período],$H$4,TabelaResultadosAcademicos[Curso],IF($A83="(todos)","*",$A83),TabelaResultadosAcademicos[Disciplina],IF($B83="(todas)","*",$B83))),"")</f>
        <v/>
      </c>
      <c r="I83" s="347">
        <f>IF(OR($A83="",$B83=""),"",SUMIFS(TabelaResultadosAcademicos[Total],TabelaResultadosAcademicos[Período],$H$4,TabelaResultadosAcademicos[Curso],IF($A83="(todos)","*",$A83),TabelaResultadosAcademicos[Disciplina],IF($B83="(todas)","*",$B83)))</f>
        <v/>
      </c>
      <c r="J83" s="343">
        <f>$H$4</f>
        <v/>
      </c>
    </row>
    <row r="84">
      <c r="A84" s="343">
        <f>DISCIPLINAS!A57</f>
        <v/>
      </c>
      <c r="B84" s="343">
        <f>DISCIPLINAS!B57</f>
        <v/>
      </c>
      <c r="C84" s="347">
        <f>SUMIFS(TabelaResultadosAcademicos[Aprovados],TabelaResultadosAcademicos[Período],$H$4,TabelaResultadosAcademicos[Curso],IF($A84="(todos)","*",$A84),TabelaResultadosAcademicos[Disciplina],IF($B84="(todas)","*",$B84))</f>
        <v/>
      </c>
      <c r="D84" s="347">
        <f>SUMIFS(TabelaResultadosAcademicos[Reprovados por nota],TabelaResultadosAcademicos[Período],$H$4,TabelaResultadosAcademicos[Curso],IF($A84="(todos)","*",$A84),TabelaResultadosAcademicos[Disciplina],IF($B84="(todas)","*",$B84))</f>
        <v/>
      </c>
      <c r="E84" s="347">
        <f>SUMIFS(TabelaResultadosAcademicos[Reprovados por falta],TabelaResultadosAcademicos[Período],$H$4,TabelaResultadosAcademicos[Curso],IF($A84="(todos)","*",$A84),TabelaResultadosAcademicos[Disciplina],IF($B84="(todas)","*",$B84))</f>
        <v/>
      </c>
      <c r="F84" s="347">
        <f>SUMIFS(TabelaResultadosAcademicos[Reprovados outros],TabelaResultadosAcademicos[Período],$H$4,TabelaResultadosAcademicos[Curso],IF($A84="(todos)","*",$A84),TabelaResultadosAcademicos[Disciplina],IF($B84="(todas)","*",$B84))</f>
        <v/>
      </c>
      <c r="G84" s="354">
        <f>IF(OR($A84="",$B84=""),"",IFERROR(C84/(C84+SUMIFS(TabelaResultadosAcademicos[Reprovados],TabelaResultadosAcademicos[Período],$H$4,TabelaResultadosAcademicos[Curso],IF($A84="(todos)","*",$A84),TabelaResultadosAcademicos[Disciplina],IF($B84="(todas)","*",$B84)))*100,""))</f>
        <v/>
      </c>
      <c r="H84" s="351">
        <f>IFERROR((SUMIFS(TabelaResultadosAcademicos[Soma das notas],TabelaResultadosAcademicos[Período],$H$4,TabelaResultadosAcademicos[Curso],IF($A84="(todos)","*",$A84),TabelaResultadosAcademicos[Disciplina],IF($B84="(todas)","*",$B84)))/(SUMIFS(TabelaResultadosAcademicos[Quantidade de notas],TabelaResultadosAcademicos[Período],$H$4,TabelaResultadosAcademicos[Curso],IF($A84="(todos)","*",$A84),TabelaResultadosAcademicos[Disciplina],IF($B84="(todas)","*",$B84))),"")</f>
        <v/>
      </c>
      <c r="I84" s="347">
        <f>IF(OR($A84="",$B84=""),"",SUMIFS(TabelaResultadosAcademicos[Total],TabelaResultadosAcademicos[Período],$H$4,TabelaResultadosAcademicos[Curso],IF($A84="(todos)","*",$A84),TabelaResultadosAcademicos[Disciplina],IF($B84="(todas)","*",$B84)))</f>
        <v/>
      </c>
      <c r="J84" s="343">
        <f>$H$4</f>
        <v/>
      </c>
    </row>
    <row r="85">
      <c r="A85" s="343">
        <f>DISCIPLINAS!A58</f>
        <v/>
      </c>
      <c r="B85" s="343">
        <f>DISCIPLINAS!B58</f>
        <v/>
      </c>
      <c r="C85" s="347">
        <f>SUMIFS(TabelaResultadosAcademicos[Aprovados],TabelaResultadosAcademicos[Período],$H$4,TabelaResultadosAcademicos[Curso],IF($A85="(todos)","*",$A85),TabelaResultadosAcademicos[Disciplina],IF($B85="(todas)","*",$B85))</f>
        <v/>
      </c>
      <c r="D85" s="347">
        <f>SUMIFS(TabelaResultadosAcademicos[Reprovados por nota],TabelaResultadosAcademicos[Período],$H$4,TabelaResultadosAcademicos[Curso],IF($A85="(todos)","*",$A85),TabelaResultadosAcademicos[Disciplina],IF($B85="(todas)","*",$B85))</f>
        <v/>
      </c>
      <c r="E85" s="347">
        <f>SUMIFS(TabelaResultadosAcademicos[Reprovados por falta],TabelaResultadosAcademicos[Período],$H$4,TabelaResultadosAcademicos[Curso],IF($A85="(todos)","*",$A85),TabelaResultadosAcademicos[Disciplina],IF($B85="(todas)","*",$B85))</f>
        <v/>
      </c>
      <c r="F85" s="347">
        <f>SUMIFS(TabelaResultadosAcademicos[Reprovados outros],TabelaResultadosAcademicos[Período],$H$4,TabelaResultadosAcademicos[Curso],IF($A85="(todos)","*",$A85),TabelaResultadosAcademicos[Disciplina],IF($B85="(todas)","*",$B85))</f>
        <v/>
      </c>
      <c r="G85" s="354">
        <f>IF(OR($A85="",$B85=""),"",IFERROR(C85/(C85+SUMIFS(TabelaResultadosAcademicos[Reprovados],TabelaResultadosAcademicos[Período],$H$4,TabelaResultadosAcademicos[Curso],IF($A85="(todos)","*",$A85),TabelaResultadosAcademicos[Disciplina],IF($B85="(todas)","*",$B85)))*100,""))</f>
        <v/>
      </c>
      <c r="H85" s="351">
        <f>IFERROR((SUMIFS(TabelaResultadosAcademicos[Soma das notas],TabelaResultadosAcademicos[Período],$H$4,TabelaResultadosAcademicos[Curso],IF($A85="(todos)","*",$A85),TabelaResultadosAcademicos[Disciplina],IF($B85="(todas)","*",$B85)))/(SUMIFS(TabelaResultadosAcademicos[Quantidade de notas],TabelaResultadosAcademicos[Período],$H$4,TabelaResultadosAcademicos[Curso],IF($A85="(todos)","*",$A85),TabelaResultadosAcademicos[Disciplina],IF($B85="(todas)","*",$B85))),"")</f>
        <v/>
      </c>
      <c r="I85" s="347">
        <f>IF(OR($A85="",$B85=""),"",SUMIFS(TabelaResultadosAcademicos[Total],TabelaResultadosAcademicos[Período],$H$4,TabelaResultadosAcademicos[Curso],IF($A85="(todos)","*",$A85),TabelaResultadosAcademicos[Disciplina],IF($B85="(todas)","*",$B85)))</f>
        <v/>
      </c>
      <c r="J85" s="343">
        <f>$H$4</f>
        <v/>
      </c>
    </row>
    <row r="86" ht="42.75" customHeight="1" s="131">
      <c r="A86" s="342">
        <f>DISCIPLINAS!A59</f>
        <v/>
      </c>
      <c r="B86" s="343">
        <f>DISCIPLINAS!B59</f>
        <v/>
      </c>
      <c r="C86" s="355">
        <f>SUMIFS(TabelaResultadosAcademicos[Aprovados],TabelaResultadosAcademicos[Período],$H$4,TabelaResultadosAcademicos[Curso],IF($A86="(todos)","*",$A86),TabelaResultadosAcademicos[Disciplina],IF($B86="(todas)","*",$B86))</f>
        <v/>
      </c>
      <c r="D86" s="347">
        <f>SUMIFS(TabelaResultadosAcademicos[Reprovados por nota],TabelaResultadosAcademicos[Período],$H$4,TabelaResultadosAcademicos[Curso],IF($A86="(todos)","*",$A86),TabelaResultadosAcademicos[Disciplina],IF($B86="(todas)","*",$B86))</f>
        <v/>
      </c>
      <c r="E86" s="347">
        <f>SUMIFS(TabelaResultadosAcademicos[Reprovados por falta],TabelaResultadosAcademicos[Período],$H$4,TabelaResultadosAcademicos[Curso],IF($A86="(todos)","*",$A86),TabelaResultadosAcademicos[Disciplina],IF($B86="(todas)","*",$B86))</f>
        <v/>
      </c>
      <c r="F86" s="347">
        <f>SUMIFS(TabelaResultadosAcademicos[Reprovados outros],TabelaResultadosAcademicos[Período],$H$4,TabelaResultadosAcademicos[Curso],IF($A86="(todos)","*",$A86),TabelaResultadosAcademicos[Disciplina],IF($B86="(todas)","*",$B86))</f>
        <v/>
      </c>
      <c r="G86" s="354">
        <f>IF(OR($A86="",$B86=""),"",IFERROR(C86/(C86+SUMIFS(TabelaResultadosAcademicos[Reprovados],TabelaResultadosAcademicos[Período],$H$4,TabelaResultadosAcademicos[Curso],IF($A86="(todos)","*",$A86),TabelaResultadosAcademicos[Disciplina],IF($B86="(todas)","*",$B86)))*100,""))</f>
        <v/>
      </c>
      <c r="H86" s="351">
        <f>IFERROR((SUMIFS(TabelaResultadosAcademicos[Soma das notas],TabelaResultadosAcademicos[Período],$H$4,TabelaResultadosAcademicos[Curso],IF($A86="(todos)","*",$A86),TabelaResultadosAcademicos[Disciplina],IF($B86="(todas)","*",$B86)))/(SUMIFS(TabelaResultadosAcademicos[Quantidade de notas],TabelaResultadosAcademicos[Período],$H$4,TabelaResultadosAcademicos[Curso],IF($A86="(todos)","*",$A86),TabelaResultadosAcademicos[Disciplina],IF($B86="(todas)","*",$B86))),"")</f>
        <v/>
      </c>
      <c r="I86" s="347">
        <f>IF(OR($A86="",$B86=""),"",SUMIFS(TabelaResultadosAcademicos[Total],TabelaResultadosAcademicos[Período],$H$4,TabelaResultadosAcademicos[Curso],IF($A86="(todos)","*",$A86),TabelaResultadosAcademicos[Disciplina],IF($B86="(todas)","*",$B86)))</f>
        <v/>
      </c>
      <c r="J86" s="343">
        <f>$H$4</f>
        <v/>
      </c>
    </row>
    <row r="87" ht="31.5" customHeight="1" s="131">
      <c r="A87" s="340">
        <f>DISCIPLINAS!A60</f>
        <v/>
      </c>
      <c r="B87" s="340">
        <f>DISCIPLINAS!B60</f>
        <v/>
      </c>
      <c r="C87" s="350">
        <f>SUMIFS(TabelaResultadosAcademicos[Aprovados],TabelaResultadosAcademicos[Período],$H$4,TabelaResultadosAcademicos[Curso],IF($A87="(todos)","*",$A87),TabelaResultadosAcademicos[Disciplina],IF($B87="(todas)","*",$B87))</f>
        <v/>
      </c>
      <c r="D87" s="350">
        <f>SUMIFS(TabelaResultadosAcademicos[Reprovados por nota],TabelaResultadosAcademicos[Período],$H$4,TabelaResultadosAcademicos[Curso],IF($A87="(todos)","*",$A87),TabelaResultadosAcademicos[Disciplina],IF($B87="(todas)","*",$B87))</f>
        <v/>
      </c>
      <c r="E87" s="350">
        <f>SUMIFS(TabelaResultadosAcademicos[Reprovados por falta],TabelaResultadosAcademicos[Período],$H$4,TabelaResultadosAcademicos[Curso],IF($A87="(todos)","*",$A87),TabelaResultadosAcademicos[Disciplina],IF($B87="(todas)","*",$B87))</f>
        <v/>
      </c>
      <c r="F87" s="350">
        <f>SUMIFS(TabelaResultadosAcademicos[Reprovados outros],TabelaResultadosAcademicos[Período],$H$4,TabelaResultadosAcademicos[Curso],IF($A87="(todos)","*",$A87),TabelaResultadosAcademicos[Disciplina],IF($B87="(todas)","*",$B87))</f>
        <v/>
      </c>
      <c r="G87" s="349">
        <f>IF(OR($A87="",$B87=""),"",IFERROR(C87/(C87+SUMIFS(TabelaResultadosAcademicos[Reprovados],TabelaResultadosAcademicos[Período],$H$4,TabelaResultadosAcademicos[Curso],IF($A87="(todos)","*",$A87),TabelaResultadosAcademicos[Disciplina],IF($B87="(todas)","*",$B87)))*100,""))</f>
        <v/>
      </c>
      <c r="H87" s="351">
        <f>IFERROR((SUMIFS(TabelaResultadosAcademicos[Soma das notas],TabelaResultadosAcademicos[Período],$H$4,TabelaResultadosAcademicos[Curso],IF($A87="(todos)","*",$A87),TabelaResultadosAcademicos[Disciplina],IF($B87="(todas)","*",$B87)))/(SUMIFS(TabelaResultadosAcademicos[Quantidade de notas],TabelaResultadosAcademicos[Período],$H$4,TabelaResultadosAcademicos[Curso],IF($A87="(todos)","*",$A87),TabelaResultadosAcademicos[Disciplina],IF($B87="(todas)","*",$B87))),"")</f>
        <v/>
      </c>
      <c r="I87" s="347">
        <f>IF(OR($A87="",$B87=""),"",SUMIFS(TabelaResultadosAcademicos[Total],TabelaResultadosAcademicos[Período],$H$4,TabelaResultadosAcademicos[Curso],IF($A87="(todos)","*",$A87),TabelaResultadosAcademicos[Disciplina],IF($B87="(todas)","*",$B87)))</f>
        <v/>
      </c>
      <c r="J87" s="343">
        <f>$H$4</f>
        <v/>
      </c>
    </row>
    <row r="88" ht="15" customHeight="1" s="131">
      <c r="A88" s="340">
        <f>DISCIPLINAS!A61</f>
        <v/>
      </c>
      <c r="B88" s="340">
        <f>DISCIPLINAS!B61</f>
        <v/>
      </c>
      <c r="C88" s="350">
        <f>SUMIFS(TabelaResultadosAcademicos[Aprovados],TabelaResultadosAcademicos[Período],$H$4,TabelaResultadosAcademicos[Curso],IF($A88="(todos)","*",$A88),TabelaResultadosAcademicos[Disciplina],IF($B88="(todas)","*",$B88))</f>
        <v/>
      </c>
      <c r="D88" s="350">
        <f>SUMIFS(TabelaResultadosAcademicos[Reprovados por nota],TabelaResultadosAcademicos[Período],$H$4,TabelaResultadosAcademicos[Curso],IF($A88="(todos)","*",$A88),TabelaResultadosAcademicos[Disciplina],IF($B88="(todas)","*",$B88))</f>
        <v/>
      </c>
      <c r="E88" s="350">
        <f>SUMIFS(TabelaResultadosAcademicos[Reprovados por falta],TabelaResultadosAcademicos[Período],$H$4,TabelaResultadosAcademicos[Curso],IF($A88="(todos)","*",$A88),TabelaResultadosAcademicos[Disciplina],IF($B88="(todas)","*",$B88))</f>
        <v/>
      </c>
      <c r="F88" s="350">
        <f>SUMIFS(TabelaResultadosAcademicos[Reprovados outros],TabelaResultadosAcademicos[Período],$H$4,TabelaResultadosAcademicos[Curso],IF($A88="(todos)","*",$A88),TabelaResultadosAcademicos[Disciplina],IF($B88="(todas)","*",$B88))</f>
        <v/>
      </c>
      <c r="G88" s="349">
        <f>IF(OR($A88="",$B88=""),"",IFERROR(C88/(C88+SUMIFS(TabelaResultadosAcademicos[Reprovados],TabelaResultadosAcademicos[Período],$H$4,TabelaResultadosAcademicos[Curso],IF($A88="(todos)","*",$A88),TabelaResultadosAcademicos[Disciplina],IF($B88="(todas)","*",$B88)))*100,""))</f>
        <v/>
      </c>
      <c r="H88" s="351">
        <f>IFERROR((SUMIFS(TabelaResultadosAcademicos[Soma das notas],TabelaResultadosAcademicos[Período],$H$4,TabelaResultadosAcademicos[Curso],IF($A88="(todos)","*",$A88),TabelaResultadosAcademicos[Disciplina],IF($B88="(todas)","*",$B88)))/(SUMIFS(TabelaResultadosAcademicos[Quantidade de notas],TabelaResultadosAcademicos[Período],$H$4,TabelaResultadosAcademicos[Curso],IF($A88="(todos)","*",$A88),TabelaResultadosAcademicos[Disciplina],IF($B88="(todas)","*",$B88))),"")</f>
        <v/>
      </c>
      <c r="I88" s="347">
        <f>IF(OR($A88="",$B88=""),"",SUMIFS(TabelaResultadosAcademicos[Total],TabelaResultadosAcademicos[Período],$H$4,TabelaResultadosAcademicos[Curso],IF($A88="(todos)","*",$A88),TabelaResultadosAcademicos[Disciplina],IF($B88="(todas)","*",$B88)))</f>
        <v/>
      </c>
      <c r="J88" s="343">
        <f>$H$4</f>
        <v/>
      </c>
    </row>
    <row r="89" ht="15" customHeight="1" s="131">
      <c r="A89" s="340">
        <f>DISCIPLINAS!A62</f>
        <v/>
      </c>
      <c r="B89" s="340">
        <f>DISCIPLINAS!B62</f>
        <v/>
      </c>
      <c r="C89" s="350">
        <f>SUMIFS(TabelaResultadosAcademicos[Aprovados],TabelaResultadosAcademicos[Período],$H$4,TabelaResultadosAcademicos[Curso],IF($A89="(todos)","*",$A89),TabelaResultadosAcademicos[Disciplina],IF($B89="(todas)","*",$B89))</f>
        <v/>
      </c>
      <c r="D89" s="350">
        <f>SUMIFS(TabelaResultadosAcademicos[Reprovados por nota],TabelaResultadosAcademicos[Período],$H$4,TabelaResultadosAcademicos[Curso],IF($A89="(todos)","*",$A89),TabelaResultadosAcademicos[Disciplina],IF($B89="(todas)","*",$B89))</f>
        <v/>
      </c>
      <c r="E89" s="350">
        <f>SUMIFS(TabelaResultadosAcademicos[Reprovados por falta],TabelaResultadosAcademicos[Período],$H$4,TabelaResultadosAcademicos[Curso],IF($A89="(todos)","*",$A89),TabelaResultadosAcademicos[Disciplina],IF($B89="(todas)","*",$B89))</f>
        <v/>
      </c>
      <c r="F89" s="350">
        <f>SUMIFS(TabelaResultadosAcademicos[Reprovados outros],TabelaResultadosAcademicos[Período],$H$4,TabelaResultadosAcademicos[Curso],IF($A89="(todos)","*",$A89),TabelaResultadosAcademicos[Disciplina],IF($B89="(todas)","*",$B89))</f>
        <v/>
      </c>
      <c r="G89" s="349">
        <f>IF(OR($A89="",$B89=""),"",IFERROR(C89/(C89+SUMIFS(TabelaResultadosAcademicos[Reprovados],TabelaResultadosAcademicos[Período],$H$4,TabelaResultadosAcademicos[Curso],IF($A89="(todos)","*",$A89),TabelaResultadosAcademicos[Disciplina],IF($B89="(todas)","*",$B89)))*100,""))</f>
        <v/>
      </c>
      <c r="H89" s="351">
        <f>IFERROR((SUMIFS(TabelaResultadosAcademicos[Soma das notas],TabelaResultadosAcademicos[Período],$H$4,TabelaResultadosAcademicos[Curso],IF($A89="(todos)","*",$A89),TabelaResultadosAcademicos[Disciplina],IF($B89="(todas)","*",$B89)))/(SUMIFS(TabelaResultadosAcademicos[Quantidade de notas],TabelaResultadosAcademicos[Período],$H$4,TabelaResultadosAcademicos[Curso],IF($A89="(todos)","*",$A89),TabelaResultadosAcademicos[Disciplina],IF($B89="(todas)","*",$B89))),"")</f>
        <v/>
      </c>
      <c r="I89" s="347">
        <f>IF(OR($A89="",$B89=""),"",SUMIFS(TabelaResultadosAcademicos[Total],TabelaResultadosAcademicos[Período],$H$4,TabelaResultadosAcademicos[Curso],IF($A89="(todos)","*",$A89),TabelaResultadosAcademicos[Disciplina],IF($B89="(todas)","*",$B89)))</f>
        <v/>
      </c>
      <c r="J89" s="343">
        <f>$H$4</f>
        <v/>
      </c>
    </row>
    <row r="90" ht="15" customHeight="1" s="131">
      <c r="A90" s="340">
        <f>DISCIPLINAS!A63</f>
        <v/>
      </c>
      <c r="B90" s="340">
        <f>DISCIPLINAS!B63</f>
        <v/>
      </c>
      <c r="C90" s="350">
        <f>SUMIFS(TabelaResultadosAcademicos[Aprovados],TabelaResultadosAcademicos[Período],$H$4,TabelaResultadosAcademicos[Curso],IF($A90="(todos)","*",$A90),TabelaResultadosAcademicos[Disciplina],IF($B90="(todas)","*",$B90))</f>
        <v/>
      </c>
      <c r="D90" s="350">
        <f>SUMIFS(TabelaResultadosAcademicos[Reprovados por nota],TabelaResultadosAcademicos[Período],$H$4,TabelaResultadosAcademicos[Curso],IF($A90="(todos)","*",$A90),TabelaResultadosAcademicos[Disciplina],IF($B90="(todas)","*",$B90))</f>
        <v/>
      </c>
      <c r="E90" s="350">
        <f>SUMIFS(TabelaResultadosAcademicos[Reprovados por falta],TabelaResultadosAcademicos[Período],$H$4,TabelaResultadosAcademicos[Curso],IF($A90="(todos)","*",$A90),TabelaResultadosAcademicos[Disciplina],IF($B90="(todas)","*",$B90))</f>
        <v/>
      </c>
      <c r="F90" s="350">
        <f>SUMIFS(TabelaResultadosAcademicos[Reprovados outros],TabelaResultadosAcademicos[Período],$H$4,TabelaResultadosAcademicos[Curso],IF($A90="(todos)","*",$A90),TabelaResultadosAcademicos[Disciplina],IF($B90="(todas)","*",$B90))</f>
        <v/>
      </c>
      <c r="G90" s="349">
        <f>IF(OR($A90="",$B90=""),"",IFERROR(C90/(C90+SUMIFS(TabelaResultadosAcademicos[Reprovados],TabelaResultadosAcademicos[Período],$H$4,TabelaResultadosAcademicos[Curso],IF($A90="(todos)","*",$A90),TabelaResultadosAcademicos[Disciplina],IF($B90="(todas)","*",$B90)))*100,""))</f>
        <v/>
      </c>
      <c r="H90" s="351">
        <f>IFERROR((SUMIFS(TabelaResultadosAcademicos[Soma das notas],TabelaResultadosAcademicos[Período],$H$4,TabelaResultadosAcademicos[Curso],IF($A90="(todos)","*",$A90),TabelaResultadosAcademicos[Disciplina],IF($B90="(todas)","*",$B90)))/(SUMIFS(TabelaResultadosAcademicos[Quantidade de notas],TabelaResultadosAcademicos[Período],$H$4,TabelaResultadosAcademicos[Curso],IF($A90="(todos)","*",$A90),TabelaResultadosAcademicos[Disciplina],IF($B90="(todas)","*",$B90))),"")</f>
        <v/>
      </c>
      <c r="I90" s="347">
        <f>IF(OR($A90="",$B90=""),"",SUMIFS(TabelaResultadosAcademicos[Total],TabelaResultadosAcademicos[Período],$H$4,TabelaResultadosAcademicos[Curso],IF($A90="(todos)","*",$A90),TabelaResultadosAcademicos[Disciplina],IF($B90="(todas)","*",$B90)))</f>
        <v/>
      </c>
      <c r="J90" s="343">
        <f>$H$4</f>
        <v/>
      </c>
    </row>
    <row r="91" ht="15" customHeight="1" s="131">
      <c r="A91" s="340">
        <f>DISCIPLINAS!A64</f>
        <v/>
      </c>
      <c r="B91" s="340">
        <f>DISCIPLINAS!B64</f>
        <v/>
      </c>
      <c r="C91" s="350">
        <f>SUMIFS(TabelaResultadosAcademicos[Aprovados],TabelaResultadosAcademicos[Período],$H$4,TabelaResultadosAcademicos[Curso],IF($A91="(todos)","*",$A91),TabelaResultadosAcademicos[Disciplina],IF($B91="(todas)","*",$B91))</f>
        <v/>
      </c>
      <c r="D91" s="350">
        <f>SUMIFS(TabelaResultadosAcademicos[Reprovados por nota],TabelaResultadosAcademicos[Período],$H$4,TabelaResultadosAcademicos[Curso],IF($A91="(todos)","*",$A91),TabelaResultadosAcademicos[Disciplina],IF($B91="(todas)","*",$B91))</f>
        <v/>
      </c>
      <c r="E91" s="350">
        <f>SUMIFS(TabelaResultadosAcademicos[Reprovados por falta],TabelaResultadosAcademicos[Período],$H$4,TabelaResultadosAcademicos[Curso],IF($A91="(todos)","*",$A91),TabelaResultadosAcademicos[Disciplina],IF($B91="(todas)","*",$B91))</f>
        <v/>
      </c>
      <c r="F91" s="350">
        <f>SUMIFS(TabelaResultadosAcademicos[Reprovados outros],TabelaResultadosAcademicos[Período],$H$4,TabelaResultadosAcademicos[Curso],IF($A91="(todos)","*",$A91),TabelaResultadosAcademicos[Disciplina],IF($B91="(todas)","*",$B91))</f>
        <v/>
      </c>
      <c r="G91" s="349">
        <f>IF(OR($A91="",$B91=""),"",IFERROR(C91/(C91+SUMIFS(TabelaResultadosAcademicos[Reprovados],TabelaResultadosAcademicos[Período],$H$4,TabelaResultadosAcademicos[Curso],IF($A91="(todos)","*",$A91),TabelaResultadosAcademicos[Disciplina],IF($B91="(todas)","*",$B91)))*100,""))</f>
        <v/>
      </c>
      <c r="H91" s="351">
        <f>IFERROR((SUMIFS(TabelaResultadosAcademicos[Soma das notas],TabelaResultadosAcademicos[Período],$H$4,TabelaResultadosAcademicos[Curso],IF($A91="(todos)","*",$A91),TabelaResultadosAcademicos[Disciplina],IF($B91="(todas)","*",$B91)))/(SUMIFS(TabelaResultadosAcademicos[Quantidade de notas],TabelaResultadosAcademicos[Período],$H$4,TabelaResultadosAcademicos[Curso],IF($A91="(todos)","*",$A91),TabelaResultadosAcademicos[Disciplina],IF($B91="(todas)","*",$B91))),"")</f>
        <v/>
      </c>
      <c r="I91" s="347">
        <f>IF(OR($A91="",$B91=""),"",SUMIFS(TabelaResultadosAcademicos[Total],TabelaResultadosAcademicos[Período],$H$4,TabelaResultadosAcademicos[Curso],IF($A91="(todos)","*",$A91),TabelaResultadosAcademicos[Disciplina],IF($B91="(todas)","*",$B91)))</f>
        <v/>
      </c>
      <c r="J91" s="343">
        <f>$H$4</f>
        <v/>
      </c>
    </row>
    <row r="92" ht="15" customHeight="1" s="131">
      <c r="A92" s="340">
        <f>DISCIPLINAS!A65</f>
        <v/>
      </c>
      <c r="B92" s="340">
        <f>DISCIPLINAS!B65</f>
        <v/>
      </c>
      <c r="C92" s="350">
        <f>SUMIFS(TabelaResultadosAcademicos[Aprovados],TabelaResultadosAcademicos[Período],$H$4,TabelaResultadosAcademicos[Curso],IF($A92="(todos)","*",$A92),TabelaResultadosAcademicos[Disciplina],IF($B92="(todas)","*",$B92))</f>
        <v/>
      </c>
      <c r="D92" s="350">
        <f>SUMIFS(TabelaResultadosAcademicos[Reprovados por nota],TabelaResultadosAcademicos[Período],$H$4,TabelaResultadosAcademicos[Curso],IF($A92="(todos)","*",$A92),TabelaResultadosAcademicos[Disciplina],IF($B92="(todas)","*",$B92))</f>
        <v/>
      </c>
      <c r="E92" s="350">
        <f>SUMIFS(TabelaResultadosAcademicos[Reprovados por falta],TabelaResultadosAcademicos[Período],$H$4,TabelaResultadosAcademicos[Curso],IF($A92="(todos)","*",$A92),TabelaResultadosAcademicos[Disciplina],IF($B92="(todas)","*",$B92))</f>
        <v/>
      </c>
      <c r="F92" s="350">
        <f>SUMIFS(TabelaResultadosAcademicos[Reprovados outros],TabelaResultadosAcademicos[Período],$H$4,TabelaResultadosAcademicos[Curso],IF($A92="(todos)","*",$A92),TabelaResultadosAcademicos[Disciplina],IF($B92="(todas)","*",$B92))</f>
        <v/>
      </c>
      <c r="G92" s="349">
        <f>IF(OR($A92="",$B92=""),"",IFERROR(C92/(C92+SUMIFS(TabelaResultadosAcademicos[Reprovados],TabelaResultadosAcademicos[Período],$H$4,TabelaResultadosAcademicos[Curso],IF($A92="(todos)","*",$A92),TabelaResultadosAcademicos[Disciplina],IF($B92="(todas)","*",$B92)))*100,""))</f>
        <v/>
      </c>
      <c r="H92" s="351">
        <f>IFERROR((SUMIFS(TabelaResultadosAcademicos[Soma das notas],TabelaResultadosAcademicos[Período],$H$4,TabelaResultadosAcademicos[Curso],IF($A92="(todos)","*",$A92),TabelaResultadosAcademicos[Disciplina],IF($B92="(todas)","*",$B92)))/(SUMIFS(TabelaResultadosAcademicos[Quantidade de notas],TabelaResultadosAcademicos[Período],$H$4,TabelaResultadosAcademicos[Curso],IF($A92="(todos)","*",$A92),TabelaResultadosAcademicos[Disciplina],IF($B92="(todas)","*",$B92))),"")</f>
        <v/>
      </c>
      <c r="I92" s="347">
        <f>IF(OR($A92="",$B92=""),"",SUMIFS(TabelaResultadosAcademicos[Total],TabelaResultadosAcademicos[Período],$H$4,TabelaResultadosAcademicos[Curso],IF($A92="(todos)","*",$A92),TabelaResultadosAcademicos[Disciplina],IF($B92="(todas)","*",$B92)))</f>
        <v/>
      </c>
      <c r="J92" s="343">
        <f>$H$4</f>
        <v/>
      </c>
    </row>
    <row r="93" ht="15" customHeight="1" s="131">
      <c r="A93" s="340">
        <f>DISCIPLINAS!A66</f>
        <v/>
      </c>
      <c r="B93" s="340">
        <f>DISCIPLINAS!B66</f>
        <v/>
      </c>
      <c r="C93" s="350">
        <f>SUMIFS(TabelaResultadosAcademicos[Aprovados],TabelaResultadosAcademicos[Período],$H$4,TabelaResultadosAcademicos[Curso],IF($A93="(todos)","*",$A93),TabelaResultadosAcademicos[Disciplina],IF($B93="(todas)","*",$B93))</f>
        <v/>
      </c>
      <c r="D93" s="350">
        <f>SUMIFS(TabelaResultadosAcademicos[Reprovados por nota],TabelaResultadosAcademicos[Período],$H$4,TabelaResultadosAcademicos[Curso],IF($A93="(todos)","*",$A93),TabelaResultadosAcademicos[Disciplina],IF($B93="(todas)","*",$B93))</f>
        <v/>
      </c>
      <c r="E93" s="350">
        <f>SUMIFS(TabelaResultadosAcademicos[Reprovados por falta],TabelaResultadosAcademicos[Período],$H$4,TabelaResultadosAcademicos[Curso],IF($A93="(todos)","*",$A93),TabelaResultadosAcademicos[Disciplina],IF($B93="(todas)","*",$B93))</f>
        <v/>
      </c>
      <c r="F93" s="350">
        <f>SUMIFS(TabelaResultadosAcademicos[Reprovados outros],TabelaResultadosAcademicos[Período],$H$4,TabelaResultadosAcademicos[Curso],IF($A93="(todos)","*",$A93),TabelaResultadosAcademicos[Disciplina],IF($B93="(todas)","*",$B93))</f>
        <v/>
      </c>
      <c r="G93" s="349">
        <f>IF(OR($A93="",$B93=""),"",IFERROR(C93/(C93+SUMIFS(TabelaResultadosAcademicos[Reprovados],TabelaResultadosAcademicos[Período],$H$4,TabelaResultadosAcademicos[Curso],IF($A93="(todos)","*",$A93),TabelaResultadosAcademicos[Disciplina],IF($B93="(todas)","*",$B93)))*100,""))</f>
        <v/>
      </c>
      <c r="H93" s="351">
        <f>IFERROR((SUMIFS(TabelaResultadosAcademicos[Soma das notas],TabelaResultadosAcademicos[Período],$H$4,TabelaResultadosAcademicos[Curso],IF($A93="(todos)","*",$A93),TabelaResultadosAcademicos[Disciplina],IF($B93="(todas)","*",$B93)))/(SUMIFS(TabelaResultadosAcademicos[Quantidade de notas],TabelaResultadosAcademicos[Período],$H$4,TabelaResultadosAcademicos[Curso],IF($A93="(todos)","*",$A93),TabelaResultadosAcademicos[Disciplina],IF($B93="(todas)","*",$B93))),"")</f>
        <v/>
      </c>
      <c r="I93" s="347">
        <f>IF(OR($A93="",$B93=""),"",SUMIFS(TabelaResultadosAcademicos[Total],TabelaResultadosAcademicos[Período],$H$4,TabelaResultadosAcademicos[Curso],IF($A93="(todos)","*",$A93),TabelaResultadosAcademicos[Disciplina],IF($B93="(todas)","*",$B93)))</f>
        <v/>
      </c>
      <c r="J93" s="343">
        <f>$H$4</f>
        <v/>
      </c>
    </row>
    <row r="94" ht="15" customHeight="1" s="131">
      <c r="A94" s="340">
        <f>DISCIPLINAS!A67</f>
        <v/>
      </c>
      <c r="B94" s="340">
        <f>DISCIPLINAS!B67</f>
        <v/>
      </c>
      <c r="C94" s="350">
        <f>SUMIFS(TabelaResultadosAcademicos[Aprovados],TabelaResultadosAcademicos[Período],$H$4,TabelaResultadosAcademicos[Curso],IF($A94="(todos)","*",$A94),TabelaResultadosAcademicos[Disciplina],IF($B94="(todas)","*",$B94))</f>
        <v/>
      </c>
      <c r="D94" s="350">
        <f>SUMIFS(TabelaResultadosAcademicos[Reprovados por nota],TabelaResultadosAcademicos[Período],$H$4,TabelaResultadosAcademicos[Curso],IF($A94="(todos)","*",$A94),TabelaResultadosAcademicos[Disciplina],IF($B94="(todas)","*",$B94))</f>
        <v/>
      </c>
      <c r="E94" s="350">
        <f>SUMIFS(TabelaResultadosAcademicos[Reprovados por falta],TabelaResultadosAcademicos[Período],$H$4,TabelaResultadosAcademicos[Curso],IF($A94="(todos)","*",$A94),TabelaResultadosAcademicos[Disciplina],IF($B94="(todas)","*",$B94))</f>
        <v/>
      </c>
      <c r="F94" s="350">
        <f>SUMIFS(TabelaResultadosAcademicos[Reprovados outros],TabelaResultadosAcademicos[Período],$H$4,TabelaResultadosAcademicos[Curso],IF($A94="(todos)","*",$A94),TabelaResultadosAcademicos[Disciplina],IF($B94="(todas)","*",$B94))</f>
        <v/>
      </c>
      <c r="G94" s="349">
        <f>IF(OR($A94="",$B94=""),"",IFERROR(C94/(C94+SUMIFS(TabelaResultadosAcademicos[Reprovados],TabelaResultadosAcademicos[Período],$H$4,TabelaResultadosAcademicos[Curso],IF($A94="(todos)","*",$A94),TabelaResultadosAcademicos[Disciplina],IF($B94="(todas)","*",$B94)))*100,""))</f>
        <v/>
      </c>
      <c r="H94" s="351">
        <f>IFERROR((SUMIFS(TabelaResultadosAcademicos[Soma das notas],TabelaResultadosAcademicos[Período],$H$4,TabelaResultadosAcademicos[Curso],IF($A94="(todos)","*",$A94),TabelaResultadosAcademicos[Disciplina],IF($B94="(todas)","*",$B94)))/(SUMIFS(TabelaResultadosAcademicos[Quantidade de notas],TabelaResultadosAcademicos[Período],$H$4,TabelaResultadosAcademicos[Curso],IF($A94="(todos)","*",$A94),TabelaResultadosAcademicos[Disciplina],IF($B94="(todas)","*",$B94))),"")</f>
        <v/>
      </c>
      <c r="I94" s="347">
        <f>IF(OR($A94="",$B94=""),"",SUMIFS(TabelaResultadosAcademicos[Total],TabelaResultadosAcademicos[Período],$H$4,TabelaResultadosAcademicos[Curso],IF($A94="(todos)","*",$A94),TabelaResultadosAcademicos[Disciplina],IF($B94="(todas)","*",$B94)))</f>
        <v/>
      </c>
      <c r="J94" s="343">
        <f>$H$4</f>
        <v/>
      </c>
    </row>
    <row r="95" ht="15" customHeight="1" s="131">
      <c r="A95" s="340">
        <f>DISCIPLINAS!A68</f>
        <v/>
      </c>
      <c r="B95" s="340">
        <f>DISCIPLINAS!B68</f>
        <v/>
      </c>
      <c r="C95" s="350">
        <f>SUMIFS(TabelaResultadosAcademicos[Aprovados],TabelaResultadosAcademicos[Período],$H$4,TabelaResultadosAcademicos[Curso],IF($A95="(todos)","*",$A95),TabelaResultadosAcademicos[Disciplina],IF($B95="(todas)","*",$B95))</f>
        <v/>
      </c>
      <c r="D95" s="350">
        <f>SUMIFS(TabelaResultadosAcademicos[Reprovados por nota],TabelaResultadosAcademicos[Período],$H$4,TabelaResultadosAcademicos[Curso],IF($A95="(todos)","*",$A95),TabelaResultadosAcademicos[Disciplina],IF($B95="(todas)","*",$B95))</f>
        <v/>
      </c>
      <c r="E95" s="350">
        <f>SUMIFS(TabelaResultadosAcademicos[Reprovados por falta],TabelaResultadosAcademicos[Período],$H$4,TabelaResultadosAcademicos[Curso],IF($A95="(todos)","*",$A95),TabelaResultadosAcademicos[Disciplina],IF($B95="(todas)","*",$B95))</f>
        <v/>
      </c>
      <c r="F95" s="350">
        <f>SUMIFS(TabelaResultadosAcademicos[Reprovados outros],TabelaResultadosAcademicos[Período],$H$4,TabelaResultadosAcademicos[Curso],IF($A95="(todos)","*",$A95),TabelaResultadosAcademicos[Disciplina],IF($B95="(todas)","*",$B95))</f>
        <v/>
      </c>
      <c r="G95" s="349">
        <f>IF(OR($A95="",$B95=""),"",IFERROR(C95/(C95+SUMIFS(TabelaResultadosAcademicos[Reprovados],TabelaResultadosAcademicos[Período],$H$4,TabelaResultadosAcademicos[Curso],IF($A95="(todos)","*",$A95),TabelaResultadosAcademicos[Disciplina],IF($B95="(todas)","*",$B95)))*100,""))</f>
        <v/>
      </c>
      <c r="H95" s="351">
        <f>IFERROR((SUMIFS(TabelaResultadosAcademicos[Soma das notas],TabelaResultadosAcademicos[Período],$H$4,TabelaResultadosAcademicos[Curso],IF($A95="(todos)","*",$A95),TabelaResultadosAcademicos[Disciplina],IF($B95="(todas)","*",$B95)))/(SUMIFS(TabelaResultadosAcademicos[Quantidade de notas],TabelaResultadosAcademicos[Período],$H$4,TabelaResultadosAcademicos[Curso],IF($A95="(todos)","*",$A95),TabelaResultadosAcademicos[Disciplina],IF($B95="(todas)","*",$B95))),"")</f>
        <v/>
      </c>
      <c r="I95" s="347">
        <f>IF(OR($A95="",$B95=""),"",SUMIFS(TabelaResultadosAcademicos[Total],TabelaResultadosAcademicos[Período],$H$4,TabelaResultadosAcademicos[Curso],IF($A95="(todos)","*",$A95),TabelaResultadosAcademicos[Disciplina],IF($B95="(todas)","*",$B95)))</f>
        <v/>
      </c>
      <c r="J95" s="343">
        <f>$H$4</f>
        <v/>
      </c>
    </row>
    <row r="96" ht="15" customHeight="1" s="131">
      <c r="A96" s="340">
        <f>DISCIPLINAS!A69</f>
        <v/>
      </c>
      <c r="B96" s="340">
        <f>DISCIPLINAS!B69</f>
        <v/>
      </c>
      <c r="C96" s="350">
        <f>SUMIFS(TabelaResultadosAcademicos[Aprovados],TabelaResultadosAcademicos[Período],$H$4,TabelaResultadosAcademicos[Curso],IF($A96="(todos)","*",$A96),TabelaResultadosAcademicos[Disciplina],IF($B96="(todas)","*",$B96))</f>
        <v/>
      </c>
      <c r="D96" s="350">
        <f>SUMIFS(TabelaResultadosAcademicos[Reprovados por nota],TabelaResultadosAcademicos[Período],$H$4,TabelaResultadosAcademicos[Curso],IF($A96="(todos)","*",$A96),TabelaResultadosAcademicos[Disciplina],IF($B96="(todas)","*",$B96))</f>
        <v/>
      </c>
      <c r="E96" s="350">
        <f>SUMIFS(TabelaResultadosAcademicos[Reprovados por falta],TabelaResultadosAcademicos[Período],$H$4,TabelaResultadosAcademicos[Curso],IF($A96="(todos)","*",$A96),TabelaResultadosAcademicos[Disciplina],IF($B96="(todas)","*",$B96))</f>
        <v/>
      </c>
      <c r="F96" s="350">
        <f>SUMIFS(TabelaResultadosAcademicos[Reprovados outros],TabelaResultadosAcademicos[Período],$H$4,TabelaResultadosAcademicos[Curso],IF($A96="(todos)","*",$A96),TabelaResultadosAcademicos[Disciplina],IF($B96="(todas)","*",$B96))</f>
        <v/>
      </c>
      <c r="G96" s="349">
        <f>IF(OR($A96="",$B96=""),"",IFERROR(C96/(C96+SUMIFS(TabelaResultadosAcademicos[Reprovados],TabelaResultadosAcademicos[Período],$H$4,TabelaResultadosAcademicos[Curso],IF($A96="(todos)","*",$A96),TabelaResultadosAcademicos[Disciplina],IF($B96="(todas)","*",$B96)))*100,""))</f>
        <v/>
      </c>
      <c r="H96" s="351">
        <f>IFERROR((SUMIFS(TabelaResultadosAcademicos[Soma das notas],TabelaResultadosAcademicos[Período],$H$4,TabelaResultadosAcademicos[Curso],IF($A96="(todos)","*",$A96),TabelaResultadosAcademicos[Disciplina],IF($B96="(todas)","*",$B96)))/(SUMIFS(TabelaResultadosAcademicos[Quantidade de notas],TabelaResultadosAcademicos[Período],$H$4,TabelaResultadosAcademicos[Curso],IF($A96="(todos)","*",$A96),TabelaResultadosAcademicos[Disciplina],IF($B96="(todas)","*",$B96))),"")</f>
        <v/>
      </c>
      <c r="I96" s="347">
        <f>IF(OR($A96="",$B96=""),"",SUMIFS(TabelaResultadosAcademicos[Total],TabelaResultadosAcademicos[Período],$H$4,TabelaResultadosAcademicos[Curso],IF($A96="(todos)","*",$A96),TabelaResultadosAcademicos[Disciplina],IF($B96="(todas)","*",$B96)))</f>
        <v/>
      </c>
      <c r="J96" s="343">
        <f>$H$4</f>
        <v/>
      </c>
    </row>
    <row r="97" ht="15" customHeight="1" s="131">
      <c r="A97" s="340">
        <f>DISCIPLINAS!A70</f>
        <v/>
      </c>
      <c r="B97" s="340">
        <f>DISCIPLINAS!B70</f>
        <v/>
      </c>
      <c r="C97" s="350">
        <f>SUMIFS(TabelaResultadosAcademicos[Aprovados],TabelaResultadosAcademicos[Período],$H$4,TabelaResultadosAcademicos[Curso],IF($A97="(todos)","*",$A97),TabelaResultadosAcademicos[Disciplina],IF($B97="(todas)","*",$B97))</f>
        <v/>
      </c>
      <c r="D97" s="350">
        <f>SUMIFS(TabelaResultadosAcademicos[Reprovados por nota],TabelaResultadosAcademicos[Período],$H$4,TabelaResultadosAcademicos[Curso],IF($A97="(todos)","*",$A97),TabelaResultadosAcademicos[Disciplina],IF($B97="(todas)","*",$B97))</f>
        <v/>
      </c>
      <c r="E97" s="350">
        <f>SUMIFS(TabelaResultadosAcademicos[Reprovados por falta],TabelaResultadosAcademicos[Período],$H$4,TabelaResultadosAcademicos[Curso],IF($A97="(todos)","*",$A97),TabelaResultadosAcademicos[Disciplina],IF($B97="(todas)","*",$B97))</f>
        <v/>
      </c>
      <c r="F97" s="350">
        <f>SUMIFS(TabelaResultadosAcademicos[Reprovados outros],TabelaResultadosAcademicos[Período],$H$4,TabelaResultadosAcademicos[Curso],IF($A97="(todos)","*",$A97),TabelaResultadosAcademicos[Disciplina],IF($B97="(todas)","*",$B97))</f>
        <v/>
      </c>
      <c r="G97" s="349">
        <f>IF(OR($A97="",$B97=""),"",IFERROR(C97/(C97+SUMIFS(TabelaResultadosAcademicos[Reprovados],TabelaResultadosAcademicos[Período],$H$4,TabelaResultadosAcademicos[Curso],IF($A97="(todos)","*",$A97),TabelaResultadosAcademicos[Disciplina],IF($B97="(todas)","*",$B97)))*100,""))</f>
        <v/>
      </c>
      <c r="H97" s="351">
        <f>IFERROR((SUMIFS(TabelaResultadosAcademicos[Soma das notas],TabelaResultadosAcademicos[Período],$H$4,TabelaResultadosAcademicos[Curso],IF($A97="(todos)","*",$A97),TabelaResultadosAcademicos[Disciplina],IF($B97="(todas)","*",$B97)))/(SUMIFS(TabelaResultadosAcademicos[Quantidade de notas],TabelaResultadosAcademicos[Período],$H$4,TabelaResultadosAcademicos[Curso],IF($A97="(todos)","*",$A97),TabelaResultadosAcademicos[Disciplina],IF($B97="(todas)","*",$B97))),"")</f>
        <v/>
      </c>
      <c r="I97" s="347">
        <f>IF(OR($A97="",$B97=""),"",SUMIFS(TabelaResultadosAcademicos[Total],TabelaResultadosAcademicos[Período],$H$4,TabelaResultadosAcademicos[Curso],IF($A97="(todos)","*",$A97),TabelaResultadosAcademicos[Disciplina],IF($B97="(todas)","*",$B97)))</f>
        <v/>
      </c>
      <c r="J97" s="343">
        <f>$H$4</f>
        <v/>
      </c>
    </row>
    <row r="98" ht="15" customHeight="1" s="131">
      <c r="A98" s="340">
        <f>DISCIPLINAS!A71</f>
        <v/>
      </c>
      <c r="B98" s="340">
        <f>DISCIPLINAS!B71</f>
        <v/>
      </c>
      <c r="C98" s="350">
        <f>SUMIFS(TabelaResultadosAcademicos[Aprovados],TabelaResultadosAcademicos[Período],$H$4,TabelaResultadosAcademicos[Curso],IF($A98="(todos)","*",$A98),TabelaResultadosAcademicos[Disciplina],IF($B98="(todas)","*",$B98))</f>
        <v/>
      </c>
      <c r="D98" s="350">
        <f>SUMIFS(TabelaResultadosAcademicos[Reprovados por nota],TabelaResultadosAcademicos[Período],$H$4,TabelaResultadosAcademicos[Curso],IF($A98="(todos)","*",$A98),TabelaResultadosAcademicos[Disciplina],IF($B98="(todas)","*",$B98))</f>
        <v/>
      </c>
      <c r="E98" s="350">
        <f>SUMIFS(TabelaResultadosAcademicos[Reprovados por falta],TabelaResultadosAcademicos[Período],$H$4,TabelaResultadosAcademicos[Curso],IF($A98="(todos)","*",$A98),TabelaResultadosAcademicos[Disciplina],IF($B98="(todas)","*",$B98))</f>
        <v/>
      </c>
      <c r="F98" s="350">
        <f>SUMIFS(TabelaResultadosAcademicos[Reprovados outros],TabelaResultadosAcademicos[Período],$H$4,TabelaResultadosAcademicos[Curso],IF($A98="(todos)","*",$A98),TabelaResultadosAcademicos[Disciplina],IF($B98="(todas)","*",$B98))</f>
        <v/>
      </c>
      <c r="G98" s="349">
        <f>IF(OR($A98="",$B98=""),"",IFERROR(C98/(C98+SUMIFS(TabelaResultadosAcademicos[Reprovados],TabelaResultadosAcademicos[Período],$H$4,TabelaResultadosAcademicos[Curso],IF($A98="(todos)","*",$A98),TabelaResultadosAcademicos[Disciplina],IF($B98="(todas)","*",$B98)))*100,""))</f>
        <v/>
      </c>
      <c r="H98" s="351">
        <f>IFERROR((SUMIFS(TabelaResultadosAcademicos[Soma das notas],TabelaResultadosAcademicos[Período],$H$4,TabelaResultadosAcademicos[Curso],IF($A98="(todos)","*",$A98),TabelaResultadosAcademicos[Disciplina],IF($B98="(todas)","*",$B98)))/(SUMIFS(TabelaResultadosAcademicos[Quantidade de notas],TabelaResultadosAcademicos[Período],$H$4,TabelaResultadosAcademicos[Curso],IF($A98="(todos)","*",$A98),TabelaResultadosAcademicos[Disciplina],IF($B98="(todas)","*",$B98))),"")</f>
        <v/>
      </c>
      <c r="I98" s="347">
        <f>IF(OR($A98="",$B98=""),"",SUMIFS(TabelaResultadosAcademicos[Total],TabelaResultadosAcademicos[Período],$H$4,TabelaResultadosAcademicos[Curso],IF($A98="(todos)","*",$A98),TabelaResultadosAcademicos[Disciplina],IF($B98="(todas)","*",$B98)))</f>
        <v/>
      </c>
      <c r="J98" s="343">
        <f>$H$4</f>
        <v/>
      </c>
    </row>
    <row r="99" ht="15" customHeight="1" s="131">
      <c r="A99" s="340">
        <f>DISCIPLINAS!A72</f>
        <v/>
      </c>
      <c r="B99" s="340">
        <f>DISCIPLINAS!B72</f>
        <v/>
      </c>
      <c r="C99" s="350">
        <f>SUMIFS(TabelaResultadosAcademicos[Aprovados],TabelaResultadosAcademicos[Período],$H$4,TabelaResultadosAcademicos[Curso],IF($A99="(todos)","*",$A99),TabelaResultadosAcademicos[Disciplina],IF($B99="(todas)","*",$B99))</f>
        <v/>
      </c>
      <c r="D99" s="350">
        <f>SUMIFS(TabelaResultadosAcademicos[Reprovados por nota],TabelaResultadosAcademicos[Período],$H$4,TabelaResultadosAcademicos[Curso],IF($A99="(todos)","*",$A99),TabelaResultadosAcademicos[Disciplina],IF($B99="(todas)","*",$B99))</f>
        <v/>
      </c>
      <c r="E99" s="350">
        <f>SUMIFS(TabelaResultadosAcademicos[Reprovados por falta],TabelaResultadosAcademicos[Período],$H$4,TabelaResultadosAcademicos[Curso],IF($A99="(todos)","*",$A99),TabelaResultadosAcademicos[Disciplina],IF($B99="(todas)","*",$B99))</f>
        <v/>
      </c>
      <c r="F99" s="350">
        <f>SUMIFS(TabelaResultadosAcademicos[Reprovados outros],TabelaResultadosAcademicos[Período],$H$4,TabelaResultadosAcademicos[Curso],IF($A99="(todos)","*",$A99),TabelaResultadosAcademicos[Disciplina],IF($B99="(todas)","*",$B99))</f>
        <v/>
      </c>
      <c r="G99" s="349">
        <f>IF(OR($A99="",$B99=""),"",IFERROR(C99/(C99+SUMIFS(TabelaResultadosAcademicos[Reprovados],TabelaResultadosAcademicos[Período],$H$4,TabelaResultadosAcademicos[Curso],IF($A99="(todos)","*",$A99),TabelaResultadosAcademicos[Disciplina],IF($B99="(todas)","*",$B99)))*100,""))</f>
        <v/>
      </c>
      <c r="H99" s="351">
        <f>IFERROR((SUMIFS(TabelaResultadosAcademicos[Soma das notas],TabelaResultadosAcademicos[Período],$H$4,TabelaResultadosAcademicos[Curso],IF($A99="(todos)","*",$A99),TabelaResultadosAcademicos[Disciplina],IF($B99="(todas)","*",$B99)))/(SUMIFS(TabelaResultadosAcademicos[Quantidade de notas],TabelaResultadosAcademicos[Período],$H$4,TabelaResultadosAcademicos[Curso],IF($A99="(todos)","*",$A99),TabelaResultadosAcademicos[Disciplina],IF($B99="(todas)","*",$B99))),"")</f>
        <v/>
      </c>
      <c r="I99" s="347">
        <f>IF(OR($A99="",$B99=""),"",SUMIFS(TabelaResultadosAcademicos[Total],TabelaResultadosAcademicos[Período],$H$4,TabelaResultadosAcademicos[Curso],IF($A99="(todos)","*",$A99),TabelaResultadosAcademicos[Disciplina],IF($B99="(todas)","*",$B99)))</f>
        <v/>
      </c>
      <c r="J99" s="343">
        <f>$H$4</f>
        <v/>
      </c>
    </row>
    <row r="100">
      <c r="A100" s="343">
        <f>DISCIPLINAS!A73</f>
        <v/>
      </c>
      <c r="B100" s="343">
        <f>DISCIPLINAS!B73</f>
        <v/>
      </c>
      <c r="C100" s="347">
        <f>SUMIFS(TabelaResultadosAcademicos[Aprovados],TabelaResultadosAcademicos[Período],$H$4,TabelaResultadosAcademicos[Curso],IF($A100="(todos)","*",$A100),TabelaResultadosAcademicos[Disciplina],IF($B100="(todas)","*",$B100))</f>
        <v/>
      </c>
      <c r="D100" s="347">
        <f>SUMIFS(TabelaResultadosAcademicos[Reprovados por nota],TabelaResultadosAcademicos[Período],$H$4,TabelaResultadosAcademicos[Curso],IF($A100="(todos)","*",$A100),TabelaResultadosAcademicos[Disciplina],IF($B100="(todas)","*",$B100))</f>
        <v/>
      </c>
      <c r="E100" s="347">
        <f>SUMIFS(TabelaResultadosAcademicos[Reprovados por falta],TabelaResultadosAcademicos[Período],$H$4,TabelaResultadosAcademicos[Curso],IF($A100="(todos)","*",$A100),TabelaResultadosAcademicos[Disciplina],IF($B100="(todas)","*",$B100))</f>
        <v/>
      </c>
      <c r="F100" s="347">
        <f>SUMIFS(TabelaResultadosAcademicos[Reprovados outros],TabelaResultadosAcademicos[Período],$H$4,TabelaResultadosAcademicos[Curso],IF($A100="(todos)","*",$A100),TabelaResultadosAcademicos[Disciplina],IF($B100="(todas)","*",$B100))</f>
        <v/>
      </c>
      <c r="G100" s="354">
        <f>IF(OR($A100="",$B100=""),"",IFERROR(C100/(C100+SUMIFS(TabelaResultadosAcademicos[Reprovados],TabelaResultadosAcademicos[Período],$H$4,TabelaResultadosAcademicos[Curso],IF($A100="(todos)","*",$A100),TabelaResultadosAcademicos[Disciplina],IF($B100="(todas)","*",$B100)))*100,""))</f>
        <v/>
      </c>
      <c r="H100" s="351">
        <f>IFERROR((SUMIFS(TabelaResultadosAcademicos[Soma das notas],TabelaResultadosAcademicos[Período],$H$4,TabelaResultadosAcademicos[Curso],IF($A100="(todos)","*",$A100),TabelaResultadosAcademicos[Disciplina],IF($B100="(todas)","*",$B100)))/(SUMIFS(TabelaResultadosAcademicos[Quantidade de notas],TabelaResultadosAcademicos[Período],$H$4,TabelaResultadosAcademicos[Curso],IF($A100="(todos)","*",$A100),TabelaResultadosAcademicos[Disciplina],IF($B100="(todas)","*",$B100))),"")</f>
        <v/>
      </c>
      <c r="I100" s="347">
        <f>IF(OR($A100="",$B100=""),"",SUMIFS(TabelaResultadosAcademicos[Total],TabelaResultadosAcademicos[Período],$H$4,TabelaResultadosAcademicos[Curso],IF($A100="(todos)","*",$A100),TabelaResultadosAcademicos[Disciplina],IF($B100="(todas)","*",$B100)))</f>
        <v/>
      </c>
      <c r="J100" s="343">
        <f>$H$4</f>
        <v/>
      </c>
    </row>
    <row r="101" ht="15" customHeight="1" s="131">
      <c r="A101" s="342">
        <f>DISCIPLINAS!A74</f>
        <v/>
      </c>
      <c r="B101" s="343">
        <f>DISCIPLINAS!B74</f>
        <v/>
      </c>
      <c r="C101" s="347">
        <f>SUMIFS(TabelaResultadosAcademicos[Aprovados],TabelaResultadosAcademicos[Período],$H$4,TabelaResultadosAcademicos[Curso],IF($A101="(todos)","*",$A101),TabelaResultadosAcademicos[Disciplina],IF($B101="(todas)","*",$B101))</f>
        <v/>
      </c>
      <c r="D101" s="347">
        <f>SUMIFS(TabelaResultadosAcademicos[Reprovados por nota],TabelaResultadosAcademicos[Período],$H$4,TabelaResultadosAcademicos[Curso],IF($A101="(todos)","*",$A101),TabelaResultadosAcademicos[Disciplina],IF($B101="(todas)","*",$B101))</f>
        <v/>
      </c>
      <c r="E101" s="347">
        <f>SUMIFS(TabelaResultadosAcademicos[Reprovados por falta],TabelaResultadosAcademicos[Período],$H$4,TabelaResultadosAcademicos[Curso],IF($A101="(todos)","*",$A101),TabelaResultadosAcademicos[Disciplina],IF($B101="(todas)","*",$B101))</f>
        <v/>
      </c>
      <c r="F101" s="347">
        <f>SUMIFS(TabelaResultadosAcademicos[Reprovados outros],TabelaResultadosAcademicos[Período],$H$4,TabelaResultadosAcademicos[Curso],IF($A101="(todos)","*",$A101),TabelaResultadosAcademicos[Disciplina],IF($B101="(todas)","*",$B101))</f>
        <v/>
      </c>
      <c r="G101" s="354">
        <f>IF(OR($A101="",$B101=""),"",IFERROR(C101/(C101+SUMIFS(TabelaResultadosAcademicos[Reprovados],TabelaResultadosAcademicos[Período],$H$4,TabelaResultadosAcademicos[Curso],IF($A101="(todos)","*",$A101),TabelaResultadosAcademicos[Disciplina],IF($B101="(todas)","*",$B101)))*100,""))</f>
        <v/>
      </c>
      <c r="H101" s="351">
        <f>IFERROR((SUMIFS(TabelaResultadosAcademicos[Soma das notas],TabelaResultadosAcademicos[Período],$H$4,TabelaResultadosAcademicos[Curso],IF($A101="(todos)","*",$A101),TabelaResultadosAcademicos[Disciplina],IF($B101="(todas)","*",$B101)))/(SUMIFS(TabelaResultadosAcademicos[Quantidade de notas],TabelaResultadosAcademicos[Período],$H$4,TabelaResultadosAcademicos[Curso],IF($A101="(todos)","*",$A101),TabelaResultadosAcademicos[Disciplina],IF($B101="(todas)","*",$B101))),"")</f>
        <v/>
      </c>
      <c r="I101" s="347">
        <f>IF(OR($A101="",$B101=""),"",SUMIFS(TabelaResultadosAcademicos[Total],TabelaResultadosAcademicos[Período],$H$4,TabelaResultadosAcademicos[Curso],IF($A101="(todos)","*",$A101),TabelaResultadosAcademicos[Disciplina],IF($B101="(todas)","*",$B101)))</f>
        <v/>
      </c>
      <c r="J101" s="343">
        <f>$H$4</f>
        <v/>
      </c>
    </row>
    <row r="102" ht="33.75" customHeight="1" s="131">
      <c r="A102" s="340">
        <f>DISCIPLINAS!A75</f>
        <v/>
      </c>
      <c r="B102" s="340">
        <f>DISCIPLINAS!B75</f>
        <v/>
      </c>
      <c r="C102" s="350">
        <f>SUMIFS(TabelaResultadosAcademicos[Aprovados],TabelaResultadosAcademicos[Período],$H$4,TabelaResultadosAcademicos[Curso],IF($A102="(todos)","*",$A102),TabelaResultadosAcademicos[Disciplina],IF($B102="(todas)","*",$B102))</f>
        <v/>
      </c>
      <c r="D102" s="350">
        <f>SUMIFS(TabelaResultadosAcademicos[Reprovados por nota],TabelaResultadosAcademicos[Período],$H$4,TabelaResultadosAcademicos[Curso],IF($A102="(todos)","*",$A102),TabelaResultadosAcademicos[Disciplina],IF($B102="(todas)","*",$B102))</f>
        <v/>
      </c>
      <c r="E102" s="350">
        <f>SUMIFS(TabelaResultadosAcademicos[Reprovados por falta],TabelaResultadosAcademicos[Período],$H$4,TabelaResultadosAcademicos[Curso],IF($A102="(todos)","*",$A102),TabelaResultadosAcademicos[Disciplina],IF($B102="(todas)","*",$B102))</f>
        <v/>
      </c>
      <c r="F102" s="350">
        <f>SUMIFS(TabelaResultadosAcademicos[Reprovados outros],TabelaResultadosAcademicos[Período],$H$4,TabelaResultadosAcademicos[Curso],IF($A102="(todos)","*",$A102),TabelaResultadosAcademicos[Disciplina],IF($B102="(todas)","*",$B102))</f>
        <v/>
      </c>
      <c r="G102" s="349">
        <f>IF(OR($A102="",$B102=""),"",IFERROR(C102/(C102+SUMIFS(TabelaResultadosAcademicos[Reprovados],TabelaResultadosAcademicos[Período],$H$4,TabelaResultadosAcademicos[Curso],IF($A102="(todos)","*",$A102),TabelaResultadosAcademicos[Disciplina],IF($B102="(todas)","*",$B102)))*100,""))</f>
        <v/>
      </c>
      <c r="H102" s="348">
        <f>IFERROR((SUMIFS(TabelaResultadosAcademicos[Soma das notas],TabelaResultadosAcademicos[Período],$H$4,TabelaResultadosAcademicos[Curso],IF($A102="(todos)","*",$A102),TabelaResultadosAcademicos[Disciplina],IF($B102="(todas)","*",$B102)))/(SUMIFS(TabelaResultadosAcademicos[Quantidade de notas],TabelaResultadosAcademicos[Período],$H$4,TabelaResultadosAcademicos[Curso],IF($A102="(todos)","*",$A102),TabelaResultadosAcademicos[Disciplina],IF($B102="(todas)","*",$B102))),"")</f>
        <v/>
      </c>
      <c r="I102" s="350">
        <f>IF(OR($A102="",$B102=""),"",SUMIFS(TabelaResultadosAcademicos[Total],TabelaResultadosAcademicos[Período],$H$4,TabelaResultadosAcademicos[Curso],IF($A102="(todos)","*",$A102),TabelaResultadosAcademicos[Disciplina],IF($B102="(todas)","*",$B102)))</f>
        <v/>
      </c>
      <c r="J102" s="340">
        <f>$H$4</f>
        <v/>
      </c>
      <c r="K102" s="199" t="n"/>
      <c r="L102" s="199" t="n"/>
      <c r="M102" s="199" t="n"/>
      <c r="N102" s="199" t="n"/>
      <c r="O102" s="199" t="n"/>
    </row>
    <row r="103" ht="15" customHeight="1" s="131">
      <c r="A103" s="356">
        <f>DISCIPLINAS!A76</f>
        <v/>
      </c>
      <c r="B103" s="358">
        <f>DISCIPLINAS!B76</f>
        <v/>
      </c>
      <c r="C103" s="350">
        <f>SUMIFS(TabelaResultadosAcademicos[Aprovados],TabelaResultadosAcademicos[Período],$H$4,TabelaResultadosAcademicos[Curso],IF($A103="(todos)","*",$A103),TabelaResultadosAcademicos[Disciplina],IF($B103="(todas)","*",$B103))</f>
        <v/>
      </c>
      <c r="D103" s="350">
        <f>SUMIFS(TabelaResultadosAcademicos[Reprovados por nota],TabelaResultadosAcademicos[Período],$H$4,TabelaResultadosAcademicos[Curso],IF($A103="(todos)","*",$A103),TabelaResultadosAcademicos[Disciplina],IF($B103="(todas)","*",$B103))</f>
        <v/>
      </c>
      <c r="E103" s="350">
        <f>SUMIFS(TabelaResultadosAcademicos[Reprovados por falta],TabelaResultadosAcademicos[Período],$H$4,TabelaResultadosAcademicos[Curso],IF($A103="(todos)","*",$A103),TabelaResultadosAcademicos[Disciplina],IF($B103="(todas)","*",$B103))</f>
        <v/>
      </c>
      <c r="F103" s="350">
        <f>SUMIFS(TabelaResultadosAcademicos[Reprovados outros],TabelaResultadosAcademicos[Período],$H$4,TabelaResultadosAcademicos[Curso],IF($A103="(todos)","*",$A103),TabelaResultadosAcademicos[Disciplina],IF($B103="(todas)","*",$B103))</f>
        <v/>
      </c>
      <c r="G103" s="349">
        <f>IF(OR($A103="",$B103=""),"",IFERROR(C103/(C103+SUMIFS(TabelaResultadosAcademicos[Reprovados],TabelaResultadosAcademicos[Período],$H$4,TabelaResultadosAcademicos[Curso],IF($A103="(todos)","*",$A103),TabelaResultadosAcademicos[Disciplina],IF($B103="(todas)","*",$B103)))*100,""))</f>
        <v/>
      </c>
      <c r="H103" s="348">
        <f>IFERROR((SUMIFS(TabelaResultadosAcademicos[Soma das notas],TabelaResultadosAcademicos[Período],$H$4,TabelaResultadosAcademicos[Curso],IF($A103="(todos)","*",$A103),TabelaResultadosAcademicos[Disciplina],IF($B103="(todas)","*",$B103)))/(SUMIFS(TabelaResultadosAcademicos[Quantidade de notas],TabelaResultadosAcademicos[Período],$H$4,TabelaResultadosAcademicos[Curso],IF($A103="(todos)","*",$A103),TabelaResultadosAcademicos[Disciplina],IF($B103="(todas)","*",$B103))),"")</f>
        <v/>
      </c>
      <c r="I103" s="350">
        <f>IF(OR($A103="",$B103=""),"",SUMIFS(TabelaResultadosAcademicos[Total],TabelaResultadosAcademicos[Período],$H$4,TabelaResultadosAcademicos[Curso],IF($A103="(todos)","*",$A103),TabelaResultadosAcademicos[Disciplina],IF($B103="(todas)","*",$B103)))</f>
        <v/>
      </c>
      <c r="J103" s="340">
        <f>$H$4</f>
        <v/>
      </c>
      <c r="K103" s="163" t="n"/>
      <c r="L103" s="165" t="n"/>
      <c r="M103" s="165" t="n"/>
      <c r="N103" s="243" t="n"/>
      <c r="O103" s="243" t="n"/>
    </row>
    <row r="104">
      <c r="A104" s="343">
        <f>DISCIPLINAS!A77</f>
        <v/>
      </c>
      <c r="B104" s="343">
        <f>DISCIPLINAS!B77</f>
        <v/>
      </c>
      <c r="C104" s="347">
        <f>SUMIFS(TabelaResultadosAcademicos[Aprovados],TabelaResultadosAcademicos[Período],$H$4,TabelaResultadosAcademicos[Curso],IF($A104="(todos)","*",$A104),TabelaResultadosAcademicos[Disciplina],IF($B104="(todas)","*",$B104))</f>
        <v/>
      </c>
      <c r="D104" s="347">
        <f>SUMIFS(TabelaResultadosAcademicos[Reprovados por nota],TabelaResultadosAcademicos[Período],$H$4,TabelaResultadosAcademicos[Curso],IF($A104="(todos)","*",$A104),TabelaResultadosAcademicos[Disciplina],IF($B104="(todas)","*",$B104))</f>
        <v/>
      </c>
      <c r="E104" s="347">
        <f>SUMIFS(TabelaResultadosAcademicos[Reprovados por falta],TabelaResultadosAcademicos[Período],$H$4,TabelaResultadosAcademicos[Curso],IF($A104="(todos)","*",$A104),TabelaResultadosAcademicos[Disciplina],IF($B104="(todas)","*",$B104))</f>
        <v/>
      </c>
      <c r="F104" s="347">
        <f>SUMIFS(TabelaResultadosAcademicos[Reprovados outros],TabelaResultadosAcademicos[Período],$H$4,TabelaResultadosAcademicos[Curso],IF($A104="(todos)","*",$A104),TabelaResultadosAcademicos[Disciplina],IF($B104="(todas)","*",$B104))</f>
        <v/>
      </c>
      <c r="G104" s="354">
        <f>IF(OR($A104="",$B104=""),"",IFERROR(C104/(C104+SUMIFS(TabelaResultadosAcademicos[Reprovados],TabelaResultadosAcademicos[Período],$H$4,TabelaResultadosAcademicos[Curso],IF($A104="(todos)","*",$A104),TabelaResultadosAcademicos[Disciplina],IF($B104="(todas)","*",$B104)))*100,""))</f>
        <v/>
      </c>
      <c r="H104" s="351">
        <f>IFERROR((SUMIFS(TabelaResultadosAcademicos[Soma das notas],TabelaResultadosAcademicos[Período],$H$4,TabelaResultadosAcademicos[Curso],IF($A104="(todos)","*",$A104),TabelaResultadosAcademicos[Disciplina],IF($B104="(todas)","*",$B104)))/(SUMIFS(TabelaResultadosAcademicos[Quantidade de notas],TabelaResultadosAcademicos[Período],$H$4,TabelaResultadosAcademicos[Curso],IF($A104="(todos)","*",$A104),TabelaResultadosAcademicos[Disciplina],IF($B104="(todas)","*",$B104))),"")</f>
        <v/>
      </c>
      <c r="I104" s="347">
        <f>IF(OR($A104="",$B104=""),"",SUMIFS(TabelaResultadosAcademicos[Total],TabelaResultadosAcademicos[Período],$H$4,TabelaResultadosAcademicos[Curso],IF($A104="(todos)","*",$A104),TabelaResultadosAcademicos[Disciplina],IF($B104="(todas)","*",$B104)))</f>
        <v/>
      </c>
      <c r="J104" s="343">
        <f>$H$4</f>
        <v/>
      </c>
    </row>
    <row r="105" ht="23.25" customHeight="1" s="131">
      <c r="A105" s="342">
        <f>DISCIPLINAS!A78</f>
        <v/>
      </c>
      <c r="B105" s="343">
        <f>DISCIPLINAS!B78</f>
        <v/>
      </c>
      <c r="C105" s="347">
        <f>SUMIFS(TabelaResultadosAcademicos[Aprovados],TabelaResultadosAcademicos[Período],$H$4,TabelaResultadosAcademicos[Curso],IF($A105="(todos)","*",$A105),TabelaResultadosAcademicos[Disciplina],IF($B105="(todas)","*",$B105))</f>
        <v/>
      </c>
      <c r="D105" s="347">
        <f>SUMIFS(TabelaResultadosAcademicos[Reprovados por nota],TabelaResultadosAcademicos[Período],$H$4,TabelaResultadosAcademicos[Curso],IF($A105="(todos)","*",$A105),TabelaResultadosAcademicos[Disciplina],IF($B105="(todas)","*",$B105))</f>
        <v/>
      </c>
      <c r="E105" s="347">
        <f>SUMIFS(TabelaResultadosAcademicos[Reprovados por falta],TabelaResultadosAcademicos[Período],$H$4,TabelaResultadosAcademicos[Curso],IF($A105="(todos)","*",$A105),TabelaResultadosAcademicos[Disciplina],IF($B105="(todas)","*",$B105))</f>
        <v/>
      </c>
      <c r="F105" s="347">
        <f>SUMIFS(TabelaResultadosAcademicos[Reprovados outros],TabelaResultadosAcademicos[Período],$H$4,TabelaResultadosAcademicos[Curso],IF($A105="(todos)","*",$A105),TabelaResultadosAcademicos[Disciplina],IF($B105="(todas)","*",$B105))</f>
        <v/>
      </c>
      <c r="G105" s="354">
        <f>IF(OR($A105="",$B105=""),"",IFERROR(C105/(C105+SUMIFS(TabelaResultadosAcademicos[Reprovados],TabelaResultadosAcademicos[Período],$H$4,TabelaResultadosAcademicos[Curso],IF($A105="(todos)","*",$A105),TabelaResultadosAcademicos[Disciplina],IF($B105="(todas)","*",$B105)))*100,""))</f>
        <v/>
      </c>
      <c r="H105" s="351">
        <f>IFERROR((SUMIFS(TabelaResultadosAcademicos[Soma das notas],TabelaResultadosAcademicos[Período],$H$4,TabelaResultadosAcademicos[Curso],IF($A105="(todos)","*",$A105),TabelaResultadosAcademicos[Disciplina],IF($B105="(todas)","*",$B105)))/(SUMIFS(TabelaResultadosAcademicos[Quantidade de notas],TabelaResultadosAcademicos[Período],$H$4,TabelaResultadosAcademicos[Curso],IF($A105="(todos)","*",$A105),TabelaResultadosAcademicos[Disciplina],IF($B105="(todas)","*",$B105))),"")</f>
        <v/>
      </c>
      <c r="I105" s="347">
        <f>IF(OR($A105="",$B105=""),"",SUMIFS(TabelaResultadosAcademicos[Total],TabelaResultadosAcademicos[Período],$H$4,TabelaResultadosAcademicos[Curso],IF($A105="(todos)","*",$A105),TabelaResultadosAcademicos[Disciplina],IF($B105="(todas)","*",$B105)))</f>
        <v/>
      </c>
      <c r="J105" s="343">
        <f>$H$4</f>
        <v/>
      </c>
    </row>
    <row r="106" ht="33.75" customHeight="1" s="131">
      <c r="A106" s="340">
        <f>DISCIPLINAS!A79</f>
        <v/>
      </c>
      <c r="B106" s="340">
        <f>DISCIPLINAS!B79</f>
        <v/>
      </c>
      <c r="C106" s="350">
        <f>SUMIFS(TabelaResultadosAcademicos[Aprovados],TabelaResultadosAcademicos[Período],$H$4,TabelaResultadosAcademicos[Curso],IF($A106="(todos)","*",$A106),TabelaResultadosAcademicos[Disciplina],IF($B106="(todas)","*",$B106))</f>
        <v/>
      </c>
      <c r="D106" s="350">
        <f>SUMIFS(TabelaResultadosAcademicos[Reprovados por nota],TabelaResultadosAcademicos[Período],$H$4,TabelaResultadosAcademicos[Curso],IF($A106="(todos)","*",$A106),TabelaResultadosAcademicos[Disciplina],IF($B106="(todas)","*",$B106))</f>
        <v/>
      </c>
      <c r="E106" s="350">
        <f>SUMIFS(TabelaResultadosAcademicos[Reprovados por falta],TabelaResultadosAcademicos[Período],$H$4,TabelaResultadosAcademicos[Curso],IF($A106="(todos)","*",$A106),TabelaResultadosAcademicos[Disciplina],IF($B106="(todas)","*",$B106))</f>
        <v/>
      </c>
      <c r="F106" s="350">
        <f>SUMIFS(TabelaResultadosAcademicos[Reprovados outros],TabelaResultadosAcademicos[Período],$H$4,TabelaResultadosAcademicos[Curso],IF($A106="(todos)","*",$A106),TabelaResultadosAcademicos[Disciplina],IF($B106="(todas)","*",$B106))</f>
        <v/>
      </c>
      <c r="G106" s="349">
        <f>IF(OR($A106="",$B106=""),"",IFERROR(C106/(C106+SUMIFS(TabelaResultadosAcademicos[Reprovados],TabelaResultadosAcademicos[Período],$H$4,TabelaResultadosAcademicos[Curso],IF($A106="(todos)","*",$A106),TabelaResultadosAcademicos[Disciplina],IF($B106="(todas)","*",$B106)))*100,""))</f>
        <v/>
      </c>
      <c r="H106" s="348">
        <f>IFERROR((SUMIFS(TabelaResultadosAcademicos[Soma das notas],TabelaResultadosAcademicos[Período],$H$4,TabelaResultadosAcademicos[Curso],IF($A106="(todos)","*",$A106),TabelaResultadosAcademicos[Disciplina],IF($B106="(todas)","*",$B106)))/(SUMIFS(TabelaResultadosAcademicos[Quantidade de notas],TabelaResultadosAcademicos[Período],$H$4,TabelaResultadosAcademicos[Curso],IF($A106="(todos)","*",$A106),TabelaResultadosAcademicos[Disciplina],IF($B106="(todas)","*",$B106))),"")</f>
        <v/>
      </c>
      <c r="I106" s="350">
        <f>IF(OR($A106="",$B106=""),"",SUMIFS(TabelaResultadosAcademicos[Total],TabelaResultadosAcademicos[Período],$H$4,TabelaResultadosAcademicos[Curso],IF($A106="(todos)","*",$A106),TabelaResultadosAcademicos[Disciplina],IF($B106="(todas)","*",$B106)))</f>
        <v/>
      </c>
      <c r="J106" s="343">
        <f>$H$4</f>
        <v/>
      </c>
    </row>
    <row r="107" ht="15" customHeight="1" s="131">
      <c r="A107" s="356">
        <f>DISCIPLINAS!A80</f>
        <v/>
      </c>
      <c r="B107" s="357">
        <f>DISCIPLINAS!B80</f>
        <v/>
      </c>
      <c r="C107" s="350">
        <f>SUMIFS(TabelaResultadosAcademicos[Aprovados],TabelaResultadosAcademicos[Período],$H$4,TabelaResultadosAcademicos[Curso],IF($A107="(todos)","*",$A107),TabelaResultadosAcademicos[Disciplina],IF($B107="(todas)","*",$B107))</f>
        <v/>
      </c>
      <c r="D107" s="350">
        <f>SUMIFS(TabelaResultadosAcademicos[Reprovados por nota],TabelaResultadosAcademicos[Período],$H$4,TabelaResultadosAcademicos[Curso],IF($A107="(todos)","*",$A107),TabelaResultadosAcademicos[Disciplina],IF($B107="(todas)","*",$B107))</f>
        <v/>
      </c>
      <c r="E107" s="350">
        <f>SUMIFS(TabelaResultadosAcademicos[Reprovados por falta],TabelaResultadosAcademicos[Período],$H$4,TabelaResultadosAcademicos[Curso],IF($A107="(todos)","*",$A107),TabelaResultadosAcademicos[Disciplina],IF($B107="(todas)","*",$B107))</f>
        <v/>
      </c>
      <c r="F107" s="350">
        <f>SUMIFS(TabelaResultadosAcademicos[Reprovados outros],TabelaResultadosAcademicos[Período],$H$4,TabelaResultadosAcademicos[Curso],IF($A107="(todos)","*",$A107),TabelaResultadosAcademicos[Disciplina],IF($B107="(todas)","*",$B107))</f>
        <v/>
      </c>
      <c r="G107" s="349">
        <f>IF(OR($A107="",$B107=""),"",IFERROR(C107/(C107+SUMIFS(TabelaResultadosAcademicos[Reprovados],TabelaResultadosAcademicos[Período],$H$4,TabelaResultadosAcademicos[Curso],IF($A107="(todos)","*",$A107),TabelaResultadosAcademicos[Disciplina],IF($B107="(todas)","*",$B107)))*100,""))</f>
        <v/>
      </c>
      <c r="H107" s="348">
        <f>IFERROR((SUMIFS(TabelaResultadosAcademicos[Soma das notas],TabelaResultadosAcademicos[Período],$H$4,TabelaResultadosAcademicos[Curso],IF($A107="(todos)","*",$A107),TabelaResultadosAcademicos[Disciplina],IF($B107="(todas)","*",$B107)))/(SUMIFS(TabelaResultadosAcademicos[Quantidade de notas],TabelaResultadosAcademicos[Período],$H$4,TabelaResultadosAcademicos[Curso],IF($A107="(todos)","*",$A107),TabelaResultadosAcademicos[Disciplina],IF($B107="(todas)","*",$B107))),"")</f>
        <v/>
      </c>
      <c r="I107" s="350">
        <f>IF(OR($A107="",$B107=""),"",SUMIFS(TabelaResultadosAcademicos[Total],TabelaResultadosAcademicos[Período],$H$4,TabelaResultadosAcademicos[Curso],IF($A107="(todos)","*",$A107),TabelaResultadosAcademicos[Disciplina],IF($B107="(todas)","*",$B107)))</f>
        <v/>
      </c>
      <c r="J107" s="343">
        <f>$H$4</f>
        <v/>
      </c>
    </row>
    <row r="108" ht="15" customHeight="1" s="131">
      <c r="A108" s="356">
        <f>DISCIPLINAS!A81</f>
        <v/>
      </c>
      <c r="B108" s="357">
        <f>DISCIPLINAS!B81</f>
        <v/>
      </c>
      <c r="C108" s="350">
        <f>SUMIFS(TabelaResultadosAcademicos[Aprovados],TabelaResultadosAcademicos[Período],$H$4,TabelaResultadosAcademicos[Curso],IF($A108="(todos)","*",$A108),TabelaResultadosAcademicos[Disciplina],IF($B108="(todas)","*",$B108))</f>
        <v/>
      </c>
      <c r="D108" s="350">
        <f>SUMIFS(TabelaResultadosAcademicos[Reprovados por nota],TabelaResultadosAcademicos[Período],$H$4,TabelaResultadosAcademicos[Curso],IF($A108="(todos)","*",$A108),TabelaResultadosAcademicos[Disciplina],IF($B108="(todas)","*",$B108))</f>
        <v/>
      </c>
      <c r="E108" s="350">
        <f>SUMIFS(TabelaResultadosAcademicos[Reprovados por falta],TabelaResultadosAcademicos[Período],$H$4,TabelaResultadosAcademicos[Curso],IF($A108="(todos)","*",$A108),TabelaResultadosAcademicos[Disciplina],IF($B108="(todas)","*",$B108))</f>
        <v/>
      </c>
      <c r="F108" s="350">
        <f>SUMIFS(TabelaResultadosAcademicos[Reprovados outros],TabelaResultadosAcademicos[Período],$H$4,TabelaResultadosAcademicos[Curso],IF($A108="(todos)","*",$A108),TabelaResultadosAcademicos[Disciplina],IF($B108="(todas)","*",$B108))</f>
        <v/>
      </c>
      <c r="G108" s="349">
        <f>IF(OR($A108="",$B108=""),"",IFERROR(C108/(C108+SUMIFS(TabelaResultadosAcademicos[Reprovados],TabelaResultadosAcademicos[Período],$H$4,TabelaResultadosAcademicos[Curso],IF($A108="(todos)","*",$A108),TabelaResultadosAcademicos[Disciplina],IF($B108="(todas)","*",$B108)))*100,""))</f>
        <v/>
      </c>
      <c r="H108" s="348">
        <f>IFERROR((SUMIFS(TabelaResultadosAcademicos[Soma das notas],TabelaResultadosAcademicos[Período],$H$4,TabelaResultadosAcademicos[Curso],IF($A108="(todos)","*",$A108),TabelaResultadosAcademicos[Disciplina],IF($B108="(todas)","*",$B108)))/(SUMIFS(TabelaResultadosAcademicos[Quantidade de notas],TabelaResultadosAcademicos[Período],$H$4,TabelaResultadosAcademicos[Curso],IF($A108="(todos)","*",$A108),TabelaResultadosAcademicos[Disciplina],IF($B108="(todas)","*",$B108))),"")</f>
        <v/>
      </c>
      <c r="I108" s="350">
        <f>IF(OR($A108="",$B108=""),"",SUMIFS(TabelaResultadosAcademicos[Total],TabelaResultadosAcademicos[Período],$H$4,TabelaResultadosAcademicos[Curso],IF($A108="(todos)","*",$A108),TabelaResultadosAcademicos[Disciplina],IF($B108="(todas)","*",$B108)))</f>
        <v/>
      </c>
      <c r="J108" s="343">
        <f>$H$4</f>
        <v/>
      </c>
    </row>
    <row r="109" ht="15" customHeight="1" s="131">
      <c r="A109" s="356">
        <f>DISCIPLINAS!A82</f>
        <v/>
      </c>
      <c r="B109" s="357">
        <f>DISCIPLINAS!B82</f>
        <v/>
      </c>
      <c r="C109" s="350">
        <f>SUMIFS(TabelaResultadosAcademicos[Aprovados],TabelaResultadosAcademicos[Período],$H$4,TabelaResultadosAcademicos[Curso],IF($A109="(todos)","*",$A109),TabelaResultadosAcademicos[Disciplina],IF($B109="(todas)","*",$B109))</f>
        <v/>
      </c>
      <c r="D109" s="350">
        <f>SUMIFS(TabelaResultadosAcademicos[Reprovados por nota],TabelaResultadosAcademicos[Período],$H$4,TabelaResultadosAcademicos[Curso],IF($A109="(todos)","*",$A109),TabelaResultadosAcademicos[Disciplina],IF($B109="(todas)","*",$B109))</f>
        <v/>
      </c>
      <c r="E109" s="350">
        <f>SUMIFS(TabelaResultadosAcademicos[Reprovados por falta],TabelaResultadosAcademicos[Período],$H$4,TabelaResultadosAcademicos[Curso],IF($A109="(todos)","*",$A109),TabelaResultadosAcademicos[Disciplina],IF($B109="(todas)","*",$B109))</f>
        <v/>
      </c>
      <c r="F109" s="350">
        <f>SUMIFS(TabelaResultadosAcademicos[Reprovados outros],TabelaResultadosAcademicos[Período],$H$4,TabelaResultadosAcademicos[Curso],IF($A109="(todos)","*",$A109),TabelaResultadosAcademicos[Disciplina],IF($B109="(todas)","*",$B109))</f>
        <v/>
      </c>
      <c r="G109" s="349">
        <f>IF(OR($A109="",$B109=""),"",IFERROR(C109/(C109+SUMIFS(TabelaResultadosAcademicos[Reprovados],TabelaResultadosAcademicos[Período],$H$4,TabelaResultadosAcademicos[Curso],IF($A109="(todos)","*",$A109),TabelaResultadosAcademicos[Disciplina],IF($B109="(todas)","*",$B109)))*100,""))</f>
        <v/>
      </c>
      <c r="H109" s="348">
        <f>IFERROR((SUMIFS(TabelaResultadosAcademicos[Soma das notas],TabelaResultadosAcademicos[Período],$H$4,TabelaResultadosAcademicos[Curso],IF($A109="(todos)","*",$A109),TabelaResultadosAcademicos[Disciplina],IF($B109="(todas)","*",$B109)))/(SUMIFS(TabelaResultadosAcademicos[Quantidade de notas],TabelaResultadosAcademicos[Período],$H$4,TabelaResultadosAcademicos[Curso],IF($A109="(todos)","*",$A109),TabelaResultadosAcademicos[Disciplina],IF($B109="(todas)","*",$B109))),"")</f>
        <v/>
      </c>
      <c r="I109" s="350">
        <f>IF(OR($A109="",$B109=""),"",SUMIFS(TabelaResultadosAcademicos[Total],TabelaResultadosAcademicos[Período],$H$4,TabelaResultadosAcademicos[Curso],IF($A109="(todos)","*",$A109),TabelaResultadosAcademicos[Disciplina],IF($B109="(todas)","*",$B109)))</f>
        <v/>
      </c>
      <c r="J109" s="343">
        <f>$H$4</f>
        <v/>
      </c>
    </row>
    <row r="110" ht="15" customHeight="1" s="131">
      <c r="A110" s="356">
        <f>DISCIPLINAS!A83</f>
        <v/>
      </c>
      <c r="B110" s="357">
        <f>DISCIPLINAS!B83</f>
        <v/>
      </c>
      <c r="C110" s="350">
        <f>SUMIFS(TabelaResultadosAcademicos[Aprovados],TabelaResultadosAcademicos[Período],$H$4,TabelaResultadosAcademicos[Curso],IF($A110="(todos)","*",$A110),TabelaResultadosAcademicos[Disciplina],IF($B110="(todas)","*",$B110))</f>
        <v/>
      </c>
      <c r="D110" s="350">
        <f>SUMIFS(TabelaResultadosAcademicos[Reprovados por nota],TabelaResultadosAcademicos[Período],$H$4,TabelaResultadosAcademicos[Curso],IF($A110="(todos)","*",$A110),TabelaResultadosAcademicos[Disciplina],IF($B110="(todas)","*",$B110))</f>
        <v/>
      </c>
      <c r="E110" s="350">
        <f>SUMIFS(TabelaResultadosAcademicos[Reprovados por falta],TabelaResultadosAcademicos[Período],$H$4,TabelaResultadosAcademicos[Curso],IF($A110="(todos)","*",$A110),TabelaResultadosAcademicos[Disciplina],IF($B110="(todas)","*",$B110))</f>
        <v/>
      </c>
      <c r="F110" s="350">
        <f>SUMIFS(TabelaResultadosAcademicos[Reprovados outros],TabelaResultadosAcademicos[Período],$H$4,TabelaResultadosAcademicos[Curso],IF($A110="(todos)","*",$A110),TabelaResultadosAcademicos[Disciplina],IF($B110="(todas)","*",$B110))</f>
        <v/>
      </c>
      <c r="G110" s="349">
        <f>IF(OR($A110="",$B110=""),"",IFERROR(C110/(C110+SUMIFS(TabelaResultadosAcademicos[Reprovados],TabelaResultadosAcademicos[Período],$H$4,TabelaResultadosAcademicos[Curso],IF($A110="(todos)","*",$A110),TabelaResultadosAcademicos[Disciplina],IF($B110="(todas)","*",$B110)))*100,""))</f>
        <v/>
      </c>
      <c r="H110" s="348">
        <f>IFERROR((SUMIFS(TabelaResultadosAcademicos[Soma das notas],TabelaResultadosAcademicos[Período],$H$4,TabelaResultadosAcademicos[Curso],IF($A110="(todos)","*",$A110),TabelaResultadosAcademicos[Disciplina],IF($B110="(todas)","*",$B110)))/(SUMIFS(TabelaResultadosAcademicos[Quantidade de notas],TabelaResultadosAcademicos[Período],$H$4,TabelaResultadosAcademicos[Curso],IF($A110="(todos)","*",$A110),TabelaResultadosAcademicos[Disciplina],IF($B110="(todas)","*",$B110))),"")</f>
        <v/>
      </c>
      <c r="I110" s="350">
        <f>IF(OR($A110="",$B110=""),"",SUMIFS(TabelaResultadosAcademicos[Total],TabelaResultadosAcademicos[Período],$H$4,TabelaResultadosAcademicos[Curso],IF($A110="(todos)","*",$A110),TabelaResultadosAcademicos[Disciplina],IF($B110="(todas)","*",$B110)))</f>
        <v/>
      </c>
      <c r="J110" s="343">
        <f>$H$4</f>
        <v/>
      </c>
    </row>
    <row r="111" ht="15" customHeight="1" s="131">
      <c r="A111" s="356">
        <f>DISCIPLINAS!A84</f>
        <v/>
      </c>
      <c r="B111" s="357">
        <f>DISCIPLINAS!B84</f>
        <v/>
      </c>
      <c r="C111" s="350">
        <f>SUMIFS(TabelaResultadosAcademicos[Aprovados],TabelaResultadosAcademicos[Período],$H$4,TabelaResultadosAcademicos[Curso],IF($A111="(todos)","*",$A111),TabelaResultadosAcademicos[Disciplina],IF($B111="(todas)","*",$B111))</f>
        <v/>
      </c>
      <c r="D111" s="350">
        <f>SUMIFS(TabelaResultadosAcademicos[Reprovados por nota],TabelaResultadosAcademicos[Período],$H$4,TabelaResultadosAcademicos[Curso],IF($A111="(todos)","*",$A111),TabelaResultadosAcademicos[Disciplina],IF($B111="(todas)","*",$B111))</f>
        <v/>
      </c>
      <c r="E111" s="350">
        <f>SUMIFS(TabelaResultadosAcademicos[Reprovados por falta],TabelaResultadosAcademicos[Período],$H$4,TabelaResultadosAcademicos[Curso],IF($A111="(todos)","*",$A111),TabelaResultadosAcademicos[Disciplina],IF($B111="(todas)","*",$B111))</f>
        <v/>
      </c>
      <c r="F111" s="350">
        <f>SUMIFS(TabelaResultadosAcademicos[Reprovados outros],TabelaResultadosAcademicos[Período],$H$4,TabelaResultadosAcademicos[Curso],IF($A111="(todos)","*",$A111),TabelaResultadosAcademicos[Disciplina],IF($B111="(todas)","*",$B111))</f>
        <v/>
      </c>
      <c r="G111" s="349">
        <f>IF(OR($A111="",$B111=""),"",IFERROR(C111/(C111+SUMIFS(TabelaResultadosAcademicos[Reprovados],TabelaResultadosAcademicos[Período],$H$4,TabelaResultadosAcademicos[Curso],IF($A111="(todos)","*",$A111),TabelaResultadosAcademicos[Disciplina],IF($B111="(todas)","*",$B111)))*100,""))</f>
        <v/>
      </c>
      <c r="H111" s="348">
        <f>IFERROR((SUMIFS(TabelaResultadosAcademicos[Soma das notas],TabelaResultadosAcademicos[Período],$H$4,TabelaResultadosAcademicos[Curso],IF($A111="(todos)","*",$A111),TabelaResultadosAcademicos[Disciplina],IF($B111="(todas)","*",$B111)))/(SUMIFS(TabelaResultadosAcademicos[Quantidade de notas],TabelaResultadosAcademicos[Período],$H$4,TabelaResultadosAcademicos[Curso],IF($A111="(todos)","*",$A111),TabelaResultadosAcademicos[Disciplina],IF($B111="(todas)","*",$B111))),"")</f>
        <v/>
      </c>
      <c r="I111" s="350">
        <f>IF(OR($A111="",$B111=""),"",SUMIFS(TabelaResultadosAcademicos[Total],TabelaResultadosAcademicos[Período],$H$4,TabelaResultadosAcademicos[Curso],IF($A111="(todos)","*",$A111),TabelaResultadosAcademicos[Disciplina],IF($B111="(todas)","*",$B111)))</f>
        <v/>
      </c>
      <c r="J111" s="343">
        <f>$H$4</f>
        <v/>
      </c>
    </row>
    <row r="112" ht="15" customHeight="1" s="131">
      <c r="A112" s="356">
        <f>DISCIPLINAS!A85</f>
        <v/>
      </c>
      <c r="B112" s="357">
        <f>DISCIPLINAS!B85</f>
        <v/>
      </c>
      <c r="C112" s="350">
        <f>SUMIFS(TabelaResultadosAcademicos[Aprovados],TabelaResultadosAcademicos[Período],$H$4,TabelaResultadosAcademicos[Curso],IF($A112="(todos)","*",$A112),TabelaResultadosAcademicos[Disciplina],IF($B112="(todas)","*",$B112))</f>
        <v/>
      </c>
      <c r="D112" s="350">
        <f>SUMIFS(TabelaResultadosAcademicos[Reprovados por nota],TabelaResultadosAcademicos[Período],$H$4,TabelaResultadosAcademicos[Curso],IF($A112="(todos)","*",$A112),TabelaResultadosAcademicos[Disciplina],IF($B112="(todas)","*",$B112))</f>
        <v/>
      </c>
      <c r="E112" s="350">
        <f>SUMIFS(TabelaResultadosAcademicos[Reprovados por falta],TabelaResultadosAcademicos[Período],$H$4,TabelaResultadosAcademicos[Curso],IF($A112="(todos)","*",$A112),TabelaResultadosAcademicos[Disciplina],IF($B112="(todas)","*",$B112))</f>
        <v/>
      </c>
      <c r="F112" s="350">
        <f>SUMIFS(TabelaResultadosAcademicos[Reprovados outros],TabelaResultadosAcademicos[Período],$H$4,TabelaResultadosAcademicos[Curso],IF($A112="(todos)","*",$A112),TabelaResultadosAcademicos[Disciplina],IF($B112="(todas)","*",$B112))</f>
        <v/>
      </c>
      <c r="G112" s="349">
        <f>IF(OR($A112="",$B112=""),"",IFERROR(C112/(C112+SUMIFS(TabelaResultadosAcademicos[Reprovados],TabelaResultadosAcademicos[Período],$H$4,TabelaResultadosAcademicos[Curso],IF($A112="(todos)","*",$A112),TabelaResultadosAcademicos[Disciplina],IF($B112="(todas)","*",$B112)))*100,""))</f>
        <v/>
      </c>
      <c r="H112" s="348">
        <f>IFERROR((SUMIFS(TabelaResultadosAcademicos[Soma das notas],TabelaResultadosAcademicos[Período],$H$4,TabelaResultadosAcademicos[Curso],IF($A112="(todos)","*",$A112),TabelaResultadosAcademicos[Disciplina],IF($B112="(todas)","*",$B112)))/(SUMIFS(TabelaResultadosAcademicos[Quantidade de notas],TabelaResultadosAcademicos[Período],$H$4,TabelaResultadosAcademicos[Curso],IF($A112="(todos)","*",$A112),TabelaResultadosAcademicos[Disciplina],IF($B112="(todas)","*",$B112))),"")</f>
        <v/>
      </c>
      <c r="I112" s="350">
        <f>IF(OR($A112="",$B112=""),"",SUMIFS(TabelaResultadosAcademicos[Total],TabelaResultadosAcademicos[Período],$H$4,TabelaResultadosAcademicos[Curso],IF($A112="(todos)","*",$A112),TabelaResultadosAcademicos[Disciplina],IF($B112="(todas)","*",$B112)))</f>
        <v/>
      </c>
      <c r="J112" s="343">
        <f>$H$4</f>
        <v/>
      </c>
    </row>
    <row r="113" ht="15" customHeight="1" s="131">
      <c r="A113" s="356">
        <f>DISCIPLINAS!A86</f>
        <v/>
      </c>
      <c r="B113" s="357">
        <f>DISCIPLINAS!B86</f>
        <v/>
      </c>
      <c r="C113" s="350">
        <f>SUMIFS(TabelaResultadosAcademicos[Aprovados],TabelaResultadosAcademicos[Período],$H$4,TabelaResultadosAcademicos[Curso],IF($A113="(todos)","*",$A113),TabelaResultadosAcademicos[Disciplina],IF($B113="(todas)","*",$B113))</f>
        <v/>
      </c>
      <c r="D113" s="350">
        <f>SUMIFS(TabelaResultadosAcademicos[Reprovados por nota],TabelaResultadosAcademicos[Período],$H$4,TabelaResultadosAcademicos[Curso],IF($A113="(todos)","*",$A113),TabelaResultadosAcademicos[Disciplina],IF($B113="(todas)","*",$B113))</f>
        <v/>
      </c>
      <c r="E113" s="350">
        <f>SUMIFS(TabelaResultadosAcademicos[Reprovados por falta],TabelaResultadosAcademicos[Período],$H$4,TabelaResultadosAcademicos[Curso],IF($A113="(todos)","*",$A113),TabelaResultadosAcademicos[Disciplina],IF($B113="(todas)","*",$B113))</f>
        <v/>
      </c>
      <c r="F113" s="350">
        <f>SUMIFS(TabelaResultadosAcademicos[Reprovados outros],TabelaResultadosAcademicos[Período],$H$4,TabelaResultadosAcademicos[Curso],IF($A113="(todos)","*",$A113),TabelaResultadosAcademicos[Disciplina],IF($B113="(todas)","*",$B113))</f>
        <v/>
      </c>
      <c r="G113" s="349">
        <f>IF(OR($A113="",$B113=""),"",IFERROR(C113/(C113+SUMIFS(TabelaResultadosAcademicos[Reprovados],TabelaResultadosAcademicos[Período],$H$4,TabelaResultadosAcademicos[Curso],IF($A113="(todos)","*",$A113),TabelaResultadosAcademicos[Disciplina],IF($B113="(todas)","*",$B113)))*100,""))</f>
        <v/>
      </c>
      <c r="H113" s="348">
        <f>IFERROR((SUMIFS(TabelaResultadosAcademicos[Soma das notas],TabelaResultadosAcademicos[Período],$H$4,TabelaResultadosAcademicos[Curso],IF($A113="(todos)","*",$A113),TabelaResultadosAcademicos[Disciplina],IF($B113="(todas)","*",$B113)))/(SUMIFS(TabelaResultadosAcademicos[Quantidade de notas],TabelaResultadosAcademicos[Período],$H$4,TabelaResultadosAcademicos[Curso],IF($A113="(todos)","*",$A113),TabelaResultadosAcademicos[Disciplina],IF($B113="(todas)","*",$B113))),"")</f>
        <v/>
      </c>
      <c r="I113" s="350">
        <f>IF(OR($A113="",$B113=""),"",SUMIFS(TabelaResultadosAcademicos[Total],TabelaResultadosAcademicos[Período],$H$4,TabelaResultadosAcademicos[Curso],IF($A113="(todos)","*",$A113),TabelaResultadosAcademicos[Disciplina],IF($B113="(todas)","*",$B113)))</f>
        <v/>
      </c>
      <c r="J113" s="343">
        <f>$H$4</f>
        <v/>
      </c>
    </row>
    <row r="114" ht="15" customHeight="1" s="131">
      <c r="A114" s="356">
        <f>DISCIPLINAS!A87</f>
        <v/>
      </c>
      <c r="B114" s="357">
        <f>DISCIPLINAS!B87</f>
        <v/>
      </c>
      <c r="C114" s="350">
        <f>SUMIFS(TabelaResultadosAcademicos[Aprovados],TabelaResultadosAcademicos[Período],$H$4,TabelaResultadosAcademicos[Curso],IF($A114="(todos)","*",$A114),TabelaResultadosAcademicos[Disciplina],IF($B114="(todas)","*",$B114))</f>
        <v/>
      </c>
      <c r="D114" s="350">
        <f>SUMIFS(TabelaResultadosAcademicos[Reprovados por nota],TabelaResultadosAcademicos[Período],$H$4,TabelaResultadosAcademicos[Curso],IF($A114="(todos)","*",$A114),TabelaResultadosAcademicos[Disciplina],IF($B114="(todas)","*",$B114))</f>
        <v/>
      </c>
      <c r="E114" s="350">
        <f>SUMIFS(TabelaResultadosAcademicos[Reprovados por falta],TabelaResultadosAcademicos[Período],$H$4,TabelaResultadosAcademicos[Curso],IF($A114="(todos)","*",$A114),TabelaResultadosAcademicos[Disciplina],IF($B114="(todas)","*",$B114))</f>
        <v/>
      </c>
      <c r="F114" s="350">
        <f>SUMIFS(TabelaResultadosAcademicos[Reprovados outros],TabelaResultadosAcademicos[Período],$H$4,TabelaResultadosAcademicos[Curso],IF($A114="(todos)","*",$A114),TabelaResultadosAcademicos[Disciplina],IF($B114="(todas)","*",$B114))</f>
        <v/>
      </c>
      <c r="G114" s="349">
        <f>IF(OR($A114="",$B114=""),"",IFERROR(C114/(C114+SUMIFS(TabelaResultadosAcademicos[Reprovados],TabelaResultadosAcademicos[Período],$H$4,TabelaResultadosAcademicos[Curso],IF($A114="(todos)","*",$A114),TabelaResultadosAcademicos[Disciplina],IF($B114="(todas)","*",$B114)))*100,""))</f>
        <v/>
      </c>
      <c r="H114" s="348">
        <f>IFERROR((SUMIFS(TabelaResultadosAcademicos[Soma das notas],TabelaResultadosAcademicos[Período],$H$4,TabelaResultadosAcademicos[Curso],IF($A114="(todos)","*",$A114),TabelaResultadosAcademicos[Disciplina],IF($B114="(todas)","*",$B114)))/(SUMIFS(TabelaResultadosAcademicos[Quantidade de notas],TabelaResultadosAcademicos[Período],$H$4,TabelaResultadosAcademicos[Curso],IF($A114="(todos)","*",$A114),TabelaResultadosAcademicos[Disciplina],IF($B114="(todas)","*",$B114))),"")</f>
        <v/>
      </c>
      <c r="I114" s="350">
        <f>IF(OR($A114="",$B114=""),"",SUMIFS(TabelaResultadosAcademicos[Total],TabelaResultadosAcademicos[Período],$H$4,TabelaResultadosAcademicos[Curso],IF($A114="(todos)","*",$A114),TabelaResultadosAcademicos[Disciplina],IF($B114="(todas)","*",$B114)))</f>
        <v/>
      </c>
      <c r="J114" s="343">
        <f>$H$4</f>
        <v/>
      </c>
    </row>
    <row r="115" ht="15" customHeight="1" s="131">
      <c r="A115" s="356">
        <f>DISCIPLINAS!A88</f>
        <v/>
      </c>
      <c r="B115" s="357">
        <f>DISCIPLINAS!B88</f>
        <v/>
      </c>
      <c r="C115" s="350">
        <f>SUMIFS(TabelaResultadosAcademicos[Aprovados],TabelaResultadosAcademicos[Período],$H$4,TabelaResultadosAcademicos[Curso],IF($A115="(todos)","*",$A115),TabelaResultadosAcademicos[Disciplina],IF($B115="(todas)","*",$B115))</f>
        <v/>
      </c>
      <c r="D115" s="350">
        <f>SUMIFS(TabelaResultadosAcademicos[Reprovados por nota],TabelaResultadosAcademicos[Período],$H$4,TabelaResultadosAcademicos[Curso],IF($A115="(todos)","*",$A115),TabelaResultadosAcademicos[Disciplina],IF($B115="(todas)","*",$B115))</f>
        <v/>
      </c>
      <c r="E115" s="350">
        <f>SUMIFS(TabelaResultadosAcademicos[Reprovados por falta],TabelaResultadosAcademicos[Período],$H$4,TabelaResultadosAcademicos[Curso],IF($A115="(todos)","*",$A115),TabelaResultadosAcademicos[Disciplina],IF($B115="(todas)","*",$B115))</f>
        <v/>
      </c>
      <c r="F115" s="350">
        <f>SUMIFS(TabelaResultadosAcademicos[Reprovados outros],TabelaResultadosAcademicos[Período],$H$4,TabelaResultadosAcademicos[Curso],IF($A115="(todos)","*",$A115),TabelaResultadosAcademicos[Disciplina],IF($B115="(todas)","*",$B115))</f>
        <v/>
      </c>
      <c r="G115" s="349">
        <f>IF(OR($A115="",$B115=""),"",IFERROR(C115/(C115+SUMIFS(TabelaResultadosAcademicos[Reprovados],TabelaResultadosAcademicos[Período],$H$4,TabelaResultadosAcademicos[Curso],IF($A115="(todos)","*",$A115),TabelaResultadosAcademicos[Disciplina],IF($B115="(todas)","*",$B115)))*100,""))</f>
        <v/>
      </c>
      <c r="H115" s="348">
        <f>IFERROR((SUMIFS(TabelaResultadosAcademicos[Soma das notas],TabelaResultadosAcademicos[Período],$H$4,TabelaResultadosAcademicos[Curso],IF($A115="(todos)","*",$A115),TabelaResultadosAcademicos[Disciplina],IF($B115="(todas)","*",$B115)))/(SUMIFS(TabelaResultadosAcademicos[Quantidade de notas],TabelaResultadosAcademicos[Período],$H$4,TabelaResultadosAcademicos[Curso],IF($A115="(todos)","*",$A115),TabelaResultadosAcademicos[Disciplina],IF($B115="(todas)","*",$B115))),"")</f>
        <v/>
      </c>
      <c r="I115" s="350">
        <f>IF(OR($A115="",$B115=""),"",SUMIFS(TabelaResultadosAcademicos[Total],TabelaResultadosAcademicos[Período],$H$4,TabelaResultadosAcademicos[Curso],IF($A115="(todos)","*",$A115),TabelaResultadosAcademicos[Disciplina],IF($B115="(todas)","*",$B115)))</f>
        <v/>
      </c>
      <c r="J115" s="343">
        <f>$H$4</f>
        <v/>
      </c>
    </row>
    <row r="116">
      <c r="A116" s="343">
        <f>DISCIPLINAS!A89</f>
        <v/>
      </c>
      <c r="B116" s="343">
        <f>DISCIPLINAS!B89</f>
        <v/>
      </c>
      <c r="C116" s="347">
        <f>SUMIFS(TabelaResultadosAcademicos[Aprovados],TabelaResultadosAcademicos[Período],$H$4,TabelaResultadosAcademicos[Curso],IF($A116="(todos)","*",$A116),TabelaResultadosAcademicos[Disciplina],IF($B116="(todas)","*",$B116))</f>
        <v/>
      </c>
      <c r="D116" s="347">
        <f>SUMIFS(TabelaResultadosAcademicos[Reprovados por nota],TabelaResultadosAcademicos[Período],$H$4,TabelaResultadosAcademicos[Curso],IF($A116="(todos)","*",$A116),TabelaResultadosAcademicos[Disciplina],IF($B116="(todas)","*",$B116))</f>
        <v/>
      </c>
      <c r="E116" s="347">
        <f>SUMIFS(TabelaResultadosAcademicos[Reprovados por falta],TabelaResultadosAcademicos[Período],$H$4,TabelaResultadosAcademicos[Curso],IF($A116="(todos)","*",$A116),TabelaResultadosAcademicos[Disciplina],IF($B116="(todas)","*",$B116))</f>
        <v/>
      </c>
      <c r="F116" s="347">
        <f>SUMIFS(TabelaResultadosAcademicos[Reprovados outros],TabelaResultadosAcademicos[Período],$H$4,TabelaResultadosAcademicos[Curso],IF($A116="(todos)","*",$A116),TabelaResultadosAcademicos[Disciplina],IF($B116="(todas)","*",$B116))</f>
        <v/>
      </c>
      <c r="G116" s="354">
        <f>IF(OR($A116="",$B116=""),"",IFERROR(C116/(C116+SUMIFS(TabelaResultadosAcademicos[Reprovados],TabelaResultadosAcademicos[Período],$H$4,TabelaResultadosAcademicos[Curso],IF($A116="(todos)","*",$A116),TabelaResultadosAcademicos[Disciplina],IF($B116="(todas)","*",$B116)))*100,""))</f>
        <v/>
      </c>
      <c r="H116" s="351">
        <f>IFERROR((SUMIFS(TabelaResultadosAcademicos[Soma das notas],TabelaResultadosAcademicos[Período],$H$4,TabelaResultadosAcademicos[Curso],IF($A116="(todos)","*",$A116),TabelaResultadosAcademicos[Disciplina],IF($B116="(todas)","*",$B116)))/(SUMIFS(TabelaResultadosAcademicos[Quantidade de notas],TabelaResultadosAcademicos[Período],$H$4,TabelaResultadosAcademicos[Curso],IF($A116="(todos)","*",$A116),TabelaResultadosAcademicos[Disciplina],IF($B116="(todas)","*",$B116))),"")</f>
        <v/>
      </c>
      <c r="I116" s="347">
        <f>IF(OR($A116="",$B116=""),"",SUMIFS(TabelaResultadosAcademicos[Total],TabelaResultadosAcademicos[Período],$H$4,TabelaResultadosAcademicos[Curso],IF($A116="(todos)","*",$A116),TabelaResultadosAcademicos[Disciplina],IF($B116="(todas)","*",$B116)))</f>
        <v/>
      </c>
      <c r="J116" s="343">
        <f>$H$4</f>
        <v/>
      </c>
    </row>
    <row r="117">
      <c r="A117" s="343">
        <f>DISCIPLINAS!A90</f>
        <v/>
      </c>
      <c r="B117" s="343">
        <f>DISCIPLINAS!B90</f>
        <v/>
      </c>
      <c r="C117" s="347">
        <f>SUMIFS(TabelaResultadosAcademicos[Aprovados],TabelaResultadosAcademicos[Período],$H$4,TabelaResultadosAcademicos[Curso],IF($A117="(todos)","*",$A117),TabelaResultadosAcademicos[Disciplina],IF($B117="(todas)","*",$B117))</f>
        <v/>
      </c>
      <c r="D117" s="347">
        <f>SUMIFS(TabelaResultadosAcademicos[Reprovados por nota],TabelaResultadosAcademicos[Período],$H$4,TabelaResultadosAcademicos[Curso],IF($A117="(todos)","*",$A117),TabelaResultadosAcademicos[Disciplina],IF($B117="(todas)","*",$B117))</f>
        <v/>
      </c>
      <c r="E117" s="347">
        <f>SUMIFS(TabelaResultadosAcademicos[Reprovados por falta],TabelaResultadosAcademicos[Período],$H$4,TabelaResultadosAcademicos[Curso],IF($A117="(todos)","*",$A117),TabelaResultadosAcademicos[Disciplina],IF($B117="(todas)","*",$B117))</f>
        <v/>
      </c>
      <c r="F117" s="347">
        <f>SUMIFS(TabelaResultadosAcademicos[Reprovados outros],TabelaResultadosAcademicos[Período],$H$4,TabelaResultadosAcademicos[Curso],IF($A117="(todos)","*",$A117),TabelaResultadosAcademicos[Disciplina],IF($B117="(todas)","*",$B117))</f>
        <v/>
      </c>
      <c r="G117" s="354">
        <f>IF(OR($A117="",$B117=""),"",IFERROR(C117/(C117+SUMIFS(TabelaResultadosAcademicos[Reprovados],TabelaResultadosAcademicos[Período],$H$4,TabelaResultadosAcademicos[Curso],IF($A117="(todos)","*",$A117),TabelaResultadosAcademicos[Disciplina],IF($B117="(todas)","*",$B117)))*100,""))</f>
        <v/>
      </c>
      <c r="H117" s="351">
        <f>IFERROR((SUMIFS(TabelaResultadosAcademicos[Soma das notas],TabelaResultadosAcademicos[Período],$H$4,TabelaResultadosAcademicos[Curso],IF($A117="(todos)","*",$A117),TabelaResultadosAcademicos[Disciplina],IF($B117="(todas)","*",$B117)))/(SUMIFS(TabelaResultadosAcademicos[Quantidade de notas],TabelaResultadosAcademicos[Período],$H$4,TabelaResultadosAcademicos[Curso],IF($A117="(todos)","*",$A117),TabelaResultadosAcademicos[Disciplina],IF($B117="(todas)","*",$B117))),"")</f>
        <v/>
      </c>
      <c r="I117" s="347">
        <f>IF(OR($A117="",$B117=""),"",SUMIFS(TabelaResultadosAcademicos[Total],TabelaResultadosAcademicos[Período],$H$4,TabelaResultadosAcademicos[Curso],IF($A117="(todos)","*",$A117),TabelaResultadosAcademicos[Disciplina],IF($B117="(todas)","*",$B117)))</f>
        <v/>
      </c>
      <c r="J117" s="343">
        <f>$H$4</f>
        <v/>
      </c>
    </row>
    <row r="118">
      <c r="A118" s="343">
        <f>DISCIPLINAS!A91</f>
        <v/>
      </c>
      <c r="B118" s="343">
        <f>DISCIPLINAS!B91</f>
        <v/>
      </c>
      <c r="C118" s="347">
        <f>SUMIFS(TabelaResultadosAcademicos[Aprovados],TabelaResultadosAcademicos[Período],$H$4,TabelaResultadosAcademicos[Curso],IF($A118="(todos)","*",$A118),TabelaResultadosAcademicos[Disciplina],IF($B118="(todas)","*",$B118))</f>
        <v/>
      </c>
      <c r="D118" s="347">
        <f>SUMIFS(TabelaResultadosAcademicos[Reprovados por nota],TabelaResultadosAcademicos[Período],$H$4,TabelaResultadosAcademicos[Curso],IF($A118="(todos)","*",$A118),TabelaResultadosAcademicos[Disciplina],IF($B118="(todas)","*",$B118))</f>
        <v/>
      </c>
      <c r="E118" s="347">
        <f>SUMIFS(TabelaResultadosAcademicos[Reprovados por falta],TabelaResultadosAcademicos[Período],$H$4,TabelaResultadosAcademicos[Curso],IF($A118="(todos)","*",$A118),TabelaResultadosAcademicos[Disciplina],IF($B118="(todas)","*",$B118))</f>
        <v/>
      </c>
      <c r="F118" s="347">
        <f>SUMIFS(TabelaResultadosAcademicos[Reprovados outros],TabelaResultadosAcademicos[Período],$H$4,TabelaResultadosAcademicos[Curso],IF($A118="(todos)","*",$A118),TabelaResultadosAcademicos[Disciplina],IF($B118="(todas)","*",$B118))</f>
        <v/>
      </c>
      <c r="G118" s="354">
        <f>IF(OR($A118="",$B118=""),"",IFERROR(C118/(C118+SUMIFS(TabelaResultadosAcademicos[Reprovados],TabelaResultadosAcademicos[Período],$H$4,TabelaResultadosAcademicos[Curso],IF($A118="(todos)","*",$A118),TabelaResultadosAcademicos[Disciplina],IF($B118="(todas)","*",$B118)))*100,""))</f>
        <v/>
      </c>
      <c r="H118" s="351">
        <f>IFERROR((SUMIFS(TabelaResultadosAcademicos[Soma das notas],TabelaResultadosAcademicos[Período],$H$4,TabelaResultadosAcademicos[Curso],IF($A118="(todos)","*",$A118),TabelaResultadosAcademicos[Disciplina],IF($B118="(todas)","*",$B118)))/(SUMIFS(TabelaResultadosAcademicos[Quantidade de notas],TabelaResultadosAcademicos[Período],$H$4,TabelaResultadosAcademicos[Curso],IF($A118="(todos)","*",$A118),TabelaResultadosAcademicos[Disciplina],IF($B118="(todas)","*",$B118))),"")</f>
        <v/>
      </c>
      <c r="I118" s="347">
        <f>IF(OR($A118="",$B118=""),"",SUMIFS(TabelaResultadosAcademicos[Total],TabelaResultadosAcademicos[Período],$H$4,TabelaResultadosAcademicos[Curso],IF($A118="(todos)","*",$A118),TabelaResultadosAcademicos[Disciplina],IF($B118="(todas)","*",$B118)))</f>
        <v/>
      </c>
      <c r="J118" s="343">
        <f>$H$4</f>
        <v/>
      </c>
    </row>
    <row r="119" ht="32.25" customHeight="1" s="131">
      <c r="A119" s="342">
        <f>DISCIPLINAS!A92</f>
        <v/>
      </c>
      <c r="B119" s="343">
        <f>DISCIPLINAS!B92</f>
        <v/>
      </c>
      <c r="C119" s="347">
        <f>SUMIFS(TabelaResultadosAcademicos[Aprovados],TabelaResultadosAcademicos[Período],$H$4,TabelaResultadosAcademicos[Curso],IF($A119="(todos)","*",$A119),TabelaResultadosAcademicos[Disciplina],IF($B119="(todas)","*",$B119))</f>
        <v/>
      </c>
      <c r="D119" s="355">
        <f>SUMIFS(TabelaResultadosAcademicos[Reprovados por nota],TabelaResultadosAcademicos[Período],$H$4,TabelaResultadosAcademicos[Curso],IF($A119="(todos)","*",$A119),TabelaResultadosAcademicos[Disciplina],IF($B119="(todas)","*",$B119))</f>
        <v/>
      </c>
      <c r="E119" s="347">
        <f>SUMIFS(TabelaResultadosAcademicos[Reprovados por falta],TabelaResultadosAcademicos[Período],$H$4,TabelaResultadosAcademicos[Curso],IF($A119="(todos)","*",$A119),TabelaResultadosAcademicos[Disciplina],IF($B119="(todas)","*",$B119))</f>
        <v/>
      </c>
      <c r="F119" s="347">
        <f>SUMIFS(TabelaResultadosAcademicos[Reprovados outros],TabelaResultadosAcademicos[Período],$H$4,TabelaResultadosAcademicos[Curso],IF($A119="(todos)","*",$A119),TabelaResultadosAcademicos[Disciplina],IF($B119="(todas)","*",$B119))</f>
        <v/>
      </c>
      <c r="G119" s="354">
        <f>IF(OR($A119="",$B119=""),"",IFERROR(C119/(C119+SUMIFS(TabelaResultadosAcademicos[Reprovados],TabelaResultadosAcademicos[Período],$H$4,TabelaResultadosAcademicos[Curso],IF($A119="(todos)","*",$A119),TabelaResultadosAcademicos[Disciplina],IF($B119="(todas)","*",$B119)))*100,""))</f>
        <v/>
      </c>
      <c r="H119" s="351">
        <f>IFERROR((SUMIFS(TabelaResultadosAcademicos[Soma das notas],TabelaResultadosAcademicos[Período],$H$4,TabelaResultadosAcademicos[Curso],IF($A119="(todos)","*",$A119),TabelaResultadosAcademicos[Disciplina],IF($B119="(todas)","*",$B119)))/(SUMIFS(TabelaResultadosAcademicos[Quantidade de notas],TabelaResultadosAcademicos[Período],$H$4,TabelaResultadosAcademicos[Curso],IF($A119="(todos)","*",$A119),TabelaResultadosAcademicos[Disciplina],IF($B119="(todas)","*",$B119))),"")</f>
        <v/>
      </c>
      <c r="I119" s="347">
        <f>IF(OR($A119="",$B119=""),"",SUMIFS(TabelaResultadosAcademicos[Total],TabelaResultadosAcademicos[Período],$H$4,TabelaResultadosAcademicos[Curso],IF($A119="(todos)","*",$A119),TabelaResultadosAcademicos[Disciplina],IF($B119="(todas)","*",$B119)))</f>
        <v/>
      </c>
      <c r="J119" s="343">
        <f>$H$4</f>
        <v/>
      </c>
    </row>
    <row r="120" ht="31.5" customHeight="1" s="131">
      <c r="A120" s="340">
        <f>DISCIPLINAS!A93</f>
        <v/>
      </c>
      <c r="B120" s="340">
        <f>DISCIPLINAS!B93</f>
        <v/>
      </c>
      <c r="C120" s="350">
        <f>SUMIFS(TabelaResultadosAcademicos[Aprovados],TabelaResultadosAcademicos[Período],$H$4,TabelaResultadosAcademicos[Curso],IF($A120="(todos)","*",$A120),TabelaResultadosAcademicos[Disciplina],IF($B120="(todas)","*",$B120))</f>
        <v/>
      </c>
      <c r="D120" s="350">
        <f>SUMIFS(TabelaResultadosAcademicos[Reprovados por nota],TabelaResultadosAcademicos[Período],$H$4,TabelaResultadosAcademicos[Curso],IF($A120="(todos)","*",$A120),TabelaResultadosAcademicos[Disciplina],IF($B120="(todas)","*",$B120))</f>
        <v/>
      </c>
      <c r="E120" s="350">
        <f>SUMIFS(TabelaResultadosAcademicos[Reprovados por falta],TabelaResultadosAcademicos[Período],$H$4,TabelaResultadosAcademicos[Curso],IF($A120="(todos)","*",$A120),TabelaResultadosAcademicos[Disciplina],IF($B120="(todas)","*",$B120))</f>
        <v/>
      </c>
      <c r="F120" s="350">
        <f>SUMIFS(TabelaResultadosAcademicos[Reprovados outros],TabelaResultadosAcademicos[Período],$H$4,TabelaResultadosAcademicos[Curso],IF($A120="(todos)","*",$A120),TabelaResultadosAcademicos[Disciplina],IF($B120="(todas)","*",$B120))</f>
        <v/>
      </c>
      <c r="G120" s="349">
        <f>IF(OR($A120="",$B120=""),"",IFERROR(C120/(C120+SUMIFS(TabelaResultadosAcademicos[Reprovados],TabelaResultadosAcademicos[Período],$H$4,TabelaResultadosAcademicos[Curso],IF($A120="(todos)","*",$A120),TabelaResultadosAcademicos[Disciplina],IF($B120="(todas)","*",$B120)))*100,""))</f>
        <v/>
      </c>
      <c r="H120" s="348">
        <f>IFERROR((SUMIFS(TabelaResultadosAcademicos[Soma das notas],TabelaResultadosAcademicos[Período],$H$4,TabelaResultadosAcademicos[Curso],IF($A120="(todos)","*",$A120),TabelaResultadosAcademicos[Disciplina],IF($B120="(todas)","*",$B120)))/(SUMIFS(TabelaResultadosAcademicos[Quantidade de notas],TabelaResultadosAcademicos[Período],$H$4,TabelaResultadosAcademicos[Curso],IF($A120="(todos)","*",$A120),TabelaResultadosAcademicos[Disciplina],IF($B120="(todas)","*",$B120))),"")</f>
        <v/>
      </c>
      <c r="I120" s="347">
        <f>IF(OR($A120="",$B120=""),"",SUMIFS(TabelaResultadosAcademicos[Total],TabelaResultadosAcademicos[Período],$H$4,TabelaResultadosAcademicos[Curso],IF($A120="(todos)","*",$A120),TabelaResultadosAcademicos[Disciplina],IF($B120="(todas)","*",$B120)))</f>
        <v/>
      </c>
      <c r="J120" s="343">
        <f>$H$4</f>
        <v/>
      </c>
    </row>
    <row r="121" ht="21.75" customHeight="1" s="131">
      <c r="A121" s="356">
        <f>DISCIPLINAS!A94</f>
        <v/>
      </c>
      <c r="B121" s="356">
        <f>DISCIPLINAS!B94</f>
        <v/>
      </c>
      <c r="C121" s="350">
        <f>SUMIFS(TabelaResultadosAcademicos[Aprovados],TabelaResultadosAcademicos[Período],$H$4,TabelaResultadosAcademicos[Curso],IF($A121="(todos)","*",$A121),TabelaResultadosAcademicos[Disciplina],IF($B121="(todas)","*",$B121))</f>
        <v/>
      </c>
      <c r="D121" s="350">
        <f>SUMIFS(TabelaResultadosAcademicos[Reprovados por nota],TabelaResultadosAcademicos[Período],$H$4,TabelaResultadosAcademicos[Curso],IF($A121="(todos)","*",$A121),TabelaResultadosAcademicos[Disciplina],IF($B121="(todas)","*",$B121))</f>
        <v/>
      </c>
      <c r="E121" s="350">
        <f>SUMIFS(TabelaResultadosAcademicos[Reprovados por falta],TabelaResultadosAcademicos[Período],$H$4,TabelaResultadosAcademicos[Curso],IF($A121="(todos)","*",$A121),TabelaResultadosAcademicos[Disciplina],IF($B121="(todas)","*",$B121))</f>
        <v/>
      </c>
      <c r="F121" s="350">
        <f>SUMIFS(TabelaResultadosAcademicos[Reprovados outros],TabelaResultadosAcademicos[Período],$H$4,TabelaResultadosAcademicos[Curso],IF($A121="(todos)","*",$A121),TabelaResultadosAcademicos[Disciplina],IF($B121="(todas)","*",$B121))</f>
        <v/>
      </c>
      <c r="G121" s="349">
        <f>IF(OR($A121="",$B121=""),"",IFERROR(C121/(C121+SUMIFS(TabelaResultadosAcademicos[Reprovados],TabelaResultadosAcademicos[Período],$H$4,TabelaResultadosAcademicos[Curso],IF($A121="(todos)","*",$A121),TabelaResultadosAcademicos[Disciplina],IF($B121="(todas)","*",$B121)))*100,""))</f>
        <v/>
      </c>
      <c r="H121" s="348">
        <f>IFERROR((SUMIFS(TabelaResultadosAcademicos[Soma das notas],TabelaResultadosAcademicos[Período],$H$4,TabelaResultadosAcademicos[Curso],IF($A121="(todos)","*",$A121),TabelaResultadosAcademicos[Disciplina],IF($B121="(todas)","*",$B121)))/(SUMIFS(TabelaResultadosAcademicos[Quantidade de notas],TabelaResultadosAcademicos[Período],$H$4,TabelaResultadosAcademicos[Curso],IF($A121="(todos)","*",$A121),TabelaResultadosAcademicos[Disciplina],IF($B121="(todas)","*",$B121))),"")</f>
        <v/>
      </c>
      <c r="I121" s="347">
        <f>IF(OR($A121="",$B121=""),"",SUMIFS(TabelaResultadosAcademicos[Total],TabelaResultadosAcademicos[Período],$H$4,TabelaResultadosAcademicos[Curso],IF($A121="(todos)","*",$A121),TabelaResultadosAcademicos[Disciplina],IF($B121="(todas)","*",$B121)))</f>
        <v/>
      </c>
      <c r="J121" s="343">
        <f>$H$4</f>
        <v/>
      </c>
    </row>
    <row r="122" ht="15" customHeight="1" s="131">
      <c r="A122" s="356">
        <f>DISCIPLINAS!A95</f>
        <v/>
      </c>
      <c r="B122" s="356">
        <f>DISCIPLINAS!B95</f>
        <v/>
      </c>
      <c r="C122" s="350">
        <f>SUMIFS(TabelaResultadosAcademicos[Aprovados],TabelaResultadosAcademicos[Período],$H$4,TabelaResultadosAcademicos[Curso],IF($A122="(todos)","*",$A122),TabelaResultadosAcademicos[Disciplina],IF($B122="(todas)","*",$B122))</f>
        <v/>
      </c>
      <c r="D122" s="350">
        <f>SUMIFS(TabelaResultadosAcademicos[Reprovados por nota],TabelaResultadosAcademicos[Período],$H$4,TabelaResultadosAcademicos[Curso],IF($A122="(todos)","*",$A122),TabelaResultadosAcademicos[Disciplina],IF($B122="(todas)","*",$B122))</f>
        <v/>
      </c>
      <c r="E122" s="350">
        <f>SUMIFS(TabelaResultadosAcademicos[Reprovados por falta],TabelaResultadosAcademicos[Período],$H$4,TabelaResultadosAcademicos[Curso],IF($A122="(todos)","*",$A122),TabelaResultadosAcademicos[Disciplina],IF($B122="(todas)","*",$B122))</f>
        <v/>
      </c>
      <c r="F122" s="350">
        <f>SUMIFS(TabelaResultadosAcademicos[Reprovados outros],TabelaResultadosAcademicos[Período],$H$4,TabelaResultadosAcademicos[Curso],IF($A122="(todos)","*",$A122),TabelaResultadosAcademicos[Disciplina],IF($B122="(todas)","*",$B122))</f>
        <v/>
      </c>
      <c r="G122" s="349">
        <f>IF(OR($A122="",$B122=""),"",IFERROR(C122/(C122+SUMIFS(TabelaResultadosAcademicos[Reprovados],TabelaResultadosAcademicos[Período],$H$4,TabelaResultadosAcademicos[Curso],IF($A122="(todos)","*",$A122),TabelaResultadosAcademicos[Disciplina],IF($B122="(todas)","*",$B122)))*100,""))</f>
        <v/>
      </c>
      <c r="H122" s="348">
        <f>IFERROR((SUMIFS(TabelaResultadosAcademicos[Soma das notas],TabelaResultadosAcademicos[Período],$H$4,TabelaResultadosAcademicos[Curso],IF($A122="(todos)","*",$A122),TabelaResultadosAcademicos[Disciplina],IF($B122="(todas)","*",$B122)))/(SUMIFS(TabelaResultadosAcademicos[Quantidade de notas],TabelaResultadosAcademicos[Período],$H$4,TabelaResultadosAcademicos[Curso],IF($A122="(todos)","*",$A122),TabelaResultadosAcademicos[Disciplina],IF($B122="(todas)","*",$B122))),"")</f>
        <v/>
      </c>
      <c r="I122" s="347">
        <f>IF(OR($A122="",$B122=""),"",SUMIFS(TabelaResultadosAcademicos[Total],TabelaResultadosAcademicos[Período],$H$4,TabelaResultadosAcademicos[Curso],IF($A122="(todos)","*",$A122),TabelaResultadosAcademicos[Disciplina],IF($B122="(todas)","*",$B122)))</f>
        <v/>
      </c>
      <c r="J122" s="343">
        <f>$H$4</f>
        <v/>
      </c>
    </row>
    <row r="123" ht="15" customHeight="1" s="131">
      <c r="A123" s="356">
        <f>DISCIPLINAS!A96</f>
        <v/>
      </c>
      <c r="B123" s="356">
        <f>DISCIPLINAS!B96</f>
        <v/>
      </c>
      <c r="C123" s="350">
        <f>SUMIFS(TabelaResultadosAcademicos[Aprovados],TabelaResultadosAcademicos[Período],$H$4,TabelaResultadosAcademicos[Curso],IF($A123="(todos)","*",$A123),TabelaResultadosAcademicos[Disciplina],IF($B123="(todas)","*",$B123))</f>
        <v/>
      </c>
      <c r="D123" s="350">
        <f>SUMIFS(TabelaResultadosAcademicos[Reprovados por nota],TabelaResultadosAcademicos[Período],$H$4,TabelaResultadosAcademicos[Curso],IF($A123="(todos)","*",$A123),TabelaResultadosAcademicos[Disciplina],IF($B123="(todas)","*",$B123))</f>
        <v/>
      </c>
      <c r="E123" s="350">
        <f>SUMIFS(TabelaResultadosAcademicos[Reprovados por falta],TabelaResultadosAcademicos[Período],$H$4,TabelaResultadosAcademicos[Curso],IF($A123="(todos)","*",$A123),TabelaResultadosAcademicos[Disciplina],IF($B123="(todas)","*",$B123))</f>
        <v/>
      </c>
      <c r="F123" s="350">
        <f>SUMIFS(TabelaResultadosAcademicos[Reprovados outros],TabelaResultadosAcademicos[Período],$H$4,TabelaResultadosAcademicos[Curso],IF($A123="(todos)","*",$A123),TabelaResultadosAcademicos[Disciplina],IF($B123="(todas)","*",$B123))</f>
        <v/>
      </c>
      <c r="G123" s="349">
        <f>IF(OR($A123="",$B123=""),"",IFERROR(C123/(C123+SUMIFS(TabelaResultadosAcademicos[Reprovados],TabelaResultadosAcademicos[Período],$H$4,TabelaResultadosAcademicos[Curso],IF($A123="(todos)","*",$A123),TabelaResultadosAcademicos[Disciplina],IF($B123="(todas)","*",$B123)))*100,""))</f>
        <v/>
      </c>
      <c r="H123" s="348">
        <f>IFERROR((SUMIFS(TabelaResultadosAcademicos[Soma das notas],TabelaResultadosAcademicos[Período],$H$4,TabelaResultadosAcademicos[Curso],IF($A123="(todos)","*",$A123),TabelaResultadosAcademicos[Disciplina],IF($B123="(todas)","*",$B123)))/(SUMIFS(TabelaResultadosAcademicos[Quantidade de notas],TabelaResultadosAcademicos[Período],$H$4,TabelaResultadosAcademicos[Curso],IF($A123="(todos)","*",$A123),TabelaResultadosAcademicos[Disciplina],IF($B123="(todas)","*",$B123))),"")</f>
        <v/>
      </c>
      <c r="I123" s="347">
        <f>IF(OR($A123="",$B123=""),"",SUMIFS(TabelaResultadosAcademicos[Total],TabelaResultadosAcademicos[Período],$H$4,TabelaResultadosAcademicos[Curso],IF($A123="(todos)","*",$A123),TabelaResultadosAcademicos[Disciplina],IF($B123="(todas)","*",$B123)))</f>
        <v/>
      </c>
      <c r="J123" s="343">
        <f>$H$4</f>
        <v/>
      </c>
    </row>
    <row r="124" ht="21.75" customHeight="1" s="131">
      <c r="A124" s="356">
        <f>DISCIPLINAS!A97</f>
        <v/>
      </c>
      <c r="B124" s="356">
        <f>DISCIPLINAS!B97</f>
        <v/>
      </c>
      <c r="C124" s="350">
        <f>SUMIFS(TabelaResultadosAcademicos[Aprovados],TabelaResultadosAcademicos[Período],$H$4,TabelaResultadosAcademicos[Curso],IF($A124="(todos)","*",$A124),TabelaResultadosAcademicos[Disciplina],IF($B124="(todas)","*",$B124))</f>
        <v/>
      </c>
      <c r="D124" s="350">
        <f>SUMIFS(TabelaResultadosAcademicos[Reprovados por nota],TabelaResultadosAcademicos[Período],$H$4,TabelaResultadosAcademicos[Curso],IF($A124="(todos)","*",$A124),TabelaResultadosAcademicos[Disciplina],IF($B124="(todas)","*",$B124))</f>
        <v/>
      </c>
      <c r="E124" s="350">
        <f>SUMIFS(TabelaResultadosAcademicos[Reprovados por falta],TabelaResultadosAcademicos[Período],$H$4,TabelaResultadosAcademicos[Curso],IF($A124="(todos)","*",$A124),TabelaResultadosAcademicos[Disciplina],IF($B124="(todas)","*",$B124))</f>
        <v/>
      </c>
      <c r="F124" s="350">
        <f>SUMIFS(TabelaResultadosAcademicos[Reprovados outros],TabelaResultadosAcademicos[Período],$H$4,TabelaResultadosAcademicos[Curso],IF($A124="(todos)","*",$A124),TabelaResultadosAcademicos[Disciplina],IF($B124="(todas)","*",$B124))</f>
        <v/>
      </c>
      <c r="G124" s="349">
        <f>IF(OR($A124="",$B124=""),"",IFERROR(C124/(C124+SUMIFS(TabelaResultadosAcademicos[Reprovados],TabelaResultadosAcademicos[Período],$H$4,TabelaResultadosAcademicos[Curso],IF($A124="(todos)","*",$A124),TabelaResultadosAcademicos[Disciplina],IF($B124="(todas)","*",$B124)))*100,""))</f>
        <v/>
      </c>
      <c r="H124" s="348">
        <f>IFERROR((SUMIFS(TabelaResultadosAcademicos[Soma das notas],TabelaResultadosAcademicos[Período],$H$4,TabelaResultadosAcademicos[Curso],IF($A124="(todos)","*",$A124),TabelaResultadosAcademicos[Disciplina],IF($B124="(todas)","*",$B124)))/(SUMIFS(TabelaResultadosAcademicos[Quantidade de notas],TabelaResultadosAcademicos[Período],$H$4,TabelaResultadosAcademicos[Curso],IF($A124="(todos)","*",$A124),TabelaResultadosAcademicos[Disciplina],IF($B124="(todas)","*",$B124))),"")</f>
        <v/>
      </c>
      <c r="I124" s="347">
        <f>IF(OR($A124="",$B124=""),"",SUMIFS(TabelaResultadosAcademicos[Total],TabelaResultadosAcademicos[Período],$H$4,TabelaResultadosAcademicos[Curso],IF($A124="(todos)","*",$A124),TabelaResultadosAcademicos[Disciplina],IF($B124="(todas)","*",$B124)))</f>
        <v/>
      </c>
      <c r="J124" s="343">
        <f>$H$4</f>
        <v/>
      </c>
    </row>
    <row r="125" ht="15" customHeight="1" s="131">
      <c r="A125" s="356">
        <f>DISCIPLINAS!A98</f>
        <v/>
      </c>
      <c r="B125" s="356">
        <f>DISCIPLINAS!B98</f>
        <v/>
      </c>
      <c r="C125" s="350">
        <f>SUMIFS(TabelaResultadosAcademicos[Aprovados],TabelaResultadosAcademicos[Período],$H$4,TabelaResultadosAcademicos[Curso],IF($A125="(todos)","*",$A125),TabelaResultadosAcademicos[Disciplina],IF($B125="(todas)","*",$B125))</f>
        <v/>
      </c>
      <c r="D125" s="350">
        <f>SUMIFS(TabelaResultadosAcademicos[Reprovados por nota],TabelaResultadosAcademicos[Período],$H$4,TabelaResultadosAcademicos[Curso],IF($A125="(todos)","*",$A125),TabelaResultadosAcademicos[Disciplina],IF($B125="(todas)","*",$B125))</f>
        <v/>
      </c>
      <c r="E125" s="350">
        <f>SUMIFS(TabelaResultadosAcademicos[Reprovados por falta],TabelaResultadosAcademicos[Período],$H$4,TabelaResultadosAcademicos[Curso],IF($A125="(todos)","*",$A125),TabelaResultadosAcademicos[Disciplina],IF($B125="(todas)","*",$B125))</f>
        <v/>
      </c>
      <c r="F125" s="350">
        <f>SUMIFS(TabelaResultadosAcademicos[Reprovados outros],TabelaResultadosAcademicos[Período],$H$4,TabelaResultadosAcademicos[Curso],IF($A125="(todos)","*",$A125),TabelaResultadosAcademicos[Disciplina],IF($B125="(todas)","*",$B125))</f>
        <v/>
      </c>
      <c r="G125" s="349">
        <f>IF(OR($A125="",$B125=""),"",IFERROR(C125/(C125+SUMIFS(TabelaResultadosAcademicos[Reprovados],TabelaResultadosAcademicos[Período],$H$4,TabelaResultadosAcademicos[Curso],IF($A125="(todos)","*",$A125),TabelaResultadosAcademicos[Disciplina],IF($B125="(todas)","*",$B125)))*100,""))</f>
        <v/>
      </c>
      <c r="H125" s="348">
        <f>IFERROR((SUMIFS(TabelaResultadosAcademicos[Soma das notas],TabelaResultadosAcademicos[Período],$H$4,TabelaResultadosAcademicos[Curso],IF($A125="(todos)","*",$A125),TabelaResultadosAcademicos[Disciplina],IF($B125="(todas)","*",$B125)))/(SUMIFS(TabelaResultadosAcademicos[Quantidade de notas],TabelaResultadosAcademicos[Período],$H$4,TabelaResultadosAcademicos[Curso],IF($A125="(todos)","*",$A125),TabelaResultadosAcademicos[Disciplina],IF($B125="(todas)","*",$B125))),"")</f>
        <v/>
      </c>
      <c r="I125" s="347">
        <f>IF(OR($A125="",$B125=""),"",SUMIFS(TabelaResultadosAcademicos[Total],TabelaResultadosAcademicos[Período],$H$4,TabelaResultadosAcademicos[Curso],IF($A125="(todos)","*",$A125),TabelaResultadosAcademicos[Disciplina],IF($B125="(todas)","*",$B125)))</f>
        <v/>
      </c>
      <c r="J125" s="343">
        <f>$H$4</f>
        <v/>
      </c>
    </row>
    <row r="126" ht="21.75" customHeight="1" s="131">
      <c r="A126" s="356">
        <f>DISCIPLINAS!A99</f>
        <v/>
      </c>
      <c r="B126" s="356">
        <f>DISCIPLINAS!B99</f>
        <v/>
      </c>
      <c r="C126" s="350">
        <f>SUMIFS(TabelaResultadosAcademicos[Aprovados],TabelaResultadosAcademicos[Período],$H$4,TabelaResultadosAcademicos[Curso],IF($A126="(todos)","*",$A126),TabelaResultadosAcademicos[Disciplina],IF($B126="(todas)","*",$B126))</f>
        <v/>
      </c>
      <c r="D126" s="350">
        <f>SUMIFS(TabelaResultadosAcademicos[Reprovados por nota],TabelaResultadosAcademicos[Período],$H$4,TabelaResultadosAcademicos[Curso],IF($A126="(todos)","*",$A126),TabelaResultadosAcademicos[Disciplina],IF($B126="(todas)","*",$B126))</f>
        <v/>
      </c>
      <c r="E126" s="350">
        <f>SUMIFS(TabelaResultadosAcademicos[Reprovados por falta],TabelaResultadosAcademicos[Período],$H$4,TabelaResultadosAcademicos[Curso],IF($A126="(todos)","*",$A126),TabelaResultadosAcademicos[Disciplina],IF($B126="(todas)","*",$B126))</f>
        <v/>
      </c>
      <c r="F126" s="350">
        <f>SUMIFS(TabelaResultadosAcademicos[Reprovados outros],TabelaResultadosAcademicos[Período],$H$4,TabelaResultadosAcademicos[Curso],IF($A126="(todos)","*",$A126),TabelaResultadosAcademicos[Disciplina],IF($B126="(todas)","*",$B126))</f>
        <v/>
      </c>
      <c r="G126" s="349">
        <f>IF(OR($A126="",$B126=""),"",IFERROR(C126/(C126+SUMIFS(TabelaResultadosAcademicos[Reprovados],TabelaResultadosAcademicos[Período],$H$4,TabelaResultadosAcademicos[Curso],IF($A126="(todos)","*",$A126),TabelaResultadosAcademicos[Disciplina],IF($B126="(todas)","*",$B126)))*100,""))</f>
        <v/>
      </c>
      <c r="H126" s="348">
        <f>IFERROR((SUMIFS(TabelaResultadosAcademicos[Soma das notas],TabelaResultadosAcademicos[Período],$H$4,TabelaResultadosAcademicos[Curso],IF($A126="(todos)","*",$A126),TabelaResultadosAcademicos[Disciplina],IF($B126="(todas)","*",$B126)))/(SUMIFS(TabelaResultadosAcademicos[Quantidade de notas],TabelaResultadosAcademicos[Período],$H$4,TabelaResultadosAcademicos[Curso],IF($A126="(todos)","*",$A126),TabelaResultadosAcademicos[Disciplina],IF($B126="(todas)","*",$B126))),"")</f>
        <v/>
      </c>
      <c r="I126" s="347">
        <f>IF(OR($A126="",$B126=""),"",SUMIFS(TabelaResultadosAcademicos[Total],TabelaResultadosAcademicos[Período],$H$4,TabelaResultadosAcademicos[Curso],IF($A126="(todos)","*",$A126),TabelaResultadosAcademicos[Disciplina],IF($B126="(todas)","*",$B126)))</f>
        <v/>
      </c>
      <c r="J126" s="343">
        <f>$H$4</f>
        <v/>
      </c>
    </row>
    <row r="127" ht="15" customHeight="1" s="131">
      <c r="A127" s="356">
        <f>DISCIPLINAS!A100</f>
        <v/>
      </c>
      <c r="B127" s="356">
        <f>DISCIPLINAS!B100</f>
        <v/>
      </c>
      <c r="C127" s="350">
        <f>SUMIFS(TabelaResultadosAcademicos[Aprovados],TabelaResultadosAcademicos[Período],$H$4,TabelaResultadosAcademicos[Curso],IF($A127="(todos)","*",$A127),TabelaResultadosAcademicos[Disciplina],IF($B127="(todas)","*",$B127))</f>
        <v/>
      </c>
      <c r="D127" s="350">
        <f>SUMIFS(TabelaResultadosAcademicos[Reprovados por nota],TabelaResultadosAcademicos[Período],$H$4,TabelaResultadosAcademicos[Curso],IF($A127="(todos)","*",$A127),TabelaResultadosAcademicos[Disciplina],IF($B127="(todas)","*",$B127))</f>
        <v/>
      </c>
      <c r="E127" s="350">
        <f>SUMIFS(TabelaResultadosAcademicos[Reprovados por falta],TabelaResultadosAcademicos[Período],$H$4,TabelaResultadosAcademicos[Curso],IF($A127="(todos)","*",$A127),TabelaResultadosAcademicos[Disciplina],IF($B127="(todas)","*",$B127))</f>
        <v/>
      </c>
      <c r="F127" s="350">
        <f>SUMIFS(TabelaResultadosAcademicos[Reprovados outros],TabelaResultadosAcademicos[Período],$H$4,TabelaResultadosAcademicos[Curso],IF($A127="(todos)","*",$A127),TabelaResultadosAcademicos[Disciplina],IF($B127="(todas)","*",$B127))</f>
        <v/>
      </c>
      <c r="G127" s="349">
        <f>IF(OR($A127="",$B127=""),"",IFERROR(C127/(C127+SUMIFS(TabelaResultadosAcademicos[Reprovados],TabelaResultadosAcademicos[Período],$H$4,TabelaResultadosAcademicos[Curso],IF($A127="(todos)","*",$A127),TabelaResultadosAcademicos[Disciplina],IF($B127="(todas)","*",$B127)))*100,""))</f>
        <v/>
      </c>
      <c r="H127" s="348">
        <f>IFERROR((SUMIFS(TabelaResultadosAcademicos[Soma das notas],TabelaResultadosAcademicos[Período],$H$4,TabelaResultadosAcademicos[Curso],IF($A127="(todos)","*",$A127),TabelaResultadosAcademicos[Disciplina],IF($B127="(todas)","*",$B127)))/(SUMIFS(TabelaResultadosAcademicos[Quantidade de notas],TabelaResultadosAcademicos[Período],$H$4,TabelaResultadosAcademicos[Curso],IF($A127="(todos)","*",$A127),TabelaResultadosAcademicos[Disciplina],IF($B127="(todas)","*",$B127))),"")</f>
        <v/>
      </c>
      <c r="I127" s="347">
        <f>IF(OR($A127="",$B127=""),"",SUMIFS(TabelaResultadosAcademicos[Total],TabelaResultadosAcademicos[Período],$H$4,TabelaResultadosAcademicos[Curso],IF($A127="(todos)","*",$A127),TabelaResultadosAcademicos[Disciplina],IF($B127="(todas)","*",$B127)))</f>
        <v/>
      </c>
      <c r="J127" s="343">
        <f>$H$4</f>
        <v/>
      </c>
    </row>
    <row r="128" ht="21.75" customHeight="1" s="131">
      <c r="A128" s="356">
        <f>DISCIPLINAS!A101</f>
        <v/>
      </c>
      <c r="B128" s="356">
        <f>DISCIPLINAS!B101</f>
        <v/>
      </c>
      <c r="C128" s="350">
        <f>SUMIFS(TabelaResultadosAcademicos[Aprovados],TabelaResultadosAcademicos[Período],$H$4,TabelaResultadosAcademicos[Curso],IF($A128="(todos)","*",$A128),TabelaResultadosAcademicos[Disciplina],IF($B128="(todas)","*",$B128))</f>
        <v/>
      </c>
      <c r="D128" s="350">
        <f>SUMIFS(TabelaResultadosAcademicos[Reprovados por nota],TabelaResultadosAcademicos[Período],$H$4,TabelaResultadosAcademicos[Curso],IF($A128="(todos)","*",$A128),TabelaResultadosAcademicos[Disciplina],IF($B128="(todas)","*",$B128))</f>
        <v/>
      </c>
      <c r="E128" s="350">
        <f>SUMIFS(TabelaResultadosAcademicos[Reprovados por falta],TabelaResultadosAcademicos[Período],$H$4,TabelaResultadosAcademicos[Curso],IF($A128="(todos)","*",$A128),TabelaResultadosAcademicos[Disciplina],IF($B128="(todas)","*",$B128))</f>
        <v/>
      </c>
      <c r="F128" s="350">
        <f>SUMIFS(TabelaResultadosAcademicos[Reprovados outros],TabelaResultadosAcademicos[Período],$H$4,TabelaResultadosAcademicos[Curso],IF($A128="(todos)","*",$A128),TabelaResultadosAcademicos[Disciplina],IF($B128="(todas)","*",$B128))</f>
        <v/>
      </c>
      <c r="G128" s="349">
        <f>IF(OR($A128="",$B128=""),"",IFERROR(C128/(C128+SUMIFS(TabelaResultadosAcademicos[Reprovados],TabelaResultadosAcademicos[Período],$H$4,TabelaResultadosAcademicos[Curso],IF($A128="(todos)","*",$A128),TabelaResultadosAcademicos[Disciplina],IF($B128="(todas)","*",$B128)))*100,""))</f>
        <v/>
      </c>
      <c r="H128" s="348">
        <f>IFERROR((SUMIFS(TabelaResultadosAcademicos[Soma das notas],TabelaResultadosAcademicos[Período],$H$4,TabelaResultadosAcademicos[Curso],IF($A128="(todos)","*",$A128),TabelaResultadosAcademicos[Disciplina],IF($B128="(todas)","*",$B128)))/(SUMIFS(TabelaResultadosAcademicos[Quantidade de notas],TabelaResultadosAcademicos[Período],$H$4,TabelaResultadosAcademicos[Curso],IF($A128="(todos)","*",$A128),TabelaResultadosAcademicos[Disciplina],IF($B128="(todas)","*",$B128))),"")</f>
        <v/>
      </c>
      <c r="I128" s="347">
        <f>IF(OR($A128="",$B128=""),"",SUMIFS(TabelaResultadosAcademicos[Total],TabelaResultadosAcademicos[Período],$H$4,TabelaResultadosAcademicos[Curso],IF($A128="(todos)","*",$A128),TabelaResultadosAcademicos[Disciplina],IF($B128="(todas)","*",$B128)))</f>
        <v/>
      </c>
      <c r="J128" s="343">
        <f>$H$4</f>
        <v/>
      </c>
    </row>
    <row r="129" ht="32.25" customHeight="1" s="131">
      <c r="A129" s="356">
        <f>DISCIPLINAS!A102</f>
        <v/>
      </c>
      <c r="B129" s="356">
        <f>DISCIPLINAS!B102</f>
        <v/>
      </c>
      <c r="C129" s="350">
        <f>SUMIFS(TabelaResultadosAcademicos[Aprovados],TabelaResultadosAcademicos[Período],$H$4,TabelaResultadosAcademicos[Curso],IF($A129="(todos)","*",$A129),TabelaResultadosAcademicos[Disciplina],IF($B129="(todas)","*",$B129))</f>
        <v/>
      </c>
      <c r="D129" s="350">
        <f>SUMIFS(TabelaResultadosAcademicos[Reprovados por nota],TabelaResultadosAcademicos[Período],$H$4,TabelaResultadosAcademicos[Curso],IF($A129="(todos)","*",$A129),TabelaResultadosAcademicos[Disciplina],IF($B129="(todas)","*",$B129))</f>
        <v/>
      </c>
      <c r="E129" s="350">
        <f>SUMIFS(TabelaResultadosAcademicos[Reprovados por falta],TabelaResultadosAcademicos[Período],$H$4,TabelaResultadosAcademicos[Curso],IF($A129="(todos)","*",$A129),TabelaResultadosAcademicos[Disciplina],IF($B129="(todas)","*",$B129))</f>
        <v/>
      </c>
      <c r="F129" s="350">
        <f>SUMIFS(TabelaResultadosAcademicos[Reprovados outros],TabelaResultadosAcademicos[Período],$H$4,TabelaResultadosAcademicos[Curso],IF($A129="(todos)","*",$A129),TabelaResultadosAcademicos[Disciplina],IF($B129="(todas)","*",$B129))</f>
        <v/>
      </c>
      <c r="G129" s="349">
        <f>IF(OR($A129="",$B129=""),"",IFERROR(C129/(C129+SUMIFS(TabelaResultadosAcademicos[Reprovados],TabelaResultadosAcademicos[Período],$H$4,TabelaResultadosAcademicos[Curso],IF($A129="(todos)","*",$A129),TabelaResultadosAcademicos[Disciplina],IF($B129="(todas)","*",$B129)))*100,""))</f>
        <v/>
      </c>
      <c r="H129" s="348">
        <f>IFERROR((SUMIFS(TabelaResultadosAcademicos[Soma das notas],TabelaResultadosAcademicos[Período],$H$4,TabelaResultadosAcademicos[Curso],IF($A129="(todos)","*",$A129),TabelaResultadosAcademicos[Disciplina],IF($B129="(todas)","*",$B129)))/(SUMIFS(TabelaResultadosAcademicos[Quantidade de notas],TabelaResultadosAcademicos[Período],$H$4,TabelaResultadosAcademicos[Curso],IF($A129="(todos)","*",$A129),TabelaResultadosAcademicos[Disciplina],IF($B129="(todas)","*",$B129))),"")</f>
        <v/>
      </c>
      <c r="I129" s="347">
        <f>IF(OR($A129="",$B129=""),"",SUMIFS(TabelaResultadosAcademicos[Total],TabelaResultadosAcademicos[Período],$H$4,TabelaResultadosAcademicos[Curso],IF($A129="(todos)","*",$A129),TabelaResultadosAcademicos[Disciplina],IF($B129="(todas)","*",$B129)))</f>
        <v/>
      </c>
      <c r="J129" s="343">
        <f>$H$4</f>
        <v/>
      </c>
    </row>
    <row r="130" ht="15" customHeight="1" s="131">
      <c r="A130" s="356">
        <f>DISCIPLINAS!A103</f>
        <v/>
      </c>
      <c r="B130" s="356">
        <f>DISCIPLINAS!B103</f>
        <v/>
      </c>
      <c r="C130" s="350">
        <f>SUMIFS(TabelaResultadosAcademicos[Aprovados],TabelaResultadosAcademicos[Período],$H$4,TabelaResultadosAcademicos[Curso],IF($A130="(todos)","*",$A130),TabelaResultadosAcademicos[Disciplina],IF($B130="(todas)","*",$B130))</f>
        <v/>
      </c>
      <c r="D130" s="350">
        <f>SUMIFS(TabelaResultadosAcademicos[Reprovados por nota],TabelaResultadosAcademicos[Período],$H$4,TabelaResultadosAcademicos[Curso],IF($A130="(todos)","*",$A130),TabelaResultadosAcademicos[Disciplina],IF($B130="(todas)","*",$B130))</f>
        <v/>
      </c>
      <c r="E130" s="350">
        <f>SUMIFS(TabelaResultadosAcademicos[Reprovados por falta],TabelaResultadosAcademicos[Período],$H$4,TabelaResultadosAcademicos[Curso],IF($A130="(todos)","*",$A130),TabelaResultadosAcademicos[Disciplina],IF($B130="(todas)","*",$B130))</f>
        <v/>
      </c>
      <c r="F130" s="350">
        <f>SUMIFS(TabelaResultadosAcademicos[Reprovados outros],TabelaResultadosAcademicos[Período],$H$4,TabelaResultadosAcademicos[Curso],IF($A130="(todos)","*",$A130),TabelaResultadosAcademicos[Disciplina],IF($B130="(todas)","*",$B130))</f>
        <v/>
      </c>
      <c r="G130" s="349">
        <f>IF(OR($A130="",$B130=""),"",IFERROR(C130/(C130+SUMIFS(TabelaResultadosAcademicos[Reprovados],TabelaResultadosAcademicos[Período],$H$4,TabelaResultadosAcademicos[Curso],IF($A130="(todos)","*",$A130),TabelaResultadosAcademicos[Disciplina],IF($B130="(todas)","*",$B130)))*100,""))</f>
        <v/>
      </c>
      <c r="H130" s="348">
        <f>IFERROR((SUMIFS(TabelaResultadosAcademicos[Soma das notas],TabelaResultadosAcademicos[Período],$H$4,TabelaResultadosAcademicos[Curso],IF($A130="(todos)","*",$A130),TabelaResultadosAcademicos[Disciplina],IF($B130="(todas)","*",$B130)))/(SUMIFS(TabelaResultadosAcademicos[Quantidade de notas],TabelaResultadosAcademicos[Período],$H$4,TabelaResultadosAcademicos[Curso],IF($A130="(todos)","*",$A130),TabelaResultadosAcademicos[Disciplina],IF($B130="(todas)","*",$B130))),"")</f>
        <v/>
      </c>
      <c r="I130" s="347">
        <f>IF(OR($A130="",$B130=""),"",SUMIFS(TabelaResultadosAcademicos[Total],TabelaResultadosAcademicos[Período],$H$4,TabelaResultadosAcademicos[Curso],IF($A130="(todos)","*",$A130),TabelaResultadosAcademicos[Disciplina],IF($B130="(todas)","*",$B130)))</f>
        <v/>
      </c>
      <c r="J130" s="343">
        <f>$H$4</f>
        <v/>
      </c>
    </row>
    <row r="131" ht="21.75" customHeight="1" s="131">
      <c r="A131" s="356">
        <f>DISCIPLINAS!A104</f>
        <v/>
      </c>
      <c r="B131" s="356">
        <f>DISCIPLINAS!B104</f>
        <v/>
      </c>
      <c r="C131" s="350">
        <f>SUMIFS(TabelaResultadosAcademicos[Aprovados],TabelaResultadosAcademicos[Período],$H$4,TabelaResultadosAcademicos[Curso],IF($A131="(todos)","*",$A131),TabelaResultadosAcademicos[Disciplina],IF($B131="(todas)","*",$B131))</f>
        <v/>
      </c>
      <c r="D131" s="350">
        <f>SUMIFS(TabelaResultadosAcademicos[Reprovados por nota],TabelaResultadosAcademicos[Período],$H$4,TabelaResultadosAcademicos[Curso],IF($A131="(todos)","*",$A131),TabelaResultadosAcademicos[Disciplina],IF($B131="(todas)","*",$B131))</f>
        <v/>
      </c>
      <c r="E131" s="350">
        <f>SUMIFS(TabelaResultadosAcademicos[Reprovados por falta],TabelaResultadosAcademicos[Período],$H$4,TabelaResultadosAcademicos[Curso],IF($A131="(todos)","*",$A131),TabelaResultadosAcademicos[Disciplina],IF($B131="(todas)","*",$B131))</f>
        <v/>
      </c>
      <c r="F131" s="350">
        <f>SUMIFS(TabelaResultadosAcademicos[Reprovados outros],TabelaResultadosAcademicos[Período],$H$4,TabelaResultadosAcademicos[Curso],IF($A131="(todos)","*",$A131),TabelaResultadosAcademicos[Disciplina],IF($B131="(todas)","*",$B131))</f>
        <v/>
      </c>
      <c r="G131" s="349">
        <f>IF(OR($A131="",$B131=""),"",IFERROR(C131/(C131+SUMIFS(TabelaResultadosAcademicos[Reprovados],TabelaResultadosAcademicos[Período],$H$4,TabelaResultadosAcademicos[Curso],IF($A131="(todos)","*",$A131),TabelaResultadosAcademicos[Disciplina],IF($B131="(todas)","*",$B131)))*100,""))</f>
        <v/>
      </c>
      <c r="H131" s="348">
        <f>IFERROR((SUMIFS(TabelaResultadosAcademicos[Soma das notas],TabelaResultadosAcademicos[Período],$H$4,TabelaResultadosAcademicos[Curso],IF($A131="(todos)","*",$A131),TabelaResultadosAcademicos[Disciplina],IF($B131="(todas)","*",$B131)))/(SUMIFS(TabelaResultadosAcademicos[Quantidade de notas],TabelaResultadosAcademicos[Período],$H$4,TabelaResultadosAcademicos[Curso],IF($A131="(todos)","*",$A131),TabelaResultadosAcademicos[Disciplina],IF($B131="(todas)","*",$B131))),"")</f>
        <v/>
      </c>
      <c r="I131" s="347">
        <f>IF(OR($A131="",$B131=""),"",SUMIFS(TabelaResultadosAcademicos[Total],TabelaResultadosAcademicos[Período],$H$4,TabelaResultadosAcademicos[Curso],IF($A131="(todos)","*",$A131),TabelaResultadosAcademicos[Disciplina],IF($B131="(todas)","*",$B131)))</f>
        <v/>
      </c>
      <c r="J131" s="343">
        <f>$H$4</f>
        <v/>
      </c>
    </row>
    <row r="132" ht="21.75" customHeight="1" s="131">
      <c r="A132" s="356">
        <f>DISCIPLINAS!A105</f>
        <v/>
      </c>
      <c r="B132" s="356">
        <f>DISCIPLINAS!B105</f>
        <v/>
      </c>
      <c r="C132" s="350">
        <f>SUMIFS(TabelaResultadosAcademicos[Aprovados],TabelaResultadosAcademicos[Período],$H$4,TabelaResultadosAcademicos[Curso],IF($A132="(todos)","*",$A132),TabelaResultadosAcademicos[Disciplina],IF($B132="(todas)","*",$B132))</f>
        <v/>
      </c>
      <c r="D132" s="350">
        <f>SUMIFS(TabelaResultadosAcademicos[Reprovados por nota],TabelaResultadosAcademicos[Período],$H$4,TabelaResultadosAcademicos[Curso],IF($A132="(todos)","*",$A132),TabelaResultadosAcademicos[Disciplina],IF($B132="(todas)","*",$B132))</f>
        <v/>
      </c>
      <c r="E132" s="350">
        <f>SUMIFS(TabelaResultadosAcademicos[Reprovados por falta],TabelaResultadosAcademicos[Período],$H$4,TabelaResultadosAcademicos[Curso],IF($A132="(todos)","*",$A132),TabelaResultadosAcademicos[Disciplina],IF($B132="(todas)","*",$B132))</f>
        <v/>
      </c>
      <c r="F132" s="350">
        <f>SUMIFS(TabelaResultadosAcademicos[Reprovados outros],TabelaResultadosAcademicos[Período],$H$4,TabelaResultadosAcademicos[Curso],IF($A132="(todos)","*",$A132),TabelaResultadosAcademicos[Disciplina],IF($B132="(todas)","*",$B132))</f>
        <v/>
      </c>
      <c r="G132" s="349">
        <f>IF(OR($A132="",$B132=""),"",IFERROR(C132/(C132+SUMIFS(TabelaResultadosAcademicos[Reprovados],TabelaResultadosAcademicos[Período],$H$4,TabelaResultadosAcademicos[Curso],IF($A132="(todos)","*",$A132),TabelaResultadosAcademicos[Disciplina],IF($B132="(todas)","*",$B132)))*100,""))</f>
        <v/>
      </c>
      <c r="H132" s="348">
        <f>IFERROR((SUMIFS(TabelaResultadosAcademicos[Soma das notas],TabelaResultadosAcademicos[Período],$H$4,TabelaResultadosAcademicos[Curso],IF($A132="(todos)","*",$A132),TabelaResultadosAcademicos[Disciplina],IF($B132="(todas)","*",$B132)))/(SUMIFS(TabelaResultadosAcademicos[Quantidade de notas],TabelaResultadosAcademicos[Período],$H$4,TabelaResultadosAcademicos[Curso],IF($A132="(todos)","*",$A132),TabelaResultadosAcademicos[Disciplina],IF($B132="(todas)","*",$B132))),"")</f>
        <v/>
      </c>
      <c r="I132" s="347">
        <f>IF(OR($A132="",$B132=""),"",SUMIFS(TabelaResultadosAcademicos[Total],TabelaResultadosAcademicos[Período],$H$4,TabelaResultadosAcademicos[Curso],IF($A132="(todos)","*",$A132),TabelaResultadosAcademicos[Disciplina],IF($B132="(todas)","*",$B132)))</f>
        <v/>
      </c>
      <c r="J132" s="343">
        <f>$H$4</f>
        <v/>
      </c>
    </row>
    <row r="133" ht="21.75" customHeight="1" s="131">
      <c r="A133" s="356">
        <f>DISCIPLINAS!A106</f>
        <v/>
      </c>
      <c r="B133" s="356">
        <f>DISCIPLINAS!B106</f>
        <v/>
      </c>
      <c r="C133" s="350">
        <f>SUMIFS(TabelaResultadosAcademicos[Aprovados],TabelaResultadosAcademicos[Período],$H$4,TabelaResultadosAcademicos[Curso],IF($A133="(todos)","*",$A133),TabelaResultadosAcademicos[Disciplina],IF($B133="(todas)","*",$B133))</f>
        <v/>
      </c>
      <c r="D133" s="350">
        <f>SUMIFS(TabelaResultadosAcademicos[Reprovados por nota],TabelaResultadosAcademicos[Período],$H$4,TabelaResultadosAcademicos[Curso],IF($A133="(todos)","*",$A133),TabelaResultadosAcademicos[Disciplina],IF($B133="(todas)","*",$B133))</f>
        <v/>
      </c>
      <c r="E133" s="350">
        <f>SUMIFS(TabelaResultadosAcademicos[Reprovados por falta],TabelaResultadosAcademicos[Período],$H$4,TabelaResultadosAcademicos[Curso],IF($A133="(todos)","*",$A133),TabelaResultadosAcademicos[Disciplina],IF($B133="(todas)","*",$B133))</f>
        <v/>
      </c>
      <c r="F133" s="350">
        <f>SUMIFS(TabelaResultadosAcademicos[Reprovados outros],TabelaResultadosAcademicos[Período],$H$4,TabelaResultadosAcademicos[Curso],IF($A133="(todos)","*",$A133),TabelaResultadosAcademicos[Disciplina],IF($B133="(todas)","*",$B133))</f>
        <v/>
      </c>
      <c r="G133" s="349">
        <f>IF(OR($A133="",$B133=""),"",IFERROR(C133/(C133+SUMIFS(TabelaResultadosAcademicos[Reprovados],TabelaResultadosAcademicos[Período],$H$4,TabelaResultadosAcademicos[Curso],IF($A133="(todos)","*",$A133),TabelaResultadosAcademicos[Disciplina],IF($B133="(todas)","*",$B133)))*100,""))</f>
        <v/>
      </c>
      <c r="H133" s="348">
        <f>IFERROR((SUMIFS(TabelaResultadosAcademicos[Soma das notas],TabelaResultadosAcademicos[Período],$H$4,TabelaResultadosAcademicos[Curso],IF($A133="(todos)","*",$A133),TabelaResultadosAcademicos[Disciplina],IF($B133="(todas)","*",$B133)))/(SUMIFS(TabelaResultadosAcademicos[Quantidade de notas],TabelaResultadosAcademicos[Período],$H$4,TabelaResultadosAcademicos[Curso],IF($A133="(todos)","*",$A133),TabelaResultadosAcademicos[Disciplina],IF($B133="(todas)","*",$B133))),"")</f>
        <v/>
      </c>
      <c r="I133" s="347">
        <f>IF(OR($A133="",$B133=""),"",SUMIFS(TabelaResultadosAcademicos[Total],TabelaResultadosAcademicos[Período],$H$4,TabelaResultadosAcademicos[Curso],IF($A133="(todos)","*",$A133),TabelaResultadosAcademicos[Disciplina],IF($B133="(todas)","*",$B133)))</f>
        <v/>
      </c>
      <c r="J133" s="343">
        <f>$H$4</f>
        <v/>
      </c>
    </row>
    <row r="134" ht="21.75" customHeight="1" s="131">
      <c r="A134" s="356">
        <f>DISCIPLINAS!A107</f>
        <v/>
      </c>
      <c r="B134" s="356">
        <f>DISCIPLINAS!B107</f>
        <v/>
      </c>
      <c r="C134" s="350">
        <f>SUMIFS(TabelaResultadosAcademicos[Aprovados],TabelaResultadosAcademicos[Período],$H$4,TabelaResultadosAcademicos[Curso],IF($A134="(todos)","*",$A134),TabelaResultadosAcademicos[Disciplina],IF($B134="(todas)","*",$B134))</f>
        <v/>
      </c>
      <c r="D134" s="350">
        <f>SUMIFS(TabelaResultadosAcademicos[Reprovados por nota],TabelaResultadosAcademicos[Período],$H$4,TabelaResultadosAcademicos[Curso],IF($A134="(todos)","*",$A134),TabelaResultadosAcademicos[Disciplina],IF($B134="(todas)","*",$B134))</f>
        <v/>
      </c>
      <c r="E134" s="350">
        <f>SUMIFS(TabelaResultadosAcademicos[Reprovados por falta],TabelaResultadosAcademicos[Período],$H$4,TabelaResultadosAcademicos[Curso],IF($A134="(todos)","*",$A134),TabelaResultadosAcademicos[Disciplina],IF($B134="(todas)","*",$B134))</f>
        <v/>
      </c>
      <c r="F134" s="350">
        <f>SUMIFS(TabelaResultadosAcademicos[Reprovados outros],TabelaResultadosAcademicos[Período],$H$4,TabelaResultadosAcademicos[Curso],IF($A134="(todos)","*",$A134),TabelaResultadosAcademicos[Disciplina],IF($B134="(todas)","*",$B134))</f>
        <v/>
      </c>
      <c r="G134" s="349">
        <f>IF(OR($A134="",$B134=""),"",IFERROR(C134/(C134+SUMIFS(TabelaResultadosAcademicos[Reprovados],TabelaResultadosAcademicos[Período],$H$4,TabelaResultadosAcademicos[Curso],IF($A134="(todos)","*",$A134),TabelaResultadosAcademicos[Disciplina],IF($B134="(todas)","*",$B134)))*100,""))</f>
        <v/>
      </c>
      <c r="H134" s="348">
        <f>IFERROR((SUMIFS(TabelaResultadosAcademicos[Soma das notas],TabelaResultadosAcademicos[Período],$H$4,TabelaResultadosAcademicos[Curso],IF($A134="(todos)","*",$A134),TabelaResultadosAcademicos[Disciplina],IF($B134="(todas)","*",$B134)))/(SUMIFS(TabelaResultadosAcademicos[Quantidade de notas],TabelaResultadosAcademicos[Período],$H$4,TabelaResultadosAcademicos[Curso],IF($A134="(todos)","*",$A134),TabelaResultadosAcademicos[Disciplina],IF($B134="(todas)","*",$B134))),"")</f>
        <v/>
      </c>
      <c r="I134" s="347">
        <f>IF(OR($A134="",$B134=""),"",SUMIFS(TabelaResultadosAcademicos[Total],TabelaResultadosAcademicos[Período],$H$4,TabelaResultadosAcademicos[Curso],IF($A134="(todos)","*",$A134),TabelaResultadosAcademicos[Disciplina],IF($B134="(todas)","*",$B134)))</f>
        <v/>
      </c>
      <c r="J134" s="343">
        <f>$H$4</f>
        <v/>
      </c>
    </row>
    <row r="135" ht="15" customHeight="1" s="131">
      <c r="A135" s="356">
        <f>DISCIPLINAS!A108</f>
        <v/>
      </c>
      <c r="B135" s="356">
        <f>DISCIPLINAS!B108</f>
        <v/>
      </c>
      <c r="C135" s="350">
        <f>SUMIFS(TabelaResultadosAcademicos[Aprovados],TabelaResultadosAcademicos[Período],$H$4,TabelaResultadosAcademicos[Curso],IF($A135="(todos)","*",$A135),TabelaResultadosAcademicos[Disciplina],IF($B135="(todas)","*",$B135))</f>
        <v/>
      </c>
      <c r="D135" s="350">
        <f>SUMIFS(TabelaResultadosAcademicos[Reprovados por nota],TabelaResultadosAcademicos[Período],$H$4,TabelaResultadosAcademicos[Curso],IF($A135="(todos)","*",$A135),TabelaResultadosAcademicos[Disciplina],IF($B135="(todas)","*",$B135))</f>
        <v/>
      </c>
      <c r="E135" s="350">
        <f>SUMIFS(TabelaResultadosAcademicos[Reprovados por falta],TabelaResultadosAcademicos[Período],$H$4,TabelaResultadosAcademicos[Curso],IF($A135="(todos)","*",$A135),TabelaResultadosAcademicos[Disciplina],IF($B135="(todas)","*",$B135))</f>
        <v/>
      </c>
      <c r="F135" s="350">
        <f>SUMIFS(TabelaResultadosAcademicos[Reprovados outros],TabelaResultadosAcademicos[Período],$H$4,TabelaResultadosAcademicos[Curso],IF($A135="(todos)","*",$A135),TabelaResultadosAcademicos[Disciplina],IF($B135="(todas)","*",$B135))</f>
        <v/>
      </c>
      <c r="G135" s="349">
        <f>IF(OR($A135="",$B135=""),"",IFERROR(C135/(C135+SUMIFS(TabelaResultadosAcademicos[Reprovados],TabelaResultadosAcademicos[Período],$H$4,TabelaResultadosAcademicos[Curso],IF($A135="(todos)","*",$A135),TabelaResultadosAcademicos[Disciplina],IF($B135="(todas)","*",$B135)))*100,""))</f>
        <v/>
      </c>
      <c r="H135" s="348">
        <f>IFERROR((SUMIFS(TabelaResultadosAcademicos[Soma das notas],TabelaResultadosAcademicos[Período],$H$4,TabelaResultadosAcademicos[Curso],IF($A135="(todos)","*",$A135),TabelaResultadosAcademicos[Disciplina],IF($B135="(todas)","*",$B135)))/(SUMIFS(TabelaResultadosAcademicos[Quantidade de notas],TabelaResultadosAcademicos[Período],$H$4,TabelaResultadosAcademicos[Curso],IF($A135="(todos)","*",$A135),TabelaResultadosAcademicos[Disciplina],IF($B135="(todas)","*",$B135))),"")</f>
        <v/>
      </c>
      <c r="I135" s="347">
        <f>IF(OR($A135="",$B135=""),"",SUMIFS(TabelaResultadosAcademicos[Total],TabelaResultadosAcademicos[Período],$H$4,TabelaResultadosAcademicos[Curso],IF($A135="(todos)","*",$A135),TabelaResultadosAcademicos[Disciplina],IF($B135="(todas)","*",$B135)))</f>
        <v/>
      </c>
      <c r="J135" s="343">
        <f>$H$4</f>
        <v/>
      </c>
    </row>
    <row r="136" ht="15" customHeight="1" s="131">
      <c r="A136" s="356">
        <f>DISCIPLINAS!A109</f>
        <v/>
      </c>
      <c r="B136" s="356">
        <f>DISCIPLINAS!B109</f>
        <v/>
      </c>
      <c r="C136" s="350">
        <f>SUMIFS(TabelaResultadosAcademicos[Aprovados],TabelaResultadosAcademicos[Período],$H$4,TabelaResultadosAcademicos[Curso],IF($A136="(todos)","*",$A136),TabelaResultadosAcademicos[Disciplina],IF($B136="(todas)","*",$B136))</f>
        <v/>
      </c>
      <c r="D136" s="350">
        <f>SUMIFS(TabelaResultadosAcademicos[Reprovados por nota],TabelaResultadosAcademicos[Período],$H$4,TabelaResultadosAcademicos[Curso],IF($A136="(todos)","*",$A136),TabelaResultadosAcademicos[Disciplina],IF($B136="(todas)","*",$B136))</f>
        <v/>
      </c>
      <c r="E136" s="350">
        <f>SUMIFS(TabelaResultadosAcademicos[Reprovados por falta],TabelaResultadosAcademicos[Período],$H$4,TabelaResultadosAcademicos[Curso],IF($A136="(todos)","*",$A136),TabelaResultadosAcademicos[Disciplina],IF($B136="(todas)","*",$B136))</f>
        <v/>
      </c>
      <c r="F136" s="350">
        <f>SUMIFS(TabelaResultadosAcademicos[Reprovados outros],TabelaResultadosAcademicos[Período],$H$4,TabelaResultadosAcademicos[Curso],IF($A136="(todos)","*",$A136),TabelaResultadosAcademicos[Disciplina],IF($B136="(todas)","*",$B136))</f>
        <v/>
      </c>
      <c r="G136" s="349">
        <f>IF(OR($A136="",$B136=""),"",IFERROR(C136/(C136+SUMIFS(TabelaResultadosAcademicos[Reprovados],TabelaResultadosAcademicos[Período],$H$4,TabelaResultadosAcademicos[Curso],IF($A136="(todos)","*",$A136),TabelaResultadosAcademicos[Disciplina],IF($B136="(todas)","*",$B136)))*100,""))</f>
        <v/>
      </c>
      <c r="H136" s="348">
        <f>IFERROR((SUMIFS(TabelaResultadosAcademicos[Soma das notas],TabelaResultadosAcademicos[Período],$H$4,TabelaResultadosAcademicos[Curso],IF($A136="(todos)","*",$A136),TabelaResultadosAcademicos[Disciplina],IF($B136="(todas)","*",$B136)))/(SUMIFS(TabelaResultadosAcademicos[Quantidade de notas],TabelaResultadosAcademicos[Período],$H$4,TabelaResultadosAcademicos[Curso],IF($A136="(todos)","*",$A136),TabelaResultadosAcademicos[Disciplina],IF($B136="(todas)","*",$B136))),"")</f>
        <v/>
      </c>
      <c r="I136" s="347">
        <f>IF(OR($A136="",$B136=""),"",SUMIFS(TabelaResultadosAcademicos[Total],TabelaResultadosAcademicos[Período],$H$4,TabelaResultadosAcademicos[Curso],IF($A136="(todos)","*",$A136),TabelaResultadosAcademicos[Disciplina],IF($B136="(todas)","*",$B136)))</f>
        <v/>
      </c>
      <c r="J136" s="343">
        <f>$H$4</f>
        <v/>
      </c>
    </row>
    <row r="137" ht="21.75" customHeight="1" s="131">
      <c r="A137" s="356">
        <f>DISCIPLINAS!A110</f>
        <v/>
      </c>
      <c r="B137" s="356">
        <f>DISCIPLINAS!B110</f>
        <v/>
      </c>
      <c r="C137" s="350">
        <f>SUMIFS(TabelaResultadosAcademicos[Aprovados],TabelaResultadosAcademicos[Período],$H$4,TabelaResultadosAcademicos[Curso],IF($A137="(todos)","*",$A137),TabelaResultadosAcademicos[Disciplina],IF($B137="(todas)","*",$B137))</f>
        <v/>
      </c>
      <c r="D137" s="350">
        <f>SUMIFS(TabelaResultadosAcademicos[Reprovados por nota],TabelaResultadosAcademicos[Período],$H$4,TabelaResultadosAcademicos[Curso],IF($A137="(todos)","*",$A137),TabelaResultadosAcademicos[Disciplina],IF($B137="(todas)","*",$B137))</f>
        <v/>
      </c>
      <c r="E137" s="350">
        <f>SUMIFS(TabelaResultadosAcademicos[Reprovados por falta],TabelaResultadosAcademicos[Período],$H$4,TabelaResultadosAcademicos[Curso],IF($A137="(todos)","*",$A137),TabelaResultadosAcademicos[Disciplina],IF($B137="(todas)","*",$B137))</f>
        <v/>
      </c>
      <c r="F137" s="350">
        <f>SUMIFS(TabelaResultadosAcademicos[Reprovados outros],TabelaResultadosAcademicos[Período],$H$4,TabelaResultadosAcademicos[Curso],IF($A137="(todos)","*",$A137),TabelaResultadosAcademicos[Disciplina],IF($B137="(todas)","*",$B137))</f>
        <v/>
      </c>
      <c r="G137" s="349">
        <f>IF(OR($A137="",$B137=""),"",IFERROR(C137/(C137+SUMIFS(TabelaResultadosAcademicos[Reprovados],TabelaResultadosAcademicos[Período],$H$4,TabelaResultadosAcademicos[Curso],IF($A137="(todos)","*",$A137),TabelaResultadosAcademicos[Disciplina],IF($B137="(todas)","*",$B137)))*100,""))</f>
        <v/>
      </c>
      <c r="H137" s="348">
        <f>IFERROR((SUMIFS(TabelaResultadosAcademicos[Soma das notas],TabelaResultadosAcademicos[Período],$H$4,TabelaResultadosAcademicos[Curso],IF($A137="(todos)","*",$A137),TabelaResultadosAcademicos[Disciplina],IF($B137="(todas)","*",$B137)))/(SUMIFS(TabelaResultadosAcademicos[Quantidade de notas],TabelaResultadosAcademicos[Período],$H$4,TabelaResultadosAcademicos[Curso],IF($A137="(todos)","*",$A137),TabelaResultadosAcademicos[Disciplina],IF($B137="(todas)","*",$B137))),"")</f>
        <v/>
      </c>
      <c r="I137" s="347">
        <f>IF(OR($A137="",$B137=""),"",SUMIFS(TabelaResultadosAcademicos[Total],TabelaResultadosAcademicos[Período],$H$4,TabelaResultadosAcademicos[Curso],IF($A137="(todos)","*",$A137),TabelaResultadosAcademicos[Disciplina],IF($B137="(todas)","*",$B137)))</f>
        <v/>
      </c>
      <c r="J137" s="343">
        <f>$H$4</f>
        <v/>
      </c>
    </row>
    <row r="138" ht="21.75" customHeight="1" s="131">
      <c r="A138" s="356">
        <f>DISCIPLINAS!A111</f>
        <v/>
      </c>
      <c r="B138" s="356">
        <f>DISCIPLINAS!B111</f>
        <v/>
      </c>
      <c r="C138" s="350">
        <f>SUMIFS(TabelaResultadosAcademicos[Aprovados],TabelaResultadosAcademicos[Período],$H$4,TabelaResultadosAcademicos[Curso],IF($A138="(todos)","*",$A138),TabelaResultadosAcademicos[Disciplina],IF($B138="(todas)","*",$B138))</f>
        <v/>
      </c>
      <c r="D138" s="350">
        <f>SUMIFS(TabelaResultadosAcademicos[Reprovados por nota],TabelaResultadosAcademicos[Período],$H$4,TabelaResultadosAcademicos[Curso],IF($A138="(todos)","*",$A138),TabelaResultadosAcademicos[Disciplina],IF($B138="(todas)","*",$B138))</f>
        <v/>
      </c>
      <c r="E138" s="350">
        <f>SUMIFS(TabelaResultadosAcademicos[Reprovados por falta],TabelaResultadosAcademicos[Período],$H$4,TabelaResultadosAcademicos[Curso],IF($A138="(todos)","*",$A138),TabelaResultadosAcademicos[Disciplina],IF($B138="(todas)","*",$B138))</f>
        <v/>
      </c>
      <c r="F138" s="350">
        <f>SUMIFS(TabelaResultadosAcademicos[Reprovados outros],TabelaResultadosAcademicos[Período],$H$4,TabelaResultadosAcademicos[Curso],IF($A138="(todos)","*",$A138),TabelaResultadosAcademicos[Disciplina],IF($B138="(todas)","*",$B138))</f>
        <v/>
      </c>
      <c r="G138" s="349">
        <f>IF(OR($A138="",$B138=""),"",IFERROR(C138/(C138+SUMIFS(TabelaResultadosAcademicos[Reprovados],TabelaResultadosAcademicos[Período],$H$4,TabelaResultadosAcademicos[Curso],IF($A138="(todos)","*",$A138),TabelaResultadosAcademicos[Disciplina],IF($B138="(todas)","*",$B138)))*100,""))</f>
        <v/>
      </c>
      <c r="H138" s="348">
        <f>IFERROR((SUMIFS(TabelaResultadosAcademicos[Soma das notas],TabelaResultadosAcademicos[Período],$H$4,TabelaResultadosAcademicos[Curso],IF($A138="(todos)","*",$A138),TabelaResultadosAcademicos[Disciplina],IF($B138="(todas)","*",$B138)))/(SUMIFS(TabelaResultadosAcademicos[Quantidade de notas],TabelaResultadosAcademicos[Período],$H$4,TabelaResultadosAcademicos[Curso],IF($A138="(todos)","*",$A138),TabelaResultadosAcademicos[Disciplina],IF($B138="(todas)","*",$B138))),"")</f>
        <v/>
      </c>
      <c r="I138" s="347">
        <f>IF(OR($A138="",$B138=""),"",SUMIFS(TabelaResultadosAcademicos[Total],TabelaResultadosAcademicos[Período],$H$4,TabelaResultadosAcademicos[Curso],IF($A138="(todos)","*",$A138),TabelaResultadosAcademicos[Disciplina],IF($B138="(todas)","*",$B138)))</f>
        <v/>
      </c>
      <c r="J138" s="343">
        <f>$H$4</f>
        <v/>
      </c>
    </row>
    <row r="139" ht="15" customHeight="1" s="131">
      <c r="A139" s="356">
        <f>DISCIPLINAS!A112</f>
        <v/>
      </c>
      <c r="B139" s="356">
        <f>DISCIPLINAS!B112</f>
        <v/>
      </c>
      <c r="C139" s="350">
        <f>SUMIFS(TabelaResultadosAcademicos[Aprovados],TabelaResultadosAcademicos[Período],$H$4,TabelaResultadosAcademicos[Curso],IF($A139="(todos)","*",$A139),TabelaResultadosAcademicos[Disciplina],IF($B139="(todas)","*",$B139))</f>
        <v/>
      </c>
      <c r="D139" s="350">
        <f>SUMIFS(TabelaResultadosAcademicos[Reprovados por nota],TabelaResultadosAcademicos[Período],$H$4,TabelaResultadosAcademicos[Curso],IF($A139="(todos)","*",$A139),TabelaResultadosAcademicos[Disciplina],IF($B139="(todas)","*",$B139))</f>
        <v/>
      </c>
      <c r="E139" s="350">
        <f>SUMIFS(TabelaResultadosAcademicos[Reprovados por falta],TabelaResultadosAcademicos[Período],$H$4,TabelaResultadosAcademicos[Curso],IF($A139="(todos)","*",$A139),TabelaResultadosAcademicos[Disciplina],IF($B139="(todas)","*",$B139))</f>
        <v/>
      </c>
      <c r="F139" s="350">
        <f>SUMIFS(TabelaResultadosAcademicos[Reprovados outros],TabelaResultadosAcademicos[Período],$H$4,TabelaResultadosAcademicos[Curso],IF($A139="(todos)","*",$A139),TabelaResultadosAcademicos[Disciplina],IF($B139="(todas)","*",$B139))</f>
        <v/>
      </c>
      <c r="G139" s="349">
        <f>IF(OR($A139="",$B139=""),"",IFERROR(C139/(C139+SUMIFS(TabelaResultadosAcademicos[Reprovados],TabelaResultadosAcademicos[Período],$H$4,TabelaResultadosAcademicos[Curso],IF($A139="(todos)","*",$A139),TabelaResultadosAcademicos[Disciplina],IF($B139="(todas)","*",$B139)))*100,""))</f>
        <v/>
      </c>
      <c r="H139" s="348">
        <f>IFERROR((SUMIFS(TabelaResultadosAcademicos[Soma das notas],TabelaResultadosAcademicos[Período],$H$4,TabelaResultadosAcademicos[Curso],IF($A139="(todos)","*",$A139),TabelaResultadosAcademicos[Disciplina],IF($B139="(todas)","*",$B139)))/(SUMIFS(TabelaResultadosAcademicos[Quantidade de notas],TabelaResultadosAcademicos[Período],$H$4,TabelaResultadosAcademicos[Curso],IF($A139="(todos)","*",$A139),TabelaResultadosAcademicos[Disciplina],IF($B139="(todas)","*",$B139))),"")</f>
        <v/>
      </c>
      <c r="I139" s="347">
        <f>IF(OR($A139="",$B139=""),"",SUMIFS(TabelaResultadosAcademicos[Total],TabelaResultadosAcademicos[Período],$H$4,TabelaResultadosAcademicos[Curso],IF($A139="(todos)","*",$A139),TabelaResultadosAcademicos[Disciplina],IF($B139="(todas)","*",$B139)))</f>
        <v/>
      </c>
      <c r="J139" s="343">
        <f>$H$4</f>
        <v/>
      </c>
    </row>
    <row r="140" ht="21.75" customHeight="1" s="131">
      <c r="A140" s="356">
        <f>DISCIPLINAS!A113</f>
        <v/>
      </c>
      <c r="B140" s="356">
        <f>DISCIPLINAS!B113</f>
        <v/>
      </c>
      <c r="C140" s="350">
        <f>SUMIFS(TabelaResultadosAcademicos[Aprovados],TabelaResultadosAcademicos[Período],$H$4,TabelaResultadosAcademicos[Curso],IF($A140="(todos)","*",$A140),TabelaResultadosAcademicos[Disciplina],IF($B140="(todas)","*",$B140))</f>
        <v/>
      </c>
      <c r="D140" s="350">
        <f>SUMIFS(TabelaResultadosAcademicos[Reprovados por nota],TabelaResultadosAcademicos[Período],$H$4,TabelaResultadosAcademicos[Curso],IF($A140="(todos)","*",$A140),TabelaResultadosAcademicos[Disciplina],IF($B140="(todas)","*",$B140))</f>
        <v/>
      </c>
      <c r="E140" s="350">
        <f>SUMIFS(TabelaResultadosAcademicos[Reprovados por falta],TabelaResultadosAcademicos[Período],$H$4,TabelaResultadosAcademicos[Curso],IF($A140="(todos)","*",$A140),TabelaResultadosAcademicos[Disciplina],IF($B140="(todas)","*",$B140))</f>
        <v/>
      </c>
      <c r="F140" s="350">
        <f>SUMIFS(TabelaResultadosAcademicos[Reprovados outros],TabelaResultadosAcademicos[Período],$H$4,TabelaResultadosAcademicos[Curso],IF($A140="(todos)","*",$A140),TabelaResultadosAcademicos[Disciplina],IF($B140="(todas)","*",$B140))</f>
        <v/>
      </c>
      <c r="G140" s="349">
        <f>IF(OR($A140="",$B140=""),"",IFERROR(C140/(C140+SUMIFS(TabelaResultadosAcademicos[Reprovados],TabelaResultadosAcademicos[Período],$H$4,TabelaResultadosAcademicos[Curso],IF($A140="(todos)","*",$A140),TabelaResultadosAcademicos[Disciplina],IF($B140="(todas)","*",$B140)))*100,""))</f>
        <v/>
      </c>
      <c r="H140" s="348">
        <f>IFERROR((SUMIFS(TabelaResultadosAcademicos[Soma das notas],TabelaResultadosAcademicos[Período],$H$4,TabelaResultadosAcademicos[Curso],IF($A140="(todos)","*",$A140),TabelaResultadosAcademicos[Disciplina],IF($B140="(todas)","*",$B140)))/(SUMIFS(TabelaResultadosAcademicos[Quantidade de notas],TabelaResultadosAcademicos[Período],$H$4,TabelaResultadosAcademicos[Curso],IF($A140="(todos)","*",$A140),TabelaResultadosAcademicos[Disciplina],IF($B140="(todas)","*",$B140))),"")</f>
        <v/>
      </c>
      <c r="I140" s="347">
        <f>IF(OR($A140="",$B140=""),"",SUMIFS(TabelaResultadosAcademicos[Total],TabelaResultadosAcademicos[Período],$H$4,TabelaResultadosAcademicos[Curso],IF($A140="(todos)","*",$A140),TabelaResultadosAcademicos[Disciplina],IF($B140="(todas)","*",$B140)))</f>
        <v/>
      </c>
      <c r="J140" s="343">
        <f>$H$4</f>
        <v/>
      </c>
    </row>
    <row r="141" ht="21.75" customHeight="1" s="131">
      <c r="A141" s="356">
        <f>DISCIPLINAS!A114</f>
        <v/>
      </c>
      <c r="B141" s="356">
        <f>DISCIPLINAS!B114</f>
        <v/>
      </c>
      <c r="C141" s="350">
        <f>SUMIFS(TabelaResultadosAcademicos[Aprovados],TabelaResultadosAcademicos[Período],$H$4,TabelaResultadosAcademicos[Curso],IF($A141="(todos)","*",$A141),TabelaResultadosAcademicos[Disciplina],IF($B141="(todas)","*",$B141))</f>
        <v/>
      </c>
      <c r="D141" s="350">
        <f>SUMIFS(TabelaResultadosAcademicos[Reprovados por nota],TabelaResultadosAcademicos[Período],$H$4,TabelaResultadosAcademicos[Curso],IF($A141="(todos)","*",$A141),TabelaResultadosAcademicos[Disciplina],IF($B141="(todas)","*",$B141))</f>
        <v/>
      </c>
      <c r="E141" s="350">
        <f>SUMIFS(TabelaResultadosAcademicos[Reprovados por falta],TabelaResultadosAcademicos[Período],$H$4,TabelaResultadosAcademicos[Curso],IF($A141="(todos)","*",$A141),TabelaResultadosAcademicos[Disciplina],IF($B141="(todas)","*",$B141))</f>
        <v/>
      </c>
      <c r="F141" s="350">
        <f>SUMIFS(TabelaResultadosAcademicos[Reprovados outros],TabelaResultadosAcademicos[Período],$H$4,TabelaResultadosAcademicos[Curso],IF($A141="(todos)","*",$A141),TabelaResultadosAcademicos[Disciplina],IF($B141="(todas)","*",$B141))</f>
        <v/>
      </c>
      <c r="G141" s="349">
        <f>IF(OR($A141="",$B141=""),"",IFERROR(C141/(C141+SUMIFS(TabelaResultadosAcademicos[Reprovados],TabelaResultadosAcademicos[Período],$H$4,TabelaResultadosAcademicos[Curso],IF($A141="(todos)","*",$A141),TabelaResultadosAcademicos[Disciplina],IF($B141="(todas)","*",$B141)))*100,""))</f>
        <v/>
      </c>
      <c r="H141" s="348">
        <f>IFERROR((SUMIFS(TabelaResultadosAcademicos[Soma das notas],TabelaResultadosAcademicos[Período],$H$4,TabelaResultadosAcademicos[Curso],IF($A141="(todos)","*",$A141),TabelaResultadosAcademicos[Disciplina],IF($B141="(todas)","*",$B141)))/(SUMIFS(TabelaResultadosAcademicos[Quantidade de notas],TabelaResultadosAcademicos[Período],$H$4,TabelaResultadosAcademicos[Curso],IF($A141="(todos)","*",$A141),TabelaResultadosAcademicos[Disciplina],IF($B141="(todas)","*",$B141))),"")</f>
        <v/>
      </c>
      <c r="I141" s="347">
        <f>IF(OR($A141="",$B141=""),"",SUMIFS(TabelaResultadosAcademicos[Total],TabelaResultadosAcademicos[Período],$H$4,TabelaResultadosAcademicos[Curso],IF($A141="(todos)","*",$A141),TabelaResultadosAcademicos[Disciplina],IF($B141="(todas)","*",$B141)))</f>
        <v/>
      </c>
      <c r="J141" s="343">
        <f>$H$4</f>
        <v/>
      </c>
    </row>
    <row r="142" ht="21.75" customHeight="1" s="131">
      <c r="A142" s="356">
        <f>DISCIPLINAS!A115</f>
        <v/>
      </c>
      <c r="B142" s="356">
        <f>DISCIPLINAS!B115</f>
        <v/>
      </c>
      <c r="C142" s="350">
        <f>SUMIFS(TabelaResultadosAcademicos[Aprovados],TabelaResultadosAcademicos[Período],$H$4,TabelaResultadosAcademicos[Curso],IF($A142="(todos)","*",$A142),TabelaResultadosAcademicos[Disciplina],IF($B142="(todas)","*",$B142))</f>
        <v/>
      </c>
      <c r="D142" s="350">
        <f>SUMIFS(TabelaResultadosAcademicos[Reprovados por nota],TabelaResultadosAcademicos[Período],$H$4,TabelaResultadosAcademicos[Curso],IF($A142="(todos)","*",$A142),TabelaResultadosAcademicos[Disciplina],IF($B142="(todas)","*",$B142))</f>
        <v/>
      </c>
      <c r="E142" s="350">
        <f>SUMIFS(TabelaResultadosAcademicos[Reprovados por falta],TabelaResultadosAcademicos[Período],$H$4,TabelaResultadosAcademicos[Curso],IF($A142="(todos)","*",$A142),TabelaResultadosAcademicos[Disciplina],IF($B142="(todas)","*",$B142))</f>
        <v/>
      </c>
      <c r="F142" s="350">
        <f>SUMIFS(TabelaResultadosAcademicos[Reprovados outros],TabelaResultadosAcademicos[Período],$H$4,TabelaResultadosAcademicos[Curso],IF($A142="(todos)","*",$A142),TabelaResultadosAcademicos[Disciplina],IF($B142="(todas)","*",$B142))</f>
        <v/>
      </c>
      <c r="G142" s="349">
        <f>IF(OR($A142="",$B142=""),"",IFERROR(C142/(C142+SUMIFS(TabelaResultadosAcademicos[Reprovados],TabelaResultadosAcademicos[Período],$H$4,TabelaResultadosAcademicos[Curso],IF($A142="(todos)","*",$A142),TabelaResultadosAcademicos[Disciplina],IF($B142="(todas)","*",$B142)))*100,""))</f>
        <v/>
      </c>
      <c r="H142" s="348">
        <f>IFERROR((SUMIFS(TabelaResultadosAcademicos[Soma das notas],TabelaResultadosAcademicos[Período],$H$4,TabelaResultadosAcademicos[Curso],IF($A142="(todos)","*",$A142),TabelaResultadosAcademicos[Disciplina],IF($B142="(todas)","*",$B142)))/(SUMIFS(TabelaResultadosAcademicos[Quantidade de notas],TabelaResultadosAcademicos[Período],$H$4,TabelaResultadosAcademicos[Curso],IF($A142="(todos)","*",$A142),TabelaResultadosAcademicos[Disciplina],IF($B142="(todas)","*",$B142))),"")</f>
        <v/>
      </c>
      <c r="I142" s="347">
        <f>IF(OR($A142="",$B142=""),"",SUMIFS(TabelaResultadosAcademicos[Total],TabelaResultadosAcademicos[Período],$H$4,TabelaResultadosAcademicos[Curso],IF($A142="(todos)","*",$A142),TabelaResultadosAcademicos[Disciplina],IF($B142="(todas)","*",$B142)))</f>
        <v/>
      </c>
      <c r="J142" s="343">
        <f>$H$4</f>
        <v/>
      </c>
    </row>
    <row r="143" ht="21.75" customHeight="1" s="131">
      <c r="A143" s="356">
        <f>DISCIPLINAS!A116</f>
        <v/>
      </c>
      <c r="B143" s="356">
        <f>DISCIPLINAS!B116</f>
        <v/>
      </c>
      <c r="C143" s="350">
        <f>SUMIFS(TabelaResultadosAcademicos[Aprovados],TabelaResultadosAcademicos[Período],$H$4,TabelaResultadosAcademicos[Curso],IF($A143="(todos)","*",$A143),TabelaResultadosAcademicos[Disciplina],IF($B143="(todas)","*",$B143))</f>
        <v/>
      </c>
      <c r="D143" s="350">
        <f>SUMIFS(TabelaResultadosAcademicos[Reprovados por nota],TabelaResultadosAcademicos[Período],$H$4,TabelaResultadosAcademicos[Curso],IF($A143="(todos)","*",$A143),TabelaResultadosAcademicos[Disciplina],IF($B143="(todas)","*",$B143))</f>
        <v/>
      </c>
      <c r="E143" s="350">
        <f>SUMIFS(TabelaResultadosAcademicos[Reprovados por falta],TabelaResultadosAcademicos[Período],$H$4,TabelaResultadosAcademicos[Curso],IF($A143="(todos)","*",$A143),TabelaResultadosAcademicos[Disciplina],IF($B143="(todas)","*",$B143))</f>
        <v/>
      </c>
      <c r="F143" s="350">
        <f>SUMIFS(TabelaResultadosAcademicos[Reprovados outros],TabelaResultadosAcademicos[Período],$H$4,TabelaResultadosAcademicos[Curso],IF($A143="(todos)","*",$A143),TabelaResultadosAcademicos[Disciplina],IF($B143="(todas)","*",$B143))</f>
        <v/>
      </c>
      <c r="G143" s="349">
        <f>IF(OR($A143="",$B143=""),"",IFERROR(C143/(C143+SUMIFS(TabelaResultadosAcademicos[Reprovados],TabelaResultadosAcademicos[Período],$H$4,TabelaResultadosAcademicos[Curso],IF($A143="(todos)","*",$A143),TabelaResultadosAcademicos[Disciplina],IF($B143="(todas)","*",$B143)))*100,""))</f>
        <v/>
      </c>
      <c r="H143" s="348">
        <f>IFERROR((SUMIFS(TabelaResultadosAcademicos[Soma das notas],TabelaResultadosAcademicos[Período],$H$4,TabelaResultadosAcademicos[Curso],IF($A143="(todos)","*",$A143),TabelaResultadosAcademicos[Disciplina],IF($B143="(todas)","*",$B143)))/(SUMIFS(TabelaResultadosAcademicos[Quantidade de notas],TabelaResultadosAcademicos[Período],$H$4,TabelaResultadosAcademicos[Curso],IF($A143="(todos)","*",$A143),TabelaResultadosAcademicos[Disciplina],IF($B143="(todas)","*",$B143))),"")</f>
        <v/>
      </c>
      <c r="I143" s="347">
        <f>IF(OR($A143="",$B143=""),"",SUMIFS(TabelaResultadosAcademicos[Total],TabelaResultadosAcademicos[Período],$H$4,TabelaResultadosAcademicos[Curso],IF($A143="(todos)","*",$A143),TabelaResultadosAcademicos[Disciplina],IF($B143="(todas)","*",$B143)))</f>
        <v/>
      </c>
      <c r="J143" s="343">
        <f>$H$4</f>
        <v/>
      </c>
    </row>
    <row r="144" ht="21.75" customHeight="1" s="131">
      <c r="A144" s="356">
        <f>DISCIPLINAS!A117</f>
        <v/>
      </c>
      <c r="B144" s="356">
        <f>DISCIPLINAS!B117</f>
        <v/>
      </c>
      <c r="C144" s="350">
        <f>SUMIFS(TabelaResultadosAcademicos[Aprovados],TabelaResultadosAcademicos[Período],$H$4,TabelaResultadosAcademicos[Curso],IF($A144="(todos)","*",$A144),TabelaResultadosAcademicos[Disciplina],IF($B144="(todas)","*",$B144))</f>
        <v/>
      </c>
      <c r="D144" s="350">
        <f>SUMIFS(TabelaResultadosAcademicos[Reprovados por nota],TabelaResultadosAcademicos[Período],$H$4,TabelaResultadosAcademicos[Curso],IF($A144="(todos)","*",$A144),TabelaResultadosAcademicos[Disciplina],IF($B144="(todas)","*",$B144))</f>
        <v/>
      </c>
      <c r="E144" s="350">
        <f>SUMIFS(TabelaResultadosAcademicos[Reprovados por falta],TabelaResultadosAcademicos[Período],$H$4,TabelaResultadosAcademicos[Curso],IF($A144="(todos)","*",$A144),TabelaResultadosAcademicos[Disciplina],IF($B144="(todas)","*",$B144))</f>
        <v/>
      </c>
      <c r="F144" s="350">
        <f>SUMIFS(TabelaResultadosAcademicos[Reprovados outros],TabelaResultadosAcademicos[Período],$H$4,TabelaResultadosAcademicos[Curso],IF($A144="(todos)","*",$A144),TabelaResultadosAcademicos[Disciplina],IF($B144="(todas)","*",$B144))</f>
        <v/>
      </c>
      <c r="G144" s="349">
        <f>IF(OR($A144="",$B144=""),"",IFERROR(C144/(C144+SUMIFS(TabelaResultadosAcademicos[Reprovados],TabelaResultadosAcademicos[Período],$H$4,TabelaResultadosAcademicos[Curso],IF($A144="(todos)","*",$A144),TabelaResultadosAcademicos[Disciplina],IF($B144="(todas)","*",$B144)))*100,""))</f>
        <v/>
      </c>
      <c r="H144" s="348">
        <f>IFERROR((SUMIFS(TabelaResultadosAcademicos[Soma das notas],TabelaResultadosAcademicos[Período],$H$4,TabelaResultadosAcademicos[Curso],IF($A144="(todos)","*",$A144),TabelaResultadosAcademicos[Disciplina],IF($B144="(todas)","*",$B144)))/(SUMIFS(TabelaResultadosAcademicos[Quantidade de notas],TabelaResultadosAcademicos[Período],$H$4,TabelaResultadosAcademicos[Curso],IF($A144="(todos)","*",$A144),TabelaResultadosAcademicos[Disciplina],IF($B144="(todas)","*",$B144))),"")</f>
        <v/>
      </c>
      <c r="I144" s="347">
        <f>IF(OR($A144="",$B144=""),"",SUMIFS(TabelaResultadosAcademicos[Total],TabelaResultadosAcademicos[Período],$H$4,TabelaResultadosAcademicos[Curso],IF($A144="(todos)","*",$A144),TabelaResultadosAcademicos[Disciplina],IF($B144="(todas)","*",$B144)))</f>
        <v/>
      </c>
      <c r="J144" s="343">
        <f>$H$4</f>
        <v/>
      </c>
    </row>
    <row r="145" ht="21.75" customHeight="1" s="131">
      <c r="A145" s="356">
        <f>DISCIPLINAS!A118</f>
        <v/>
      </c>
      <c r="B145" s="356">
        <f>DISCIPLINAS!B118</f>
        <v/>
      </c>
      <c r="C145" s="350">
        <f>SUMIFS(TabelaResultadosAcademicos[Aprovados],TabelaResultadosAcademicos[Período],$H$4,TabelaResultadosAcademicos[Curso],IF($A145="(todos)","*",$A145),TabelaResultadosAcademicos[Disciplina],IF($B145="(todas)","*",$B145))</f>
        <v/>
      </c>
      <c r="D145" s="350">
        <f>SUMIFS(TabelaResultadosAcademicos[Reprovados por nota],TabelaResultadosAcademicos[Período],$H$4,TabelaResultadosAcademicos[Curso],IF($A145="(todos)","*",$A145),TabelaResultadosAcademicos[Disciplina],IF($B145="(todas)","*",$B145))</f>
        <v/>
      </c>
      <c r="E145" s="350">
        <f>SUMIFS(TabelaResultadosAcademicos[Reprovados por falta],TabelaResultadosAcademicos[Período],$H$4,TabelaResultadosAcademicos[Curso],IF($A145="(todos)","*",$A145),TabelaResultadosAcademicos[Disciplina],IF($B145="(todas)","*",$B145))</f>
        <v/>
      </c>
      <c r="F145" s="350">
        <f>SUMIFS(TabelaResultadosAcademicos[Reprovados outros],TabelaResultadosAcademicos[Período],$H$4,TabelaResultadosAcademicos[Curso],IF($A145="(todos)","*",$A145),TabelaResultadosAcademicos[Disciplina],IF($B145="(todas)","*",$B145))</f>
        <v/>
      </c>
      <c r="G145" s="349">
        <f>IF(OR($A145="",$B145=""),"",IFERROR(C145/(C145+SUMIFS(TabelaResultadosAcademicos[Reprovados],TabelaResultadosAcademicos[Período],$H$4,TabelaResultadosAcademicos[Curso],IF($A145="(todos)","*",$A145),TabelaResultadosAcademicos[Disciplina],IF($B145="(todas)","*",$B145)))*100,""))</f>
        <v/>
      </c>
      <c r="H145" s="348">
        <f>IFERROR((SUMIFS(TabelaResultadosAcademicos[Soma das notas],TabelaResultadosAcademicos[Período],$H$4,TabelaResultadosAcademicos[Curso],IF($A145="(todos)","*",$A145),TabelaResultadosAcademicos[Disciplina],IF($B145="(todas)","*",$B145)))/(SUMIFS(TabelaResultadosAcademicos[Quantidade de notas],TabelaResultadosAcademicos[Período],$H$4,TabelaResultadosAcademicos[Curso],IF($A145="(todos)","*",$A145),TabelaResultadosAcademicos[Disciplina],IF($B145="(todas)","*",$B145))),"")</f>
        <v/>
      </c>
      <c r="I145" s="347">
        <f>IF(OR($A145="",$B145=""),"",SUMIFS(TabelaResultadosAcademicos[Total],TabelaResultadosAcademicos[Período],$H$4,TabelaResultadosAcademicos[Curso],IF($A145="(todos)","*",$A145),TabelaResultadosAcademicos[Disciplina],IF($B145="(todas)","*",$B145)))</f>
        <v/>
      </c>
      <c r="J145" s="343">
        <f>$H$4</f>
        <v/>
      </c>
    </row>
    <row r="146" ht="15" customHeight="1" s="131">
      <c r="A146" s="356">
        <f>DISCIPLINAS!A119</f>
        <v/>
      </c>
      <c r="B146" s="356">
        <f>DISCIPLINAS!B119</f>
        <v/>
      </c>
      <c r="C146" s="350">
        <f>SUMIFS(TabelaResultadosAcademicos[Aprovados],TabelaResultadosAcademicos[Período],$H$4,TabelaResultadosAcademicos[Curso],IF($A146="(todos)","*",$A146),TabelaResultadosAcademicos[Disciplina],IF($B146="(todas)","*",$B146))</f>
        <v/>
      </c>
      <c r="D146" s="350">
        <f>SUMIFS(TabelaResultadosAcademicos[Reprovados por nota],TabelaResultadosAcademicos[Período],$H$4,TabelaResultadosAcademicos[Curso],IF($A146="(todos)","*",$A146),TabelaResultadosAcademicos[Disciplina],IF($B146="(todas)","*",$B146))</f>
        <v/>
      </c>
      <c r="E146" s="350">
        <f>SUMIFS(TabelaResultadosAcademicos[Reprovados por falta],TabelaResultadosAcademicos[Período],$H$4,TabelaResultadosAcademicos[Curso],IF($A146="(todos)","*",$A146),TabelaResultadosAcademicos[Disciplina],IF($B146="(todas)","*",$B146))</f>
        <v/>
      </c>
      <c r="F146" s="350">
        <f>SUMIFS(TabelaResultadosAcademicos[Reprovados outros],TabelaResultadosAcademicos[Período],$H$4,TabelaResultadosAcademicos[Curso],IF($A146="(todos)","*",$A146),TabelaResultadosAcademicos[Disciplina],IF($B146="(todas)","*",$B146))</f>
        <v/>
      </c>
      <c r="G146" s="349">
        <f>IF(OR($A146="",$B146=""),"",IFERROR(C146/(C146+SUMIFS(TabelaResultadosAcademicos[Reprovados],TabelaResultadosAcademicos[Período],$H$4,TabelaResultadosAcademicos[Curso],IF($A146="(todos)","*",$A146),TabelaResultadosAcademicos[Disciplina],IF($B146="(todas)","*",$B146)))*100,""))</f>
        <v/>
      </c>
      <c r="H146" s="348">
        <f>IFERROR((SUMIFS(TabelaResultadosAcademicos[Soma das notas],TabelaResultadosAcademicos[Período],$H$4,TabelaResultadosAcademicos[Curso],IF($A146="(todos)","*",$A146),TabelaResultadosAcademicos[Disciplina],IF($B146="(todas)","*",$B146)))/(SUMIFS(TabelaResultadosAcademicos[Quantidade de notas],TabelaResultadosAcademicos[Período],$H$4,TabelaResultadosAcademicos[Curso],IF($A146="(todos)","*",$A146),TabelaResultadosAcademicos[Disciplina],IF($B146="(todas)","*",$B146))),"")</f>
        <v/>
      </c>
      <c r="I146" s="347">
        <f>IF(OR($A146="",$B146=""),"",SUMIFS(TabelaResultadosAcademicos[Total],TabelaResultadosAcademicos[Período],$H$4,TabelaResultadosAcademicos[Curso],IF($A146="(todos)","*",$A146),TabelaResultadosAcademicos[Disciplina],IF($B146="(todas)","*",$B146)))</f>
        <v/>
      </c>
      <c r="J146" s="343">
        <f>$H$4</f>
        <v/>
      </c>
    </row>
    <row r="147" ht="15" customHeight="1" s="131">
      <c r="A147" s="356">
        <f>DISCIPLINAS!A120</f>
        <v/>
      </c>
      <c r="B147" s="356">
        <f>DISCIPLINAS!B120</f>
        <v/>
      </c>
      <c r="C147" s="350">
        <f>SUMIFS(TabelaResultadosAcademicos[Aprovados],TabelaResultadosAcademicos[Período],$H$4,TabelaResultadosAcademicos[Curso],IF($A147="(todos)","*",$A147),TabelaResultadosAcademicos[Disciplina],IF($B147="(todas)","*",$B147))</f>
        <v/>
      </c>
      <c r="D147" s="350">
        <f>SUMIFS(TabelaResultadosAcademicos[Reprovados por nota],TabelaResultadosAcademicos[Período],$H$4,TabelaResultadosAcademicos[Curso],IF($A147="(todos)","*",$A147),TabelaResultadosAcademicos[Disciplina],IF($B147="(todas)","*",$B147))</f>
        <v/>
      </c>
      <c r="E147" s="350">
        <f>SUMIFS(TabelaResultadosAcademicos[Reprovados por falta],TabelaResultadosAcademicos[Período],$H$4,TabelaResultadosAcademicos[Curso],IF($A147="(todos)","*",$A147),TabelaResultadosAcademicos[Disciplina],IF($B147="(todas)","*",$B147))</f>
        <v/>
      </c>
      <c r="F147" s="350">
        <f>SUMIFS(TabelaResultadosAcademicos[Reprovados outros],TabelaResultadosAcademicos[Período],$H$4,TabelaResultadosAcademicos[Curso],IF($A147="(todos)","*",$A147),TabelaResultadosAcademicos[Disciplina],IF($B147="(todas)","*",$B147))</f>
        <v/>
      </c>
      <c r="G147" s="349">
        <f>IF(OR($A147="",$B147=""),"",IFERROR(C147/(C147+SUMIFS(TabelaResultadosAcademicos[Reprovados],TabelaResultadosAcademicos[Período],$H$4,TabelaResultadosAcademicos[Curso],IF($A147="(todos)","*",$A147),TabelaResultadosAcademicos[Disciplina],IF($B147="(todas)","*",$B147)))*100,""))</f>
        <v/>
      </c>
      <c r="H147" s="348">
        <f>IFERROR((SUMIFS(TabelaResultadosAcademicos[Soma das notas],TabelaResultadosAcademicos[Período],$H$4,TabelaResultadosAcademicos[Curso],IF($A147="(todos)","*",$A147),TabelaResultadosAcademicos[Disciplina],IF($B147="(todas)","*",$B147)))/(SUMIFS(TabelaResultadosAcademicos[Quantidade de notas],TabelaResultadosAcademicos[Período],$H$4,TabelaResultadosAcademicos[Curso],IF($A147="(todos)","*",$A147),TabelaResultadosAcademicos[Disciplina],IF($B147="(todas)","*",$B147))),"")</f>
        <v/>
      </c>
      <c r="I147" s="347">
        <f>IF(OR($A147="",$B147=""),"",SUMIFS(TabelaResultadosAcademicos[Total],TabelaResultadosAcademicos[Período],$H$4,TabelaResultadosAcademicos[Curso],IF($A147="(todos)","*",$A147),TabelaResultadosAcademicos[Disciplina],IF($B147="(todas)","*",$B147)))</f>
        <v/>
      </c>
      <c r="J147" s="343">
        <f>$H$4</f>
        <v/>
      </c>
    </row>
    <row r="148" ht="21.75" customHeight="1" s="131">
      <c r="A148" s="356">
        <f>DISCIPLINAS!A121</f>
        <v/>
      </c>
      <c r="B148" s="356">
        <f>DISCIPLINAS!B121</f>
        <v/>
      </c>
      <c r="C148" s="350">
        <f>SUMIFS(TabelaResultadosAcademicos[Aprovados],TabelaResultadosAcademicos[Período],$H$4,TabelaResultadosAcademicos[Curso],IF($A148="(todos)","*",$A148),TabelaResultadosAcademicos[Disciplina],IF($B148="(todas)","*",$B148))</f>
        <v/>
      </c>
      <c r="D148" s="350">
        <f>SUMIFS(TabelaResultadosAcademicos[Reprovados por nota],TabelaResultadosAcademicos[Período],$H$4,TabelaResultadosAcademicos[Curso],IF($A148="(todos)","*",$A148),TabelaResultadosAcademicos[Disciplina],IF($B148="(todas)","*",$B148))</f>
        <v/>
      </c>
      <c r="E148" s="350">
        <f>SUMIFS(TabelaResultadosAcademicos[Reprovados por falta],TabelaResultadosAcademicos[Período],$H$4,TabelaResultadosAcademicos[Curso],IF($A148="(todos)","*",$A148),TabelaResultadosAcademicos[Disciplina],IF($B148="(todas)","*",$B148))</f>
        <v/>
      </c>
      <c r="F148" s="350">
        <f>SUMIFS(TabelaResultadosAcademicos[Reprovados outros],TabelaResultadosAcademicos[Período],$H$4,TabelaResultadosAcademicos[Curso],IF($A148="(todos)","*",$A148),TabelaResultadosAcademicos[Disciplina],IF($B148="(todas)","*",$B148))</f>
        <v/>
      </c>
      <c r="G148" s="349">
        <f>IF(OR($A148="",$B148=""),"",IFERROR(C148/(C148+SUMIFS(TabelaResultadosAcademicos[Reprovados],TabelaResultadosAcademicos[Período],$H$4,TabelaResultadosAcademicos[Curso],IF($A148="(todos)","*",$A148),TabelaResultadosAcademicos[Disciplina],IF($B148="(todas)","*",$B148)))*100,""))</f>
        <v/>
      </c>
      <c r="H148" s="348">
        <f>IFERROR((SUMIFS(TabelaResultadosAcademicos[Soma das notas],TabelaResultadosAcademicos[Período],$H$4,TabelaResultadosAcademicos[Curso],IF($A148="(todos)","*",$A148),TabelaResultadosAcademicos[Disciplina],IF($B148="(todas)","*",$B148)))/(SUMIFS(TabelaResultadosAcademicos[Quantidade de notas],TabelaResultadosAcademicos[Período],$H$4,TabelaResultadosAcademicos[Curso],IF($A148="(todos)","*",$A148),TabelaResultadosAcademicos[Disciplina],IF($B148="(todas)","*",$B148))),"")</f>
        <v/>
      </c>
      <c r="I148" s="347">
        <f>IF(OR($A148="",$B148=""),"",SUMIFS(TabelaResultadosAcademicos[Total],TabelaResultadosAcademicos[Período],$H$4,TabelaResultadosAcademicos[Curso],IF($A148="(todos)","*",$A148),TabelaResultadosAcademicos[Disciplina],IF($B148="(todas)","*",$B148)))</f>
        <v/>
      </c>
      <c r="J148" s="343">
        <f>$H$4</f>
        <v/>
      </c>
    </row>
    <row r="149" ht="15" customHeight="1" s="131">
      <c r="A149" s="356">
        <f>DISCIPLINAS!A122</f>
        <v/>
      </c>
      <c r="B149" s="356">
        <f>DISCIPLINAS!B122</f>
        <v/>
      </c>
      <c r="C149" s="350">
        <f>SUMIFS(TabelaResultadosAcademicos[Aprovados],TabelaResultadosAcademicos[Período],$H$4,TabelaResultadosAcademicos[Curso],IF($A149="(todos)","*",$A149),TabelaResultadosAcademicos[Disciplina],IF($B149="(todas)","*",$B149))</f>
        <v/>
      </c>
      <c r="D149" s="350">
        <f>SUMIFS(TabelaResultadosAcademicos[Reprovados por nota],TabelaResultadosAcademicos[Período],$H$4,TabelaResultadosAcademicos[Curso],IF($A149="(todos)","*",$A149),TabelaResultadosAcademicos[Disciplina],IF($B149="(todas)","*",$B149))</f>
        <v/>
      </c>
      <c r="E149" s="350">
        <f>SUMIFS(TabelaResultadosAcademicos[Reprovados por falta],TabelaResultadosAcademicos[Período],$H$4,TabelaResultadosAcademicos[Curso],IF($A149="(todos)","*",$A149),TabelaResultadosAcademicos[Disciplina],IF($B149="(todas)","*",$B149))</f>
        <v/>
      </c>
      <c r="F149" s="350">
        <f>SUMIFS(TabelaResultadosAcademicos[Reprovados outros],TabelaResultadosAcademicos[Período],$H$4,TabelaResultadosAcademicos[Curso],IF($A149="(todos)","*",$A149),TabelaResultadosAcademicos[Disciplina],IF($B149="(todas)","*",$B149))</f>
        <v/>
      </c>
      <c r="G149" s="349">
        <f>IF(OR($A149="",$B149=""),"",IFERROR(C149/(C149+SUMIFS(TabelaResultadosAcademicos[Reprovados],TabelaResultadosAcademicos[Período],$H$4,TabelaResultadosAcademicos[Curso],IF($A149="(todos)","*",$A149),TabelaResultadosAcademicos[Disciplina],IF($B149="(todas)","*",$B149)))*100,""))</f>
        <v/>
      </c>
      <c r="H149" s="348">
        <f>IFERROR((SUMIFS(TabelaResultadosAcademicos[Soma das notas],TabelaResultadosAcademicos[Período],$H$4,TabelaResultadosAcademicos[Curso],IF($A149="(todos)","*",$A149),TabelaResultadosAcademicos[Disciplina],IF($B149="(todas)","*",$B149)))/(SUMIFS(TabelaResultadosAcademicos[Quantidade de notas],TabelaResultadosAcademicos[Período],$H$4,TabelaResultadosAcademicos[Curso],IF($A149="(todos)","*",$A149),TabelaResultadosAcademicos[Disciplina],IF($B149="(todas)","*",$B149))),"")</f>
        <v/>
      </c>
      <c r="I149" s="347">
        <f>IF(OR($A149="",$B149=""),"",SUMIFS(TabelaResultadosAcademicos[Total],TabelaResultadosAcademicos[Período],$H$4,TabelaResultadosAcademicos[Curso],IF($A149="(todos)","*",$A149),TabelaResultadosAcademicos[Disciplina],IF($B149="(todas)","*",$B149)))</f>
        <v/>
      </c>
      <c r="J149" s="343">
        <f>$H$4</f>
        <v/>
      </c>
    </row>
    <row r="150" ht="21.75" customHeight="1" s="131">
      <c r="A150" s="356">
        <f>DISCIPLINAS!A123</f>
        <v/>
      </c>
      <c r="B150" s="356">
        <f>DISCIPLINAS!B123</f>
        <v/>
      </c>
      <c r="C150" s="350">
        <f>SUMIFS(TabelaResultadosAcademicos[Aprovados],TabelaResultadosAcademicos[Período],$H$4,TabelaResultadosAcademicos[Curso],IF($A150="(todos)","*",$A150),TabelaResultadosAcademicos[Disciplina],IF($B150="(todas)","*",$B150))</f>
        <v/>
      </c>
      <c r="D150" s="350">
        <f>SUMIFS(TabelaResultadosAcademicos[Reprovados por nota],TabelaResultadosAcademicos[Período],$H$4,TabelaResultadosAcademicos[Curso],IF($A150="(todos)","*",$A150),TabelaResultadosAcademicos[Disciplina],IF($B150="(todas)","*",$B150))</f>
        <v/>
      </c>
      <c r="E150" s="350">
        <f>SUMIFS(TabelaResultadosAcademicos[Reprovados por falta],TabelaResultadosAcademicos[Período],$H$4,TabelaResultadosAcademicos[Curso],IF($A150="(todos)","*",$A150),TabelaResultadosAcademicos[Disciplina],IF($B150="(todas)","*",$B150))</f>
        <v/>
      </c>
      <c r="F150" s="350">
        <f>SUMIFS(TabelaResultadosAcademicos[Reprovados outros],TabelaResultadosAcademicos[Período],$H$4,TabelaResultadosAcademicos[Curso],IF($A150="(todos)","*",$A150),TabelaResultadosAcademicos[Disciplina],IF($B150="(todas)","*",$B150))</f>
        <v/>
      </c>
      <c r="G150" s="349">
        <f>IF(OR($A150="",$B150=""),"",IFERROR(C150/(C150+SUMIFS(TabelaResultadosAcademicos[Reprovados],TabelaResultadosAcademicos[Período],$H$4,TabelaResultadosAcademicos[Curso],IF($A150="(todos)","*",$A150),TabelaResultadosAcademicos[Disciplina],IF($B150="(todas)","*",$B150)))*100,""))</f>
        <v/>
      </c>
      <c r="H150" s="348">
        <f>IFERROR((SUMIFS(TabelaResultadosAcademicos[Soma das notas],TabelaResultadosAcademicos[Período],$H$4,TabelaResultadosAcademicos[Curso],IF($A150="(todos)","*",$A150),TabelaResultadosAcademicos[Disciplina],IF($B150="(todas)","*",$B150)))/(SUMIFS(TabelaResultadosAcademicos[Quantidade de notas],TabelaResultadosAcademicos[Período],$H$4,TabelaResultadosAcademicos[Curso],IF($A150="(todos)","*",$A150),TabelaResultadosAcademicos[Disciplina],IF($B150="(todas)","*",$B150))),"")</f>
        <v/>
      </c>
      <c r="I150" s="347">
        <f>IF(OR($A150="",$B150=""),"",SUMIFS(TabelaResultadosAcademicos[Total],TabelaResultadosAcademicos[Período],$H$4,TabelaResultadosAcademicos[Curso],IF($A150="(todos)","*",$A150),TabelaResultadosAcademicos[Disciplina],IF($B150="(todas)","*",$B150)))</f>
        <v/>
      </c>
      <c r="J150" s="343">
        <f>$H$4</f>
        <v/>
      </c>
    </row>
    <row r="151" ht="32.25" customHeight="1" s="131">
      <c r="A151" s="356">
        <f>DISCIPLINAS!A124</f>
        <v/>
      </c>
      <c r="B151" s="356">
        <f>DISCIPLINAS!B124</f>
        <v/>
      </c>
      <c r="C151" s="350">
        <f>SUMIFS(TabelaResultadosAcademicos[Aprovados],TabelaResultadosAcademicos[Período],$H$4,TabelaResultadosAcademicos[Curso],IF($A151="(todos)","*",$A151),TabelaResultadosAcademicos[Disciplina],IF($B151="(todas)","*",$B151))</f>
        <v/>
      </c>
      <c r="D151" s="350">
        <f>SUMIFS(TabelaResultadosAcademicos[Reprovados por nota],TabelaResultadosAcademicos[Período],$H$4,TabelaResultadosAcademicos[Curso],IF($A151="(todos)","*",$A151),TabelaResultadosAcademicos[Disciplina],IF($B151="(todas)","*",$B151))</f>
        <v/>
      </c>
      <c r="E151" s="350">
        <f>SUMIFS(TabelaResultadosAcademicos[Reprovados por falta],TabelaResultadosAcademicos[Período],$H$4,TabelaResultadosAcademicos[Curso],IF($A151="(todos)","*",$A151),TabelaResultadosAcademicos[Disciplina],IF($B151="(todas)","*",$B151))</f>
        <v/>
      </c>
      <c r="F151" s="350">
        <f>SUMIFS(TabelaResultadosAcademicos[Reprovados outros],TabelaResultadosAcademicos[Período],$H$4,TabelaResultadosAcademicos[Curso],IF($A151="(todos)","*",$A151),TabelaResultadosAcademicos[Disciplina],IF($B151="(todas)","*",$B151))</f>
        <v/>
      </c>
      <c r="G151" s="349">
        <f>IF(OR($A151="",$B151=""),"",IFERROR(C151/(C151+SUMIFS(TabelaResultadosAcademicos[Reprovados],TabelaResultadosAcademicos[Período],$H$4,TabelaResultadosAcademicos[Curso],IF($A151="(todos)","*",$A151),TabelaResultadosAcademicos[Disciplina],IF($B151="(todas)","*",$B151)))*100,""))</f>
        <v/>
      </c>
      <c r="H151" s="348">
        <f>IFERROR((SUMIFS(TabelaResultadosAcademicos[Soma das notas],TabelaResultadosAcademicos[Período],$H$4,TabelaResultadosAcademicos[Curso],IF($A151="(todos)","*",$A151),TabelaResultadosAcademicos[Disciplina],IF($B151="(todas)","*",$B151)))/(SUMIFS(TabelaResultadosAcademicos[Quantidade de notas],TabelaResultadosAcademicos[Período],$H$4,TabelaResultadosAcademicos[Curso],IF($A151="(todos)","*",$A151),TabelaResultadosAcademicos[Disciplina],IF($B151="(todas)","*",$B151))),"")</f>
        <v/>
      </c>
      <c r="I151" s="347">
        <f>IF(OR($A151="",$B151=""),"",SUMIFS(TabelaResultadosAcademicos[Total],TabelaResultadosAcademicos[Período],$H$4,TabelaResultadosAcademicos[Curso],IF($A151="(todos)","*",$A151),TabelaResultadosAcademicos[Disciplina],IF($B151="(todas)","*",$B151)))</f>
        <v/>
      </c>
      <c r="J151" s="343">
        <f>$H$4</f>
        <v/>
      </c>
    </row>
    <row r="152" ht="21.75" customHeight="1" s="131">
      <c r="A152" s="167" t="n"/>
      <c r="B152" s="167" t="n"/>
      <c r="C152" s="179" t="n"/>
      <c r="D152" s="179" t="n"/>
      <c r="E152" s="208" t="n"/>
      <c r="F152" s="181" t="n"/>
      <c r="G152" s="181" t="n"/>
      <c r="H152" s="171" t="n"/>
    </row>
    <row r="153" ht="15" customHeight="1" s="131">
      <c r="A153" s="167" t="n"/>
      <c r="B153" s="167" t="n"/>
      <c r="C153" s="179" t="n"/>
      <c r="D153" s="179" t="n"/>
      <c r="E153" s="208" t="n"/>
      <c r="F153" s="181" t="n"/>
      <c r="G153" s="181" t="n"/>
      <c r="H153" s="171" t="n"/>
    </row>
    <row r="154" ht="21.75" customHeight="1" s="131">
      <c r="A154" s="167" t="n"/>
      <c r="B154" s="167" t="n"/>
      <c r="C154" s="179" t="n"/>
      <c r="D154" s="179" t="n"/>
      <c r="E154" s="208" t="n"/>
      <c r="F154" s="181" t="n"/>
      <c r="G154" s="181" t="n"/>
      <c r="H154" s="171" t="n"/>
    </row>
    <row r="155" ht="22" customHeight="1" s="131">
      <c r="A155" s="273" t="inlineStr">
        <is>
          <t>SÉRIE PARA GRÁFICOS</t>
        </is>
      </c>
      <c r="B155" s="273" t="n"/>
      <c r="C155" s="295" t="n"/>
      <c r="D155" s="295" t="n"/>
      <c r="E155" s="296" t="n"/>
      <c r="F155" s="296" t="n"/>
      <c r="G155" s="296" t="n"/>
      <c r="H155" s="273" t="n"/>
    </row>
    <row r="156" ht="30" customHeight="1" s="131">
      <c r="A156" s="282" t="inlineStr">
        <is>
          <t>Período</t>
        </is>
      </c>
      <c r="B156" s="282" t="inlineStr">
        <is>
          <t>NPS</t>
        </is>
      </c>
      <c r="C156" s="297" t="inlineStr">
        <is>
          <t>Avaliação docente</t>
        </is>
      </c>
      <c r="D156" s="297" t="inlineStr">
        <is>
          <t>Aprovação</t>
        </is>
      </c>
      <c r="E156" s="298" t="inlineStr">
        <is>
          <t>Média notas</t>
        </is>
      </c>
      <c r="F156" s="298" t="inlineStr">
        <is>
          <t>Aprovados</t>
        </is>
      </c>
      <c r="G156" s="298" t="inlineStr">
        <is>
          <t>Rep. nota</t>
        </is>
      </c>
      <c r="H156" s="282" t="inlineStr">
        <is>
          <t>Rep. falta</t>
        </is>
      </c>
      <c r="I156" s="282" t="inlineStr">
        <is>
          <t>Meta NPS</t>
        </is>
      </c>
      <c r="J156" s="282" t="inlineStr">
        <is>
          <t>Meta avaliação</t>
        </is>
      </c>
      <c r="K156" s="282" t="inlineStr">
        <is>
          <t>Meta aprovação</t>
        </is>
      </c>
    </row>
    <row r="157" ht="21.75" customHeight="1" s="131">
      <c r="A157" s="356">
        <f>PARAMETROS!$B$9</f>
        <v/>
      </c>
      <c r="B157" s="359">
        <f>IF($A157="","",IFERROR((SUM(Q157,T157,W157,Z157,AC157,AF157,AI157,AL157,AO157)-SUM(R157,U157,X157,AA157,AD157,AG157,AJ157,AM157,AP157))/SUM(P157,S157,V157,Y157,AB157,AE157,AH157,AK157,AN157)*100,""))</f>
        <v/>
      </c>
      <c r="C157" s="348">
        <f>IFERROR(SUMPRODUCT(--(TabelaAvaliacaoDocente[Período]=(IF($A157="","",IF(ISNUMBER(SEARCH("-SEM",$A157)),$A157,LEFT($A157,4)&amp;"-SEM"&amp;IF(VALUE(RIGHT($A157,2)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157="","",IF(ISNUMBER(SEARCH("-SEM",$A157)),$A157,LEFT($A157,4)&amp;"-SEM"&amp;IF(VALUE(RIGHT($A157,2))&lt;=6,1,2))))),--((($K$4="(todos)")+(TabelaAvaliacaoDocente[Curso]=$K$4))&gt;0),--((($N$4="(todas)")+(TabelaAvaliacaoDocente[Disciplina]=$N$4))&gt;0),TabelaAvaliacaoDocente[Respondentes]),"")</f>
        <v/>
      </c>
      <c r="D157" s="349">
        <f>IF($A157="","",IFERROR((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/((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+(SUMIFS(TabelaResultadosAcademicos[Re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)*100,""))</f>
        <v/>
      </c>
      <c r="E157" s="348">
        <f>IFERROR((SUMIFS(TabelaResultadosAcademicos[Soma das nota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/(SUMIFS(TabelaResultadosAcademicos[Quantidade de nota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,"")</f>
        <v/>
      </c>
      <c r="F157" s="350">
        <f>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G157" s="350">
        <f>SUMIFS(TabelaResultadosAcademicos[Reprovados por nota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H157" s="350">
        <f>SUMIFS(TabelaResultadosAcademicos[Reprovados por falta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I157" s="353">
        <f>IF($A157="","",IFERROR(IF((SUMPRODUCT(MAX((METAS!$A$5:$A$404="DTNH-01")*(METAS!$B$5:$B$404=IF($K$4="(todos)","TOTAL",$K$4))*(METAS!$D$5:$D$404&lt;=(IF($A157="",0,IF(ISNUMBER(SEARCH("-SEM",$A157)),VALUE(LEFT($A157,4)&amp;IF(RIGHT($A157,1)="1","01","07")),VALUE(SUBSTITUTE($A157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157="",0,IF(ISNUMBER(SEARCH("-SEM",$A157)),VALUE(LEFT($A157,4)&amp;IF(RIGHT($A157,1)="1","01","07")),VALUE(SUBSTITUTE($A157,"-",""))))))*METAS!$D$5:$D$404))))*METAS!$E$5:$E$404),IF((SUMPRODUCT(MAX((METAS!$A$5:$A$404="DTNH-01")*(METAS!$B$5:$B$404="TOTAL")*(METAS!$D$5:$D$404&lt;=(IF($A157="",0,IF(ISNUMBER(SEARCH("-SEM",$A157)),VALUE(LEFT($A157,4)&amp;IF(RIGHT($A157,1)="1","01","07")),VALUE(SUBSTITUTE($A157,"-",""))))))*METAS!$D$5:$D$404)))&gt;0,SUMPRODUCT((METAS!$A$5:$A$404="DTNH-01")*(METAS!$B$5:$B$404="TOTAL")*(METAS!$D$5:$D$404=(SUMPRODUCT(MAX((METAS!$A$5:$A$404="DTNH-01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J157" s="351">
        <f>IF($A157="","",IFERROR(IF((SUMPRODUCT(MAX((METAS!$A$5:$A$404="DTNH-02")*(METAS!$B$5:$B$404=$N$6)*(METAS!$D$5:$D$404&lt;=(IF($A157="",0,IF(ISNUMBER(SEARCH("-SEM",$A157)),VALUE(LEFT($A157,4)&amp;IF(RIGHT($A157,1)="1","01","07")),VALUE(SUBSTITUTE($A157,"-",""))))))*METAS!$D$5:$D$404)))&gt;0,SUMPRODUCT((METAS!$A$5:$A$404="DTNH-02")*(METAS!$B$5:$B$404=$N$6)*(METAS!$D$5:$D$404=(SUMPRODUCT(MAX((METAS!$A$5:$A$404="DTNH-02")*(METAS!$B$5:$B$404=$N$6)*(METAS!$D$5:$D$404&lt;=(IF($A157="",0,IF(ISNUMBER(SEARCH("-SEM",$A157)),VALUE(LEFT($A157,4)&amp;IF(RIGHT($A157,1)="1","01","07")),VALUE(SUBSTITUTE($A157,"-",""))))))*METAS!$D$5:$D$404))))*METAS!$E$5:$E$404),IF((SUMPRODUCT(MAX((METAS!$A$5:$A$404="DTNH-02")*(METAS!$B$5:$B$404="TOTAL")*(METAS!$D$5:$D$404&lt;=(IF($A157="",0,IF(ISNUMBER(SEARCH("-SEM",$A157)),VALUE(LEFT($A157,4)&amp;IF(RIGHT($A157,1)="1","01","07")),VALUE(SUBSTITUTE($A157,"-",""))))))*METAS!$D$5:$D$404)))&gt;0,SUMPRODUCT((METAS!$A$5:$A$404="DTNH-02")*(METAS!$B$5:$B$404="TOTAL")*(METAS!$D$5:$D$404=(SUMPRODUCT(MAX((METAS!$A$5:$A$404="DTNH-02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K157" s="354">
        <f>IF($A157="","",IFERROR(IF((SUMPRODUCT(MAX((METAS!$A$5:$A$404="DTNH-03")*(METAS!$B$5:$B$404=$N$6)*(METAS!$D$5:$D$404&lt;=(IF($A157="",0,IF(ISNUMBER(SEARCH("-SEM",$A157)),VALUE(LEFT($A157,4)&amp;IF(RIGHT($A157,1)="1","01","07")),VALUE(SUBSTITUTE($A157,"-",""))))))*METAS!$D$5:$D$404)))&gt;0,SUMPRODUCT((METAS!$A$5:$A$404="DTNH-03")*(METAS!$B$5:$B$404=$N$6)*(METAS!$D$5:$D$404=(SUMPRODUCT(MAX((METAS!$A$5:$A$404="DTNH-03")*(METAS!$B$5:$B$404=$N$6)*(METAS!$D$5:$D$404&lt;=(IF($A157="",0,IF(ISNUMBER(SEARCH("-SEM",$A157)),VALUE(LEFT($A157,4)&amp;IF(RIGHT($A157,1)="1","01","07")),VALUE(SUBSTITUTE($A157,"-",""))))))*METAS!$D$5:$D$404))))*METAS!$E$5:$E$404),IF((SUMPRODUCT(MAX((METAS!$A$5:$A$404="DTNH-03")*(METAS!$B$5:$B$404="TOTAL")*(METAS!$D$5:$D$404&lt;=(IF($A157="",0,IF(ISNUMBER(SEARCH("-SEM",$A157)),VALUE(LEFT($A157,4)&amp;IF(RIGHT($A157,1)="1","01","07")),VALUE(SUBSTITUTE($A157,"-",""))))))*METAS!$D$5:$D$404)))&gt;0,SUMPRODUCT((METAS!$A$5:$A$404="DTNH-03")*(METAS!$B$5:$B$404="TOTAL")*(METAS!$D$5:$D$404=(SUMPRODUCT(MAX((METAS!$A$5:$A$404="DTNH-03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P157" s="291">
        <f>IF(OR($K$4="(todos)",$K$4=$A$17),IF($A$17="","",IF($B$4="Mensal",IF(COUNTIFS(TabelaNPS[Período],$A157,TabelaNPS[Curso],$A$17)&gt;0,SUMIFS(TabelaNPS[Respondentes],TabelaNPS[Período],$A157,TabelaNPS[Curso],$A$17),SUMIFS(TabelaNPS[Respondentes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Respondentes],TabelaNPS[Período],(IF($A157="","",IF(ISNUMBER(SEARCH("-SEM",$A157)),$A157,LEFT($A157,4)&amp;"-SEM"&amp;IF(VALUE(RIGHT($A157,2))&lt;=6,1,2)))),TabelaNPS[Curso],$A$17)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Q157" s="291">
        <f>IF(OR($K$4="(todos)",$K$4=$A$17),IF($A$17="","",IF($B$4="Mensal",IF(COUNTIFS(TabelaNPS[Período],$A157,TabelaNPS[Curso],$A$17)&gt;0,SUMIFS(TabelaNPS[Promotores (9-10)],TabelaNPS[Período],$A157,TabelaNPS[Curso],$A$17),SUMIFS(TabelaNPS[Promotores (9-10)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Promotores (9-10)],TabelaNPS[Período],(IF($A157="","",IF(ISNUMBER(SEARCH("-SEM",$A157)),$A157,LEFT($A157,4)&amp;"-SEM"&amp;IF(VALUE(RIGHT($A157,2))&lt;=6,1,2)))),TabelaNPS[Curso],$A$17),SUMIFS(TabelaNPS[Promotores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R157" s="291">
        <f>IF(OR($K$4="(todos)",$K$4=$A$17),IF($A$17="","",IF($B$4="Mensal",IF(COUNTIFS(TabelaNPS[Período],$A157,TabelaNPS[Curso],$A$17)&gt;0,SUMIFS(TabelaNPS[Detratores (0-6)],TabelaNPS[Período],$A157,TabelaNPS[Curso],$A$17),SUMIFS(TabelaNPS[Detratores (0-6)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Detratores (0-6)],TabelaNPS[Período],(IF($A157="","",IF(ISNUMBER(SEARCH("-SEM",$A157)),$A157,LEFT($A157,4)&amp;"-SEM"&amp;IF(VALUE(RIGHT($A157,2))&lt;=6,1,2)))),TabelaNPS[Curso],$A$17),SUMIFS(TabelaNPS[Detratores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S157" s="291">
        <f>IF(OR($K$4="(todos)",$K$4=$A$18),IF($A$18="","",IF($B$4="Mensal",IF(COUNTIFS(TabelaNPS[Período],$A157,TabelaNPS[Curso],$A$18)&gt;0,SUMIFS(TabelaNPS[Respondentes],TabelaNPS[Período],$A157,TabelaNPS[Curso],$A$18),SUMIFS(TabelaNPS[Respondentes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Respondentes],TabelaNPS[Período],(IF($A157="","",IF(ISNUMBER(SEARCH("-SEM",$A157)),$A157,LEFT($A157,4)&amp;"-SEM"&amp;IF(VALUE(RIGHT($A157,2))&lt;=6,1,2)))),TabelaNPS[Curso],$A$18)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T157" s="291">
        <f>IF(OR($K$4="(todos)",$K$4=$A$18),IF($A$18="","",IF($B$4="Mensal",IF(COUNTIFS(TabelaNPS[Período],$A157,TabelaNPS[Curso],$A$18)&gt;0,SUMIFS(TabelaNPS[Promotores (9-10)],TabelaNPS[Período],$A157,TabelaNPS[Curso],$A$18),SUMIFS(TabelaNPS[Promotores (9-10)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Promotores (9-10)],TabelaNPS[Período],(IF($A157="","",IF(ISNUMBER(SEARCH("-SEM",$A157)),$A157,LEFT($A157,4)&amp;"-SEM"&amp;IF(VALUE(RIGHT($A157,2))&lt;=6,1,2)))),TabelaNPS[Curso],$A$18),SUMIFS(TabelaNPS[Promotores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U157" s="291">
        <f>IF(OR($K$4="(todos)",$K$4=$A$18),IF($A$18="","",IF($B$4="Mensal",IF(COUNTIFS(TabelaNPS[Período],$A157,TabelaNPS[Curso],$A$18)&gt;0,SUMIFS(TabelaNPS[Detratores (0-6)],TabelaNPS[Período],$A157,TabelaNPS[Curso],$A$18),SUMIFS(TabelaNPS[Detratores (0-6)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Detratores (0-6)],TabelaNPS[Período],(IF($A157="","",IF(ISNUMBER(SEARCH("-SEM",$A157)),$A157,LEFT($A157,4)&amp;"-SEM"&amp;IF(VALUE(RIGHT($A157,2))&lt;=6,1,2)))),TabelaNPS[Curso],$A$18),SUMIFS(TabelaNPS[Detratores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V157" s="291">
        <f>IF(OR($K$4="(todos)",$K$4=$A$19),IF($A$19="","",IF($B$4="Mensal",IF(COUNTIFS(TabelaNPS[Período],$A157,TabelaNPS[Curso],$A$19)&gt;0,SUMIFS(TabelaNPS[Respondentes],TabelaNPS[Período],$A157,TabelaNPS[Curso],$A$19),SUMIFS(TabelaNPS[Respondentes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Respondentes],TabelaNPS[Período],(IF($A157="","",IF(ISNUMBER(SEARCH("-SEM",$A157)),$A157,LEFT($A157,4)&amp;"-SEM"&amp;IF(VALUE(RIGHT($A157,2))&lt;=6,1,2)))),TabelaNPS[Curso],$A$19)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W157" s="291">
        <f>IF(OR($K$4="(todos)",$K$4=$A$19),IF($A$19="","",IF($B$4="Mensal",IF(COUNTIFS(TabelaNPS[Período],$A157,TabelaNPS[Curso],$A$19)&gt;0,SUMIFS(TabelaNPS[Promotores (9-10)],TabelaNPS[Período],$A157,TabelaNPS[Curso],$A$19),SUMIFS(TabelaNPS[Promotores (9-10)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Promotores (9-10)],TabelaNPS[Período],(IF($A157="","",IF(ISNUMBER(SEARCH("-SEM",$A157)),$A157,LEFT($A157,4)&amp;"-SEM"&amp;IF(VALUE(RIGHT($A157,2))&lt;=6,1,2)))),TabelaNPS[Curso],$A$19),SUMIFS(TabelaNPS[Promotores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X157" s="291">
        <f>IF(OR($K$4="(todos)",$K$4=$A$19),IF($A$19="","",IF($B$4="Mensal",IF(COUNTIFS(TabelaNPS[Período],$A157,TabelaNPS[Curso],$A$19)&gt;0,SUMIFS(TabelaNPS[Detratores (0-6)],TabelaNPS[Período],$A157,TabelaNPS[Curso],$A$19),SUMIFS(TabelaNPS[Detratores (0-6)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Detratores (0-6)],TabelaNPS[Período],(IF($A157="","",IF(ISNUMBER(SEARCH("-SEM",$A157)),$A157,LEFT($A157,4)&amp;"-SEM"&amp;IF(VALUE(RIGHT($A157,2))&lt;=6,1,2)))),TabelaNPS[Curso],$A$19),SUMIFS(TabelaNPS[Detratores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Y157" s="291">
        <f>IF(OR($K$4="(todos)",$K$4=$A$20),IF($A$20="","",IF($B$4="Mensal",IF(COUNTIFS(TabelaNPS[Período],$A157,TabelaNPS[Curso],$A$20)&gt;0,SUMIFS(TabelaNPS[Respondentes],TabelaNPS[Período],$A157,TabelaNPS[Curso],$A$20),SUMIFS(TabelaNPS[Respondentes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Respondentes],TabelaNPS[Período],(IF($A157="","",IF(ISNUMBER(SEARCH("-SEM",$A157)),$A157,LEFT($A157,4)&amp;"-SEM"&amp;IF(VALUE(RIGHT($A157,2))&lt;=6,1,2)))),TabelaNPS[Curso],$A$20)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Z157" s="291">
        <f>IF(OR($K$4="(todos)",$K$4=$A$20),IF($A$20="","",IF($B$4="Mensal",IF(COUNTIFS(TabelaNPS[Período],$A157,TabelaNPS[Curso],$A$20)&gt;0,SUMIFS(TabelaNPS[Promotores (9-10)],TabelaNPS[Período],$A157,TabelaNPS[Curso],$A$20),SUMIFS(TabelaNPS[Promotores (9-10)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Promotores (9-10)],TabelaNPS[Período],(IF($A157="","",IF(ISNUMBER(SEARCH("-SEM",$A157)),$A157,LEFT($A157,4)&amp;"-SEM"&amp;IF(VALUE(RIGHT($A157,2))&lt;=6,1,2)))),TabelaNPS[Curso],$A$20),SUMIFS(TabelaNPS[Promotores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AA157" s="291">
        <f>IF(OR($K$4="(todos)",$K$4=$A$20),IF($A$20="","",IF($B$4="Mensal",IF(COUNTIFS(TabelaNPS[Período],$A157,TabelaNPS[Curso],$A$20)&gt;0,SUMIFS(TabelaNPS[Detratores (0-6)],TabelaNPS[Período],$A157,TabelaNPS[Curso],$A$20),SUMIFS(TabelaNPS[Detratores (0-6)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Detratores (0-6)],TabelaNPS[Período],(IF($A157="","",IF(ISNUMBER(SEARCH("-SEM",$A157)),$A157,LEFT($A157,4)&amp;"-SEM"&amp;IF(VALUE(RIGHT($A157,2))&lt;=6,1,2)))),TabelaNPS[Curso],$A$20),SUMIFS(TabelaNPS[Detratores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AB157" s="291">
        <f>IF(OR($K$4="(todos)",$K$4=$A$21),IF($A$21="","",IF($B$4="Mensal",IF(COUNTIFS(TabelaNPS[Período],$A157,TabelaNPS[Curso],$A$21)&gt;0,SUMIFS(TabelaNPS[Respondentes],TabelaNPS[Período],$A157,TabelaNPS[Curso],$A$21),SUMIFS(TabelaNPS[Respondentes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Respondentes],TabelaNPS[Período],(IF($A157="","",IF(ISNUMBER(SEARCH("-SEM",$A157)),$A157,LEFT($A157,4)&amp;"-SEM"&amp;IF(VALUE(RIGHT($A157,2))&lt;=6,1,2)))),TabelaNPS[Curso],$A$21)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C157" s="291">
        <f>IF(OR($K$4="(todos)",$K$4=$A$21),IF($A$21="","",IF($B$4="Mensal",IF(COUNTIFS(TabelaNPS[Período],$A157,TabelaNPS[Curso],$A$21)&gt;0,SUMIFS(TabelaNPS[Promotores (9-10)],TabelaNPS[Período],$A157,TabelaNPS[Curso],$A$21),SUMIFS(TabelaNPS[Promotores (9-10)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Promotores (9-10)],TabelaNPS[Período],(IF($A157="","",IF(ISNUMBER(SEARCH("-SEM",$A157)),$A157,LEFT($A157,4)&amp;"-SEM"&amp;IF(VALUE(RIGHT($A157,2))&lt;=6,1,2)))),TabelaNPS[Curso],$A$21),SUMIFS(TabelaNPS[Promotores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D157" s="291">
        <f>IF(OR($K$4="(todos)",$K$4=$A$21),IF($A$21="","",IF($B$4="Mensal",IF(COUNTIFS(TabelaNPS[Período],$A157,TabelaNPS[Curso],$A$21)&gt;0,SUMIFS(TabelaNPS[Detratores (0-6)],TabelaNPS[Período],$A157,TabelaNPS[Curso],$A$21),SUMIFS(TabelaNPS[Detratores (0-6)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Detratores (0-6)],TabelaNPS[Período],(IF($A157="","",IF(ISNUMBER(SEARCH("-SEM",$A157)),$A157,LEFT($A157,4)&amp;"-SEM"&amp;IF(VALUE(RIGHT($A157,2))&lt;=6,1,2)))),TabelaNPS[Curso],$A$21),SUMIFS(TabelaNPS[Detratores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E157" s="291">
        <f>IF(OR($K$4="(todos)",$K$4=$A$22),IF($A$22="","",IF($B$4="Mensal",IF(COUNTIFS(TabelaNPS[Período],$A157,TabelaNPS[Curso],$A$22)&gt;0,SUMIFS(TabelaNPS[Respondentes],TabelaNPS[Período],$A157,TabelaNPS[Curso],$A$22),SUMIFS(TabelaNPS[Respondentes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Respondentes],TabelaNPS[Período],(IF($A157="","",IF(ISNUMBER(SEARCH("-SEM",$A157)),$A157,LEFT($A157,4)&amp;"-SEM"&amp;IF(VALUE(RIGHT($A157,2))&lt;=6,1,2)))),TabelaNPS[Curso],$A$22)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F157" s="291">
        <f>IF(OR($K$4="(todos)",$K$4=$A$22),IF($A$22="","",IF($B$4="Mensal",IF(COUNTIFS(TabelaNPS[Período],$A157,TabelaNPS[Curso],$A$22)&gt;0,SUMIFS(TabelaNPS[Promotores (9-10)],TabelaNPS[Período],$A157,TabelaNPS[Curso],$A$22),SUMIFS(TabelaNPS[Promotores (9-10)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Promotores (9-10)],TabelaNPS[Período],(IF($A157="","",IF(ISNUMBER(SEARCH("-SEM",$A157)),$A157,LEFT($A157,4)&amp;"-SEM"&amp;IF(VALUE(RIGHT($A157,2))&lt;=6,1,2)))),TabelaNPS[Curso],$A$22),SUMIFS(TabelaNPS[Promotores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G157" s="291">
        <f>IF(OR($K$4="(todos)",$K$4=$A$22),IF($A$22="","",IF($B$4="Mensal",IF(COUNTIFS(TabelaNPS[Período],$A157,TabelaNPS[Curso],$A$22)&gt;0,SUMIFS(TabelaNPS[Detratores (0-6)],TabelaNPS[Período],$A157,TabelaNPS[Curso],$A$22),SUMIFS(TabelaNPS[Detratores (0-6)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Detratores (0-6)],TabelaNPS[Período],(IF($A157="","",IF(ISNUMBER(SEARCH("-SEM",$A157)),$A157,LEFT($A157,4)&amp;"-SEM"&amp;IF(VALUE(RIGHT($A157,2))&lt;=6,1,2)))),TabelaNPS[Curso],$A$22),SUMIFS(TabelaNPS[Detratores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H157" s="291">
        <f>IF(OR($K$4="(todos)",$K$4=$A$23),IF($A$23="","",IF($B$4="Mensal",IF(COUNTIFS(TabelaNPS[Período],$A157,TabelaNPS[Curso],$A$23)&gt;0,SUMIFS(TabelaNPS[Respondentes],TabelaNPS[Período],$A157,TabelaNPS[Curso],$A$23),SUMIFS(TabelaNPS[Respondentes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Respondentes],TabelaNPS[Período],(IF($A157="","",IF(ISNUMBER(SEARCH("-SEM",$A157)),$A157,LEFT($A157,4)&amp;"-SEM"&amp;IF(VALUE(RIGHT($A157,2))&lt;=6,1,2)))),TabelaNPS[Curso],$A$23)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I157" s="291">
        <f>IF(OR($K$4="(todos)",$K$4=$A$23),IF($A$23="","",IF($B$4="Mensal",IF(COUNTIFS(TabelaNPS[Período],$A157,TabelaNPS[Curso],$A$23)&gt;0,SUMIFS(TabelaNPS[Promotores (9-10)],TabelaNPS[Período],$A157,TabelaNPS[Curso],$A$23),SUMIFS(TabelaNPS[Promotores (9-10)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Promotores (9-10)],TabelaNPS[Período],(IF($A157="","",IF(ISNUMBER(SEARCH("-SEM",$A157)),$A157,LEFT($A157,4)&amp;"-SEM"&amp;IF(VALUE(RIGHT($A157,2))&lt;=6,1,2)))),TabelaNPS[Curso],$A$23),SUMIFS(TabelaNPS[Promotores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J157" s="291">
        <f>IF(OR($K$4="(todos)",$K$4=$A$23),IF($A$23="","",IF($B$4="Mensal",IF(COUNTIFS(TabelaNPS[Período],$A157,TabelaNPS[Curso],$A$23)&gt;0,SUMIFS(TabelaNPS[Detratores (0-6)],TabelaNPS[Período],$A157,TabelaNPS[Curso],$A$23),SUMIFS(TabelaNPS[Detratores (0-6)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Detratores (0-6)],TabelaNPS[Período],(IF($A157="","",IF(ISNUMBER(SEARCH("-SEM",$A157)),$A157,LEFT($A157,4)&amp;"-SEM"&amp;IF(VALUE(RIGHT($A157,2))&lt;=6,1,2)))),TabelaNPS[Curso],$A$23),SUMIFS(TabelaNPS[Detratores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K157" s="291">
        <f>IF(OR($K$4="(todos)",$K$4=$A$24),IF($A$24="","",IF($B$4="Mensal",IF(COUNTIFS(TabelaNPS[Período],$A157,TabelaNPS[Curso],$A$24)&gt;0,SUMIFS(TabelaNPS[Respondentes],TabelaNPS[Período],$A157,TabelaNPS[Curso],$A$24),SUMIFS(TabelaNPS[Respondentes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Respondentes],TabelaNPS[Período],(IF($A157="","",IF(ISNUMBER(SEARCH("-SEM",$A157)),$A157,LEFT($A157,4)&amp;"-SEM"&amp;IF(VALUE(RIGHT($A157,2))&lt;=6,1,2)))),TabelaNPS[Curso],$A$24)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  <c r="AL157" s="291">
        <f>IF(OR($K$4="(todos)",$K$4=$A$24),IF($A$24="","",IF($B$4="Mensal",IF(COUNTIFS(TabelaNPS[Período],$A157,TabelaNPS[Curso],$A$24)&gt;0,SUMIFS(TabelaNPS[Promotores (9-10)],TabelaNPS[Período],$A157,TabelaNPS[Curso],$A$24),SUMIFS(TabelaNPS[Promotores (9-10)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Promotores (9-10)],TabelaNPS[Período],(IF($A157="","",IF(ISNUMBER(SEARCH("-SEM",$A157)),$A157,LEFT($A157,4)&amp;"-SEM"&amp;IF(VALUE(RIGHT($A157,2))&lt;=6,1,2)))),TabelaNPS[Curso],$A$24),SUMIFS(TabelaNPS[Promotores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  <c r="AM157" s="291">
        <f>IF(OR($K$4="(todos)",$K$4=$A$24),IF($A$24="","",IF($B$4="Mensal",IF(COUNTIFS(TabelaNPS[Período],$A157,TabelaNPS[Curso],$A$24)&gt;0,SUMIFS(TabelaNPS[Detratores (0-6)],TabelaNPS[Período],$A157,TabelaNPS[Curso],$A$24),SUMIFS(TabelaNPS[Detratores (0-6)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Detratores (0-6)],TabelaNPS[Período],(IF($A157="","",IF(ISNUMBER(SEARCH("-SEM",$A157)),$A157,LEFT($A157,4)&amp;"-SEM"&amp;IF(VALUE(RIGHT($A157,2))&lt;=6,1,2)))),TabelaNPS[Curso],$A$24),SUMIFS(TabelaNPS[Detratores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  <c r="AN157" s="291">
        <f>IF(OR($K$4="(todos)",$K$4=$A$25),IF($A$25="","",IF($B$4="Mensal",IF(COUNTIFS(TabelaNPS[Período],$A157,TabelaNPS[Curso],$A$25)&gt;0,SUMIFS(TabelaNPS[Respondentes],TabelaNPS[Período],$A157,TabelaNPS[Curso],$A$25),SUMIFS(TabelaNPS[Respondentes],TabelaNPS[Período],(IF($A157="","",IF(ISNUMBER(SEARCH("-SEM",$A157)),$A157,LEFT($A157,4)&amp;"-SEM"&amp;IF(VALUE(RIGHT($A157,2))&lt;=6,1,2)))),TabelaNPS[Curso],$A$25)),IF(COUNTIFS(TabelaNPS[Período],(IF($A157="","",IF(ISNUMBER(SEARCH("-SEM",$A157)),$A157,LEFT($A157,4)&amp;"-SEM"&amp;IF(VALUE(RIGHT($A157,2))&lt;=6,1,2)))),TabelaNPS[Curso],$A$25)&gt;0,SUMIFS(TabelaNPS[Respondentes],TabelaNPS[Período],(IF($A157="","",IF(ISNUMBER(SEARCH("-SEM",$A157)),$A157,LEFT($A157,4)&amp;"-SEM"&amp;IF(VALUE(RIGHT($A157,2))&lt;=6,1,2)))),TabelaNPS[Curso],$A$25)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$25)))),0)</f>
        <v/>
      </c>
      <c r="AO157" s="291">
        <f>IF(OR($K$4="(todos)",$K$4=$A$25),IF($A$25="","",IF($B$4="Mensal",IF(COUNTIFS(TabelaNPS[Período],$A157,TabelaNPS[Curso],$A$25)&gt;0,SUMIFS(TabelaNPS[Promotores (9-10)],TabelaNPS[Período],$A157,TabelaNPS[Curso],$A$25),SUMIFS(TabelaNPS[Promotores (9-10)],TabelaNPS[Período],(IF($A157="","",IF(ISNUMBER(SEARCH("-SEM",$A157)),$A157,LEFT($A157,4)&amp;"-SEM"&amp;IF(VALUE(RIGHT($A157,2))&lt;=6,1,2)))),TabelaNPS[Curso],$A$25)),IF(COUNTIFS(TabelaNPS[Período],(IF($A157="","",IF(ISNUMBER(SEARCH("-SEM",$A157)),$A157,LEFT($A157,4)&amp;"-SEM"&amp;IF(VALUE(RIGHT($A157,2))&lt;=6,1,2)))),TabelaNPS[Curso],$A$25)&gt;0,SUMIFS(TabelaNPS[Promotores (9-10)],TabelaNPS[Período],(IF($A157="","",IF(ISNUMBER(SEARCH("-SEM",$A157)),$A157,LEFT($A157,4)&amp;"-SEM"&amp;IF(VALUE(RIGHT($A157,2))&lt;=6,1,2)))),TabelaNPS[Curso],$A$25),SUMIFS(TabelaNPS[Promotores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$25)))),0)</f>
        <v/>
      </c>
      <c r="AP157" s="291">
        <f>IF(OR($K$4="(todos)",$K$4=$A$25),IF($A$25="","",IF($B$4="Mensal",IF(COUNTIFS(TabelaNPS[Período],$A157,TabelaNPS[Curso],$A$25)&gt;0,SUMIFS(TabelaNPS[Detratores (0-6)],TabelaNPS[Período],$A157,TabelaNPS[Curso],$A$25),SUMIFS(TabelaNPS[Detratores (0-6)],TabelaNPS[Período],(IF($A157="","",IF(ISNUMBER(SEARCH("-SEM",$A157)),$A157,LEFT($A157,4)&amp;"-SEM"&amp;IF(VALUE(RIGHT($A157,2))&lt;=6,1,2)))),TabelaNPS[Curso],$A$25)),IF(COUNTIFS(TabelaNPS[Período],(IF($A157="","",IF(ISNUMBER(SEARCH("-SEM",$A157)),$A157,LEFT($A157,4)&amp;"-SEM"&amp;IF(VALUE(RIGHT($A157,2))&lt;=6,1,2)))),TabelaNPS[Curso],$A$25)&gt;0,SUMIFS(TabelaNPS[Detratores (0-6)],TabelaNPS[Período],(IF($A157="","",IF(ISNUMBER(SEARCH("-SEM",$A157)),$A157,LEFT($A157,4)&amp;"-SEM"&amp;IF(VALUE(RIGHT($A157,2))&lt;=6,1,2)))),TabelaNPS[Curso],$A$25),SUMIFS(TabelaNPS[Detratores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$25)))),0)</f>
        <v/>
      </c>
    </row>
    <row r="158" ht="15" customHeight="1" s="131">
      <c r="A158" s="356">
        <f>IF(A157="","",IF($B$4="Mensal",IF(MATCH(A157,LST_MESES,0)&gt;=MATCH(PARAMETROS!$E$9,LST_MESES,0),"",INDEX(LST_MESES,MATCH(A157,LST_MESES,0)+1)),IF(MATCH(A157,LST_SEMESTRES,0)&gt;=MATCH(PARAMETROS!$E$9,LST_SEMESTRES,0),"",INDEX(LST_SEMESTRES,MATCH(A157,LST_SEMESTRES,0)+1))))</f>
        <v/>
      </c>
      <c r="B158" s="346">
        <f>IF($A158="","",IFERROR((SUM(Q158,T158,W158,Z158,AC158,AF158,AI158,AL158,AO158)-SUM(R158,U158,X158,AA158,AD158,AG158,AJ158,AM158,AP158))/SUM(P158,S158,V158,Y158,AB158,AE158,AH158,AK158,AN158)*100,""))</f>
        <v/>
      </c>
      <c r="C158" s="348">
        <f>IFERROR(SUMPRODUCT(--(TabelaAvaliacaoDocente[Período]=(IF($A158="","",IF(ISNUMBER(SEARCH("-SEM",$A158)),$A158,LEFT($A158,4)&amp;"-SEM"&amp;IF(VALUE(RIGHT($A158,2)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158="","",IF(ISNUMBER(SEARCH("-SEM",$A158)),$A158,LEFT($A158,4)&amp;"-SEM"&amp;IF(VALUE(RIGHT($A158,2))&lt;=6,1,2))))),--((($K$4="(todos)")+(TabelaAvaliacaoDocente[Curso]=$K$4))&gt;0),--((($N$4="(todas)")+(TabelaAvaliacaoDocente[Disciplina]=$N$4))&gt;0),TabelaAvaliacaoDocente[Respondentes]),"")</f>
        <v/>
      </c>
      <c r="D158" s="349">
        <f>IF($A158="","",IFERROR((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/((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+(SUMIFS(TabelaResultadosAcademicos[Re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)*100,""))</f>
        <v/>
      </c>
      <c r="E158" s="348">
        <f>IFERROR((SUMIFS(TabelaResultadosAcademicos[Soma das nota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/(SUMIFS(TabelaResultadosAcademicos[Quantidade de nota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,"")</f>
        <v/>
      </c>
      <c r="F158" s="350">
        <f>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G158" s="350">
        <f>SUMIFS(TabelaResultadosAcademicos[Reprovados por nota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H158" s="350">
        <f>SUMIFS(TabelaResultadosAcademicos[Reprovados por falta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I158" s="353">
        <f>IF($A158="","",IFERROR(IF((SUMPRODUCT(MAX((METAS!$A$5:$A$404="DTNH-01")*(METAS!$B$5:$B$404=IF($K$4="(todos)","TOTAL",$K$4))*(METAS!$D$5:$D$404&lt;=(IF($A158="",0,IF(ISNUMBER(SEARCH("-SEM",$A158)),VALUE(LEFT($A158,4)&amp;IF(RIGHT($A158,1)="1","01","07")),VALUE(SUBSTITUTE($A158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158="",0,IF(ISNUMBER(SEARCH("-SEM",$A158)),VALUE(LEFT($A158,4)&amp;IF(RIGHT($A158,1)="1","01","07")),VALUE(SUBSTITUTE($A158,"-",""))))))*METAS!$D$5:$D$404))))*METAS!$E$5:$E$404),IF((SUMPRODUCT(MAX((METAS!$A$5:$A$404="DTNH-01")*(METAS!$B$5:$B$404="TOTAL")*(METAS!$D$5:$D$404&lt;=(IF($A158="",0,IF(ISNUMBER(SEARCH("-SEM",$A158)),VALUE(LEFT($A158,4)&amp;IF(RIGHT($A158,1)="1","01","07")),VALUE(SUBSTITUTE($A158,"-",""))))))*METAS!$D$5:$D$404)))&gt;0,SUMPRODUCT((METAS!$A$5:$A$404="DTNH-01")*(METAS!$B$5:$B$404="TOTAL")*(METAS!$D$5:$D$404=(SUMPRODUCT(MAX((METAS!$A$5:$A$404="DTNH-01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J158" s="351">
        <f>IF($A158="","",IFERROR(IF((SUMPRODUCT(MAX((METAS!$A$5:$A$404="DTNH-02")*(METAS!$B$5:$B$404=$N$6)*(METAS!$D$5:$D$404&lt;=(IF($A158="",0,IF(ISNUMBER(SEARCH("-SEM",$A158)),VALUE(LEFT($A158,4)&amp;IF(RIGHT($A158,1)="1","01","07")),VALUE(SUBSTITUTE($A158,"-",""))))))*METAS!$D$5:$D$404)))&gt;0,SUMPRODUCT((METAS!$A$5:$A$404="DTNH-02")*(METAS!$B$5:$B$404=$N$6)*(METAS!$D$5:$D$404=(SUMPRODUCT(MAX((METAS!$A$5:$A$404="DTNH-02")*(METAS!$B$5:$B$404=$N$6)*(METAS!$D$5:$D$404&lt;=(IF($A158="",0,IF(ISNUMBER(SEARCH("-SEM",$A158)),VALUE(LEFT($A158,4)&amp;IF(RIGHT($A158,1)="1","01","07")),VALUE(SUBSTITUTE($A158,"-",""))))))*METAS!$D$5:$D$404))))*METAS!$E$5:$E$404),IF((SUMPRODUCT(MAX((METAS!$A$5:$A$404="DTNH-02")*(METAS!$B$5:$B$404="TOTAL")*(METAS!$D$5:$D$404&lt;=(IF($A158="",0,IF(ISNUMBER(SEARCH("-SEM",$A158)),VALUE(LEFT($A158,4)&amp;IF(RIGHT($A158,1)="1","01","07")),VALUE(SUBSTITUTE($A158,"-",""))))))*METAS!$D$5:$D$404)))&gt;0,SUMPRODUCT((METAS!$A$5:$A$404="DTNH-02")*(METAS!$B$5:$B$404="TOTAL")*(METAS!$D$5:$D$404=(SUMPRODUCT(MAX((METAS!$A$5:$A$404="DTNH-02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K158" s="354">
        <f>IF($A158="","",IFERROR(IF((SUMPRODUCT(MAX((METAS!$A$5:$A$404="DTNH-03")*(METAS!$B$5:$B$404=$N$6)*(METAS!$D$5:$D$404&lt;=(IF($A158="",0,IF(ISNUMBER(SEARCH("-SEM",$A158)),VALUE(LEFT($A158,4)&amp;IF(RIGHT($A158,1)="1","01","07")),VALUE(SUBSTITUTE($A158,"-",""))))))*METAS!$D$5:$D$404)))&gt;0,SUMPRODUCT((METAS!$A$5:$A$404="DTNH-03")*(METAS!$B$5:$B$404=$N$6)*(METAS!$D$5:$D$404=(SUMPRODUCT(MAX((METAS!$A$5:$A$404="DTNH-03")*(METAS!$B$5:$B$404=$N$6)*(METAS!$D$5:$D$404&lt;=(IF($A158="",0,IF(ISNUMBER(SEARCH("-SEM",$A158)),VALUE(LEFT($A158,4)&amp;IF(RIGHT($A158,1)="1","01","07")),VALUE(SUBSTITUTE($A158,"-",""))))))*METAS!$D$5:$D$404))))*METAS!$E$5:$E$404),IF((SUMPRODUCT(MAX((METAS!$A$5:$A$404="DTNH-03")*(METAS!$B$5:$B$404="TOTAL")*(METAS!$D$5:$D$404&lt;=(IF($A158="",0,IF(ISNUMBER(SEARCH("-SEM",$A158)),VALUE(LEFT($A158,4)&amp;IF(RIGHT($A158,1)="1","01","07")),VALUE(SUBSTITUTE($A158,"-",""))))))*METAS!$D$5:$D$404)))&gt;0,SUMPRODUCT((METAS!$A$5:$A$404="DTNH-03")*(METAS!$B$5:$B$404="TOTAL")*(METAS!$D$5:$D$404=(SUMPRODUCT(MAX((METAS!$A$5:$A$404="DTNH-03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P158" s="291">
        <f>IF(OR($K$4="(todos)",$K$4=$A$17),IF($A$17="","",IF($B$4="Mensal",IF(COUNTIFS(TabelaNPS[Período],$A158,TabelaNPS[Curso],$A$17)&gt;0,SUMIFS(TabelaNPS[Respondentes],TabelaNPS[Período],$A158,TabelaNPS[Curso],$A$17),SUMIFS(TabelaNPS[Respondentes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Respondentes],TabelaNPS[Período],(IF($A158="","",IF(ISNUMBER(SEARCH("-SEM",$A158)),$A158,LEFT($A158,4)&amp;"-SEM"&amp;IF(VALUE(RIGHT($A158,2))&lt;=6,1,2)))),TabelaNPS[Curso],$A$17)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Q158" s="291">
        <f>IF(OR($K$4="(todos)",$K$4=$A$17),IF($A$17="","",IF($B$4="Mensal",IF(COUNTIFS(TabelaNPS[Período],$A158,TabelaNPS[Curso],$A$17)&gt;0,SUMIFS(TabelaNPS[Promotores (9-10)],TabelaNPS[Período],$A158,TabelaNPS[Curso],$A$17),SUMIFS(TabelaNPS[Promotores (9-10)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Promotores (9-10)],TabelaNPS[Período],(IF($A158="","",IF(ISNUMBER(SEARCH("-SEM",$A158)),$A158,LEFT($A158,4)&amp;"-SEM"&amp;IF(VALUE(RIGHT($A158,2))&lt;=6,1,2)))),TabelaNPS[Curso],$A$17),SUMIFS(TabelaNPS[Promotores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R158" s="291">
        <f>IF(OR($K$4="(todos)",$K$4=$A$17),IF($A$17="","",IF($B$4="Mensal",IF(COUNTIFS(TabelaNPS[Período],$A158,TabelaNPS[Curso],$A$17)&gt;0,SUMIFS(TabelaNPS[Detratores (0-6)],TabelaNPS[Período],$A158,TabelaNPS[Curso],$A$17),SUMIFS(TabelaNPS[Detratores (0-6)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Detratores (0-6)],TabelaNPS[Período],(IF($A158="","",IF(ISNUMBER(SEARCH("-SEM",$A158)),$A158,LEFT($A158,4)&amp;"-SEM"&amp;IF(VALUE(RIGHT($A158,2))&lt;=6,1,2)))),TabelaNPS[Curso],$A$17),SUMIFS(TabelaNPS[Detratores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S158" s="291">
        <f>IF(OR($K$4="(todos)",$K$4=$A$18),IF($A$18="","",IF($B$4="Mensal",IF(COUNTIFS(TabelaNPS[Período],$A158,TabelaNPS[Curso],$A$18)&gt;0,SUMIFS(TabelaNPS[Respondentes],TabelaNPS[Período],$A158,TabelaNPS[Curso],$A$18),SUMIFS(TabelaNPS[Respondentes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Respondentes],TabelaNPS[Período],(IF($A158="","",IF(ISNUMBER(SEARCH("-SEM",$A158)),$A158,LEFT($A158,4)&amp;"-SEM"&amp;IF(VALUE(RIGHT($A158,2))&lt;=6,1,2)))),TabelaNPS[Curso],$A$18)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T158" s="291">
        <f>IF(OR($K$4="(todos)",$K$4=$A$18),IF($A$18="","",IF($B$4="Mensal",IF(COUNTIFS(TabelaNPS[Período],$A158,TabelaNPS[Curso],$A$18)&gt;0,SUMIFS(TabelaNPS[Promotores (9-10)],TabelaNPS[Período],$A158,TabelaNPS[Curso],$A$18),SUMIFS(TabelaNPS[Promotores (9-10)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Promotores (9-10)],TabelaNPS[Período],(IF($A158="","",IF(ISNUMBER(SEARCH("-SEM",$A158)),$A158,LEFT($A158,4)&amp;"-SEM"&amp;IF(VALUE(RIGHT($A158,2))&lt;=6,1,2)))),TabelaNPS[Curso],$A$18),SUMIFS(TabelaNPS[Promotores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U158" s="291">
        <f>IF(OR($K$4="(todos)",$K$4=$A$18),IF($A$18="","",IF($B$4="Mensal",IF(COUNTIFS(TabelaNPS[Período],$A158,TabelaNPS[Curso],$A$18)&gt;0,SUMIFS(TabelaNPS[Detratores (0-6)],TabelaNPS[Período],$A158,TabelaNPS[Curso],$A$18),SUMIFS(TabelaNPS[Detratores (0-6)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Detratores (0-6)],TabelaNPS[Período],(IF($A158="","",IF(ISNUMBER(SEARCH("-SEM",$A158)),$A158,LEFT($A158,4)&amp;"-SEM"&amp;IF(VALUE(RIGHT($A158,2))&lt;=6,1,2)))),TabelaNPS[Curso],$A$18),SUMIFS(TabelaNPS[Detratores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V158" s="291">
        <f>IF(OR($K$4="(todos)",$K$4=$A$19),IF($A$19="","",IF($B$4="Mensal",IF(COUNTIFS(TabelaNPS[Período],$A158,TabelaNPS[Curso],$A$19)&gt;0,SUMIFS(TabelaNPS[Respondentes],TabelaNPS[Período],$A158,TabelaNPS[Curso],$A$19),SUMIFS(TabelaNPS[Respondentes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Respondentes],TabelaNPS[Período],(IF($A158="","",IF(ISNUMBER(SEARCH("-SEM",$A158)),$A158,LEFT($A158,4)&amp;"-SEM"&amp;IF(VALUE(RIGHT($A158,2))&lt;=6,1,2)))),TabelaNPS[Curso],$A$19)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W158" s="291">
        <f>IF(OR($K$4="(todos)",$K$4=$A$19),IF($A$19="","",IF($B$4="Mensal",IF(COUNTIFS(TabelaNPS[Período],$A158,TabelaNPS[Curso],$A$19)&gt;0,SUMIFS(TabelaNPS[Promotores (9-10)],TabelaNPS[Período],$A158,TabelaNPS[Curso],$A$19),SUMIFS(TabelaNPS[Promotores (9-10)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Promotores (9-10)],TabelaNPS[Período],(IF($A158="","",IF(ISNUMBER(SEARCH("-SEM",$A158)),$A158,LEFT($A158,4)&amp;"-SEM"&amp;IF(VALUE(RIGHT($A158,2))&lt;=6,1,2)))),TabelaNPS[Curso],$A$19),SUMIFS(TabelaNPS[Promotores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X158" s="291">
        <f>IF(OR($K$4="(todos)",$K$4=$A$19),IF($A$19="","",IF($B$4="Mensal",IF(COUNTIFS(TabelaNPS[Período],$A158,TabelaNPS[Curso],$A$19)&gt;0,SUMIFS(TabelaNPS[Detratores (0-6)],TabelaNPS[Período],$A158,TabelaNPS[Curso],$A$19),SUMIFS(TabelaNPS[Detratores (0-6)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Detratores (0-6)],TabelaNPS[Período],(IF($A158="","",IF(ISNUMBER(SEARCH("-SEM",$A158)),$A158,LEFT($A158,4)&amp;"-SEM"&amp;IF(VALUE(RIGHT($A158,2))&lt;=6,1,2)))),TabelaNPS[Curso],$A$19),SUMIFS(TabelaNPS[Detratores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Y158" s="291">
        <f>IF(OR($K$4="(todos)",$K$4=$A$20),IF($A$20="","",IF($B$4="Mensal",IF(COUNTIFS(TabelaNPS[Período],$A158,TabelaNPS[Curso],$A$20)&gt;0,SUMIFS(TabelaNPS[Respondentes],TabelaNPS[Período],$A158,TabelaNPS[Curso],$A$20),SUMIFS(TabelaNPS[Respondentes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Respondentes],TabelaNPS[Período],(IF($A158="","",IF(ISNUMBER(SEARCH("-SEM",$A158)),$A158,LEFT($A158,4)&amp;"-SEM"&amp;IF(VALUE(RIGHT($A158,2))&lt;=6,1,2)))),TabelaNPS[Curso],$A$20)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Z158" s="291">
        <f>IF(OR($K$4="(todos)",$K$4=$A$20),IF($A$20="","",IF($B$4="Mensal",IF(COUNTIFS(TabelaNPS[Período],$A158,TabelaNPS[Curso],$A$20)&gt;0,SUMIFS(TabelaNPS[Promotores (9-10)],TabelaNPS[Período],$A158,TabelaNPS[Curso],$A$20),SUMIFS(TabelaNPS[Promotores (9-10)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Promotores (9-10)],TabelaNPS[Período],(IF($A158="","",IF(ISNUMBER(SEARCH("-SEM",$A158)),$A158,LEFT($A158,4)&amp;"-SEM"&amp;IF(VALUE(RIGHT($A158,2))&lt;=6,1,2)))),TabelaNPS[Curso],$A$20),SUMIFS(TabelaNPS[Promotores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AA158" s="291">
        <f>IF(OR($K$4="(todos)",$K$4=$A$20),IF($A$20="","",IF($B$4="Mensal",IF(COUNTIFS(TabelaNPS[Período],$A158,TabelaNPS[Curso],$A$20)&gt;0,SUMIFS(TabelaNPS[Detratores (0-6)],TabelaNPS[Período],$A158,TabelaNPS[Curso],$A$20),SUMIFS(TabelaNPS[Detratores (0-6)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Detratores (0-6)],TabelaNPS[Período],(IF($A158="","",IF(ISNUMBER(SEARCH("-SEM",$A158)),$A158,LEFT($A158,4)&amp;"-SEM"&amp;IF(VALUE(RIGHT($A158,2))&lt;=6,1,2)))),TabelaNPS[Curso],$A$20),SUMIFS(TabelaNPS[Detratores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AB158" s="291">
        <f>IF(OR($K$4="(todos)",$K$4=$A$21),IF($A$21="","",IF($B$4="Mensal",IF(COUNTIFS(TabelaNPS[Período],$A158,TabelaNPS[Curso],$A$21)&gt;0,SUMIFS(TabelaNPS[Respondentes],TabelaNPS[Período],$A158,TabelaNPS[Curso],$A$21),SUMIFS(TabelaNPS[Respondentes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Respondentes],TabelaNPS[Período],(IF($A158="","",IF(ISNUMBER(SEARCH("-SEM",$A158)),$A158,LEFT($A158,4)&amp;"-SEM"&amp;IF(VALUE(RIGHT($A158,2))&lt;=6,1,2)))),TabelaNPS[Curso],$A$21)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C158" s="291">
        <f>IF(OR($K$4="(todos)",$K$4=$A$21),IF($A$21="","",IF($B$4="Mensal",IF(COUNTIFS(TabelaNPS[Período],$A158,TabelaNPS[Curso],$A$21)&gt;0,SUMIFS(TabelaNPS[Promotores (9-10)],TabelaNPS[Período],$A158,TabelaNPS[Curso],$A$21),SUMIFS(TabelaNPS[Promotores (9-10)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Promotores (9-10)],TabelaNPS[Período],(IF($A158="","",IF(ISNUMBER(SEARCH("-SEM",$A158)),$A158,LEFT($A158,4)&amp;"-SEM"&amp;IF(VALUE(RIGHT($A158,2))&lt;=6,1,2)))),TabelaNPS[Curso],$A$21),SUMIFS(TabelaNPS[Promotores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D158" s="291">
        <f>IF(OR($K$4="(todos)",$K$4=$A$21),IF($A$21="","",IF($B$4="Mensal",IF(COUNTIFS(TabelaNPS[Período],$A158,TabelaNPS[Curso],$A$21)&gt;0,SUMIFS(TabelaNPS[Detratores (0-6)],TabelaNPS[Período],$A158,TabelaNPS[Curso],$A$21),SUMIFS(TabelaNPS[Detratores (0-6)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Detratores (0-6)],TabelaNPS[Período],(IF($A158="","",IF(ISNUMBER(SEARCH("-SEM",$A158)),$A158,LEFT($A158,4)&amp;"-SEM"&amp;IF(VALUE(RIGHT($A158,2))&lt;=6,1,2)))),TabelaNPS[Curso],$A$21),SUMIFS(TabelaNPS[Detratores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E158" s="291">
        <f>IF(OR($K$4="(todos)",$K$4=$A$22),IF($A$22="","",IF($B$4="Mensal",IF(COUNTIFS(TabelaNPS[Período],$A158,TabelaNPS[Curso],$A$22)&gt;0,SUMIFS(TabelaNPS[Respondentes],TabelaNPS[Período],$A158,TabelaNPS[Curso],$A$22),SUMIFS(TabelaNPS[Respondentes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Respondentes],TabelaNPS[Período],(IF($A158="","",IF(ISNUMBER(SEARCH("-SEM",$A158)),$A158,LEFT($A158,4)&amp;"-SEM"&amp;IF(VALUE(RIGHT($A158,2))&lt;=6,1,2)))),TabelaNPS[Curso],$A$22)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F158" s="291">
        <f>IF(OR($K$4="(todos)",$K$4=$A$22),IF($A$22="","",IF($B$4="Mensal",IF(COUNTIFS(TabelaNPS[Período],$A158,TabelaNPS[Curso],$A$22)&gt;0,SUMIFS(TabelaNPS[Promotores (9-10)],TabelaNPS[Período],$A158,TabelaNPS[Curso],$A$22),SUMIFS(TabelaNPS[Promotores (9-10)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Promotores (9-10)],TabelaNPS[Período],(IF($A158="","",IF(ISNUMBER(SEARCH("-SEM",$A158)),$A158,LEFT($A158,4)&amp;"-SEM"&amp;IF(VALUE(RIGHT($A158,2))&lt;=6,1,2)))),TabelaNPS[Curso],$A$22),SUMIFS(TabelaNPS[Promotores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G158" s="291">
        <f>IF(OR($K$4="(todos)",$K$4=$A$22),IF($A$22="","",IF($B$4="Mensal",IF(COUNTIFS(TabelaNPS[Período],$A158,TabelaNPS[Curso],$A$22)&gt;0,SUMIFS(TabelaNPS[Detratores (0-6)],TabelaNPS[Período],$A158,TabelaNPS[Curso],$A$22),SUMIFS(TabelaNPS[Detratores (0-6)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Detratores (0-6)],TabelaNPS[Período],(IF($A158="","",IF(ISNUMBER(SEARCH("-SEM",$A158)),$A158,LEFT($A158,4)&amp;"-SEM"&amp;IF(VALUE(RIGHT($A158,2))&lt;=6,1,2)))),TabelaNPS[Curso],$A$22),SUMIFS(TabelaNPS[Detratores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H158" s="291">
        <f>IF(OR($K$4="(todos)",$K$4=$A$23),IF($A$23="","",IF($B$4="Mensal",IF(COUNTIFS(TabelaNPS[Período],$A158,TabelaNPS[Curso],$A$23)&gt;0,SUMIFS(TabelaNPS[Respondentes],TabelaNPS[Período],$A158,TabelaNPS[Curso],$A$23),SUMIFS(TabelaNPS[Respondentes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Respondentes],TabelaNPS[Período],(IF($A158="","",IF(ISNUMBER(SEARCH("-SEM",$A158)),$A158,LEFT($A158,4)&amp;"-SEM"&amp;IF(VALUE(RIGHT($A158,2))&lt;=6,1,2)))),TabelaNPS[Curso],$A$23)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I158" s="291">
        <f>IF(OR($K$4="(todos)",$K$4=$A$23),IF($A$23="","",IF($B$4="Mensal",IF(COUNTIFS(TabelaNPS[Período],$A158,TabelaNPS[Curso],$A$23)&gt;0,SUMIFS(TabelaNPS[Promotores (9-10)],TabelaNPS[Período],$A158,TabelaNPS[Curso],$A$23),SUMIFS(TabelaNPS[Promotores (9-10)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Promotores (9-10)],TabelaNPS[Período],(IF($A158="","",IF(ISNUMBER(SEARCH("-SEM",$A158)),$A158,LEFT($A158,4)&amp;"-SEM"&amp;IF(VALUE(RIGHT($A158,2))&lt;=6,1,2)))),TabelaNPS[Curso],$A$23),SUMIFS(TabelaNPS[Promotores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J158" s="291">
        <f>IF(OR($K$4="(todos)",$K$4=$A$23),IF($A$23="","",IF($B$4="Mensal",IF(COUNTIFS(TabelaNPS[Período],$A158,TabelaNPS[Curso],$A$23)&gt;0,SUMIFS(TabelaNPS[Detratores (0-6)],TabelaNPS[Período],$A158,TabelaNPS[Curso],$A$23),SUMIFS(TabelaNPS[Detratores (0-6)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Detratores (0-6)],TabelaNPS[Período],(IF($A158="","",IF(ISNUMBER(SEARCH("-SEM",$A158)),$A158,LEFT($A158,4)&amp;"-SEM"&amp;IF(VALUE(RIGHT($A158,2))&lt;=6,1,2)))),TabelaNPS[Curso],$A$23),SUMIFS(TabelaNPS[Detratores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K158" s="291">
        <f>IF(OR($K$4="(todos)",$K$4=$A$24),IF($A$24="","",IF($B$4="Mensal",IF(COUNTIFS(TabelaNPS[Período],$A158,TabelaNPS[Curso],$A$24)&gt;0,SUMIFS(TabelaNPS[Respondentes],TabelaNPS[Período],$A158,TabelaNPS[Curso],$A$24),SUMIFS(TabelaNPS[Respondentes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Respondentes],TabelaNPS[Período],(IF($A158="","",IF(ISNUMBER(SEARCH("-SEM",$A158)),$A158,LEFT($A158,4)&amp;"-SEM"&amp;IF(VALUE(RIGHT($A158,2))&lt;=6,1,2)))),TabelaNPS[Curso],$A$24)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  <c r="AL158" s="291">
        <f>IF(OR($K$4="(todos)",$K$4=$A$24),IF($A$24="","",IF($B$4="Mensal",IF(COUNTIFS(TabelaNPS[Período],$A158,TabelaNPS[Curso],$A$24)&gt;0,SUMIFS(TabelaNPS[Promotores (9-10)],TabelaNPS[Período],$A158,TabelaNPS[Curso],$A$24),SUMIFS(TabelaNPS[Promotores (9-10)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Promotores (9-10)],TabelaNPS[Período],(IF($A158="","",IF(ISNUMBER(SEARCH("-SEM",$A158)),$A158,LEFT($A158,4)&amp;"-SEM"&amp;IF(VALUE(RIGHT($A158,2))&lt;=6,1,2)))),TabelaNPS[Curso],$A$24),SUMIFS(TabelaNPS[Promotores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  <c r="AM158" s="291">
        <f>IF(OR($K$4="(todos)",$K$4=$A$24),IF($A$24="","",IF($B$4="Mensal",IF(COUNTIFS(TabelaNPS[Período],$A158,TabelaNPS[Curso],$A$24)&gt;0,SUMIFS(TabelaNPS[Detratores (0-6)],TabelaNPS[Período],$A158,TabelaNPS[Curso],$A$24),SUMIFS(TabelaNPS[Detratores (0-6)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Detratores (0-6)],TabelaNPS[Período],(IF($A158="","",IF(ISNUMBER(SEARCH("-SEM",$A158)),$A158,LEFT($A158,4)&amp;"-SEM"&amp;IF(VALUE(RIGHT($A158,2))&lt;=6,1,2)))),TabelaNPS[Curso],$A$24),SUMIFS(TabelaNPS[Detratores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  <c r="AN158" s="291">
        <f>IF(OR($K$4="(todos)",$K$4=$A$25),IF($A$25="","",IF($B$4="Mensal",IF(COUNTIFS(TabelaNPS[Período],$A158,TabelaNPS[Curso],$A$25)&gt;0,SUMIFS(TabelaNPS[Respondentes],TabelaNPS[Período],$A158,TabelaNPS[Curso],$A$25),SUMIFS(TabelaNPS[Respondentes],TabelaNPS[Período],(IF($A158="","",IF(ISNUMBER(SEARCH("-SEM",$A158)),$A158,LEFT($A158,4)&amp;"-SEM"&amp;IF(VALUE(RIGHT($A158,2))&lt;=6,1,2)))),TabelaNPS[Curso],$A$25)),IF(COUNTIFS(TabelaNPS[Período],(IF($A158="","",IF(ISNUMBER(SEARCH("-SEM",$A158)),$A158,LEFT($A158,4)&amp;"-SEM"&amp;IF(VALUE(RIGHT($A158,2))&lt;=6,1,2)))),TabelaNPS[Curso],$A$25)&gt;0,SUMIFS(TabelaNPS[Respondentes],TabelaNPS[Período],(IF($A158="","",IF(ISNUMBER(SEARCH("-SEM",$A158)),$A158,LEFT($A158,4)&amp;"-SEM"&amp;IF(VALUE(RIGHT($A158,2))&lt;=6,1,2)))),TabelaNPS[Curso],$A$25)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$25)))),0)</f>
        <v/>
      </c>
      <c r="AO158" s="291">
        <f>IF(OR($K$4="(todos)",$K$4=$A$25),IF($A$25="","",IF($B$4="Mensal",IF(COUNTIFS(TabelaNPS[Período],$A158,TabelaNPS[Curso],$A$25)&gt;0,SUMIFS(TabelaNPS[Promotores (9-10)],TabelaNPS[Período],$A158,TabelaNPS[Curso],$A$25),SUMIFS(TabelaNPS[Promotores (9-10)],TabelaNPS[Período],(IF($A158="","",IF(ISNUMBER(SEARCH("-SEM",$A158)),$A158,LEFT($A158,4)&amp;"-SEM"&amp;IF(VALUE(RIGHT($A158,2))&lt;=6,1,2)))),TabelaNPS[Curso],$A$25)),IF(COUNTIFS(TabelaNPS[Período],(IF($A158="","",IF(ISNUMBER(SEARCH("-SEM",$A158)),$A158,LEFT($A158,4)&amp;"-SEM"&amp;IF(VALUE(RIGHT($A158,2))&lt;=6,1,2)))),TabelaNPS[Curso],$A$25)&gt;0,SUMIFS(TabelaNPS[Promotores (9-10)],TabelaNPS[Período],(IF($A158="","",IF(ISNUMBER(SEARCH("-SEM",$A158)),$A158,LEFT($A158,4)&amp;"-SEM"&amp;IF(VALUE(RIGHT($A158,2))&lt;=6,1,2)))),TabelaNPS[Curso],$A$25),SUMIFS(TabelaNPS[Promotores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$25)))),0)</f>
        <v/>
      </c>
      <c r="AP158" s="291">
        <f>IF(OR($K$4="(todos)",$K$4=$A$25),IF($A$25="","",IF($B$4="Mensal",IF(COUNTIFS(TabelaNPS[Período],$A158,TabelaNPS[Curso],$A$25)&gt;0,SUMIFS(TabelaNPS[Detratores (0-6)],TabelaNPS[Período],$A158,TabelaNPS[Curso],$A$25),SUMIFS(TabelaNPS[Detratores (0-6)],TabelaNPS[Período],(IF($A158="","",IF(ISNUMBER(SEARCH("-SEM",$A158)),$A158,LEFT($A158,4)&amp;"-SEM"&amp;IF(VALUE(RIGHT($A158,2))&lt;=6,1,2)))),TabelaNPS[Curso],$A$25)),IF(COUNTIFS(TabelaNPS[Período],(IF($A158="","",IF(ISNUMBER(SEARCH("-SEM",$A158)),$A158,LEFT($A158,4)&amp;"-SEM"&amp;IF(VALUE(RIGHT($A158,2))&lt;=6,1,2)))),TabelaNPS[Curso],$A$25)&gt;0,SUMIFS(TabelaNPS[Detratores (0-6)],TabelaNPS[Período],(IF($A158="","",IF(ISNUMBER(SEARCH("-SEM",$A158)),$A158,LEFT($A158,4)&amp;"-SEM"&amp;IF(VALUE(RIGHT($A158,2))&lt;=6,1,2)))),TabelaNPS[Curso],$A$25),SUMIFS(TabelaNPS[Detratores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$25)))),0)</f>
        <v/>
      </c>
    </row>
    <row r="159">
      <c r="A159" s="343">
        <f>IF(A158="","",IF($B$4="Mensal",IF(MATCH(A158,LST_MESES,0)&gt;=MATCH(PARAMETROS!$E$9,LST_MESES,0),"",INDEX(LST_MESES,MATCH(A158,LST_MESES,0)+1)),IF(MATCH(A158,LST_SEMESTRES,0)&gt;=MATCH(PARAMETROS!$E$9,LST_SEMESTRES,0),"",INDEX(LST_SEMESTRES,MATCH(A158,LST_SEMESTRES,0)+1))))</f>
        <v/>
      </c>
      <c r="B159" s="353">
        <f>IF($A159="","",IFERROR((SUM(Q159,T159,W159,Z159,AC159,AF159,AI159,AL159,AO159)-SUM(R159,U159,X159,AA159,AD159,AG159,AJ159,AM159,AP159))/SUM(P159,S159,V159,Y159,AB159,AE159,AH159,AK159,AN159)*100,""))</f>
        <v/>
      </c>
      <c r="C159" s="351">
        <f>IFERROR(SUMPRODUCT(--(TabelaAvaliacaoDocente[Período]=(IF($A159="","",IF(ISNUMBER(SEARCH("-SEM",$A159)),$A159,LEFT($A159,4)&amp;"-SEM"&amp;IF(VALUE(RIGHT($A159,2)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159="","",IF(ISNUMBER(SEARCH("-SEM",$A159)),$A159,LEFT($A159,4)&amp;"-SEM"&amp;IF(VALUE(RIGHT($A159,2))&lt;=6,1,2))))),--((($K$4="(todos)")+(TabelaAvaliacaoDocente[Curso]=$K$4))&gt;0),--((($N$4="(todas)")+(TabelaAvaliacaoDocente[Disciplina]=$N$4))&gt;0),TabelaAvaliacaoDocente[Respondentes]),"")</f>
        <v/>
      </c>
      <c r="D159" s="354">
        <f>IF($A159="","",IFERROR((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/((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+(SUMIFS(TabelaResultadosAcademicos[Re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)*100,""))</f>
        <v/>
      </c>
      <c r="E159" s="351">
        <f>IFERROR((SUMIFS(TabelaResultadosAcademicos[Soma das nota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/(SUMIFS(TabelaResultadosAcademicos[Quantidade de nota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,"")</f>
        <v/>
      </c>
      <c r="F159" s="347">
        <f>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G159" s="347">
        <f>SUMIFS(TabelaResultadosAcademicos[Reprovados por nota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H159" s="347">
        <f>SUMIFS(TabelaResultadosAcademicos[Reprovados por falta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I159" s="353">
        <f>IF($A159="","",IFERROR(IF((SUMPRODUCT(MAX((METAS!$A$5:$A$404="DTNH-01")*(METAS!$B$5:$B$404=IF($K$4="(todos)","TOTAL",$K$4))*(METAS!$D$5:$D$404&lt;=(IF($A159="",0,IF(ISNUMBER(SEARCH("-SEM",$A159)),VALUE(LEFT($A159,4)&amp;IF(RIGHT($A159,1)="1","01","07")),VALUE(SUBSTITUTE($A159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159="",0,IF(ISNUMBER(SEARCH("-SEM",$A159)),VALUE(LEFT($A159,4)&amp;IF(RIGHT($A159,1)="1","01","07")),VALUE(SUBSTITUTE($A159,"-",""))))))*METAS!$D$5:$D$404))))*METAS!$E$5:$E$404),IF((SUMPRODUCT(MAX((METAS!$A$5:$A$404="DTNH-01")*(METAS!$B$5:$B$404="TOTAL")*(METAS!$D$5:$D$404&lt;=(IF($A159="",0,IF(ISNUMBER(SEARCH("-SEM",$A159)),VALUE(LEFT($A159,4)&amp;IF(RIGHT($A159,1)="1","01","07")),VALUE(SUBSTITUTE($A159,"-",""))))))*METAS!$D$5:$D$404)))&gt;0,SUMPRODUCT((METAS!$A$5:$A$404="DTNH-01")*(METAS!$B$5:$B$404="TOTAL")*(METAS!$D$5:$D$404=(SUMPRODUCT(MAX((METAS!$A$5:$A$404="DTNH-01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J159" s="351">
        <f>IF($A159="","",IFERROR(IF((SUMPRODUCT(MAX((METAS!$A$5:$A$404="DTNH-02")*(METAS!$B$5:$B$404=$N$6)*(METAS!$D$5:$D$404&lt;=(IF($A159="",0,IF(ISNUMBER(SEARCH("-SEM",$A159)),VALUE(LEFT($A159,4)&amp;IF(RIGHT($A159,1)="1","01","07")),VALUE(SUBSTITUTE($A159,"-",""))))))*METAS!$D$5:$D$404)))&gt;0,SUMPRODUCT((METAS!$A$5:$A$404="DTNH-02")*(METAS!$B$5:$B$404=$N$6)*(METAS!$D$5:$D$404=(SUMPRODUCT(MAX((METAS!$A$5:$A$404="DTNH-02")*(METAS!$B$5:$B$404=$N$6)*(METAS!$D$5:$D$404&lt;=(IF($A159="",0,IF(ISNUMBER(SEARCH("-SEM",$A159)),VALUE(LEFT($A159,4)&amp;IF(RIGHT($A159,1)="1","01","07")),VALUE(SUBSTITUTE($A159,"-",""))))))*METAS!$D$5:$D$404))))*METAS!$E$5:$E$404),IF((SUMPRODUCT(MAX((METAS!$A$5:$A$404="DTNH-02")*(METAS!$B$5:$B$404="TOTAL")*(METAS!$D$5:$D$404&lt;=(IF($A159="",0,IF(ISNUMBER(SEARCH("-SEM",$A159)),VALUE(LEFT($A159,4)&amp;IF(RIGHT($A159,1)="1","01","07")),VALUE(SUBSTITUTE($A159,"-",""))))))*METAS!$D$5:$D$404)))&gt;0,SUMPRODUCT((METAS!$A$5:$A$404="DTNH-02")*(METAS!$B$5:$B$404="TOTAL")*(METAS!$D$5:$D$404=(SUMPRODUCT(MAX((METAS!$A$5:$A$404="DTNH-02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K159" s="354">
        <f>IF($A159="","",IFERROR(IF((SUMPRODUCT(MAX((METAS!$A$5:$A$404="DTNH-03")*(METAS!$B$5:$B$404=$N$6)*(METAS!$D$5:$D$404&lt;=(IF($A159="",0,IF(ISNUMBER(SEARCH("-SEM",$A159)),VALUE(LEFT($A159,4)&amp;IF(RIGHT($A159,1)="1","01","07")),VALUE(SUBSTITUTE($A159,"-",""))))))*METAS!$D$5:$D$404)))&gt;0,SUMPRODUCT((METAS!$A$5:$A$404="DTNH-03")*(METAS!$B$5:$B$404=$N$6)*(METAS!$D$5:$D$404=(SUMPRODUCT(MAX((METAS!$A$5:$A$404="DTNH-03")*(METAS!$B$5:$B$404=$N$6)*(METAS!$D$5:$D$404&lt;=(IF($A159="",0,IF(ISNUMBER(SEARCH("-SEM",$A159)),VALUE(LEFT($A159,4)&amp;IF(RIGHT($A159,1)="1","01","07")),VALUE(SUBSTITUTE($A159,"-",""))))))*METAS!$D$5:$D$404))))*METAS!$E$5:$E$404),IF((SUMPRODUCT(MAX((METAS!$A$5:$A$404="DTNH-03")*(METAS!$B$5:$B$404="TOTAL")*(METAS!$D$5:$D$404&lt;=(IF($A159="",0,IF(ISNUMBER(SEARCH("-SEM",$A159)),VALUE(LEFT($A159,4)&amp;IF(RIGHT($A159,1)="1","01","07")),VALUE(SUBSTITUTE($A159,"-",""))))))*METAS!$D$5:$D$404)))&gt;0,SUMPRODUCT((METAS!$A$5:$A$404="DTNH-03")*(METAS!$B$5:$B$404="TOTAL")*(METAS!$D$5:$D$404=(SUMPRODUCT(MAX((METAS!$A$5:$A$404="DTNH-03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P159" s="291">
        <f>IF(OR($K$4="(todos)",$K$4=$A$17),IF($A$17="","",IF($B$4="Mensal",IF(COUNTIFS(TabelaNPS[Período],$A159,TabelaNPS[Curso],$A$17)&gt;0,SUMIFS(TabelaNPS[Respondentes],TabelaNPS[Período],$A159,TabelaNPS[Curso],$A$17),SUMIFS(TabelaNPS[Respondentes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Respondentes],TabelaNPS[Período],(IF($A159="","",IF(ISNUMBER(SEARCH("-SEM",$A159)),$A159,LEFT($A159,4)&amp;"-SEM"&amp;IF(VALUE(RIGHT($A159,2))&lt;=6,1,2)))),TabelaNPS[Curso],$A$17)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Q159" s="291">
        <f>IF(OR($K$4="(todos)",$K$4=$A$17),IF($A$17="","",IF($B$4="Mensal",IF(COUNTIFS(TabelaNPS[Período],$A159,TabelaNPS[Curso],$A$17)&gt;0,SUMIFS(TabelaNPS[Promotores (9-10)],TabelaNPS[Período],$A159,TabelaNPS[Curso],$A$17),SUMIFS(TabelaNPS[Promotores (9-10)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Promotores (9-10)],TabelaNPS[Período],(IF($A159="","",IF(ISNUMBER(SEARCH("-SEM",$A159)),$A159,LEFT($A159,4)&amp;"-SEM"&amp;IF(VALUE(RIGHT($A159,2))&lt;=6,1,2)))),TabelaNPS[Curso],$A$17),SUMIFS(TabelaNPS[Promotores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R159" s="291">
        <f>IF(OR($K$4="(todos)",$K$4=$A$17),IF($A$17="","",IF($B$4="Mensal",IF(COUNTIFS(TabelaNPS[Período],$A159,TabelaNPS[Curso],$A$17)&gt;0,SUMIFS(TabelaNPS[Detratores (0-6)],TabelaNPS[Período],$A159,TabelaNPS[Curso],$A$17),SUMIFS(TabelaNPS[Detratores (0-6)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Detratores (0-6)],TabelaNPS[Período],(IF($A159="","",IF(ISNUMBER(SEARCH("-SEM",$A159)),$A159,LEFT($A159,4)&amp;"-SEM"&amp;IF(VALUE(RIGHT($A159,2))&lt;=6,1,2)))),TabelaNPS[Curso],$A$17),SUMIFS(TabelaNPS[Detratores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S159" s="291">
        <f>IF(OR($K$4="(todos)",$K$4=$A$18),IF($A$18="","",IF($B$4="Mensal",IF(COUNTIFS(TabelaNPS[Período],$A159,TabelaNPS[Curso],$A$18)&gt;0,SUMIFS(TabelaNPS[Respondentes],TabelaNPS[Período],$A159,TabelaNPS[Curso],$A$18),SUMIFS(TabelaNPS[Respondentes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Respondentes],TabelaNPS[Período],(IF($A159="","",IF(ISNUMBER(SEARCH("-SEM",$A159)),$A159,LEFT($A159,4)&amp;"-SEM"&amp;IF(VALUE(RIGHT($A159,2))&lt;=6,1,2)))),TabelaNPS[Curso],$A$18)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T159" s="291">
        <f>IF(OR($K$4="(todos)",$K$4=$A$18),IF($A$18="","",IF($B$4="Mensal",IF(COUNTIFS(TabelaNPS[Período],$A159,TabelaNPS[Curso],$A$18)&gt;0,SUMIFS(TabelaNPS[Promotores (9-10)],TabelaNPS[Período],$A159,TabelaNPS[Curso],$A$18),SUMIFS(TabelaNPS[Promotores (9-10)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Promotores (9-10)],TabelaNPS[Período],(IF($A159="","",IF(ISNUMBER(SEARCH("-SEM",$A159)),$A159,LEFT($A159,4)&amp;"-SEM"&amp;IF(VALUE(RIGHT($A159,2))&lt;=6,1,2)))),TabelaNPS[Curso],$A$18),SUMIFS(TabelaNPS[Promotores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U159" s="291">
        <f>IF(OR($K$4="(todos)",$K$4=$A$18),IF($A$18="","",IF($B$4="Mensal",IF(COUNTIFS(TabelaNPS[Período],$A159,TabelaNPS[Curso],$A$18)&gt;0,SUMIFS(TabelaNPS[Detratores (0-6)],TabelaNPS[Período],$A159,TabelaNPS[Curso],$A$18),SUMIFS(TabelaNPS[Detratores (0-6)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Detratores (0-6)],TabelaNPS[Período],(IF($A159="","",IF(ISNUMBER(SEARCH("-SEM",$A159)),$A159,LEFT($A159,4)&amp;"-SEM"&amp;IF(VALUE(RIGHT($A159,2))&lt;=6,1,2)))),TabelaNPS[Curso],$A$18),SUMIFS(TabelaNPS[Detratores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V159" s="291">
        <f>IF(OR($K$4="(todos)",$K$4=$A$19),IF($A$19="","",IF($B$4="Mensal",IF(COUNTIFS(TabelaNPS[Período],$A159,TabelaNPS[Curso],$A$19)&gt;0,SUMIFS(TabelaNPS[Respondentes],TabelaNPS[Período],$A159,TabelaNPS[Curso],$A$19),SUMIFS(TabelaNPS[Respondentes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Respondentes],TabelaNPS[Período],(IF($A159="","",IF(ISNUMBER(SEARCH("-SEM",$A159)),$A159,LEFT($A159,4)&amp;"-SEM"&amp;IF(VALUE(RIGHT($A159,2))&lt;=6,1,2)))),TabelaNPS[Curso],$A$19)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W159" s="291">
        <f>IF(OR($K$4="(todos)",$K$4=$A$19),IF($A$19="","",IF($B$4="Mensal",IF(COUNTIFS(TabelaNPS[Período],$A159,TabelaNPS[Curso],$A$19)&gt;0,SUMIFS(TabelaNPS[Promotores (9-10)],TabelaNPS[Período],$A159,TabelaNPS[Curso],$A$19),SUMIFS(TabelaNPS[Promotores (9-10)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Promotores (9-10)],TabelaNPS[Período],(IF($A159="","",IF(ISNUMBER(SEARCH("-SEM",$A159)),$A159,LEFT($A159,4)&amp;"-SEM"&amp;IF(VALUE(RIGHT($A159,2))&lt;=6,1,2)))),TabelaNPS[Curso],$A$19),SUMIFS(TabelaNPS[Promotores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X159" s="291">
        <f>IF(OR($K$4="(todos)",$K$4=$A$19),IF($A$19="","",IF($B$4="Mensal",IF(COUNTIFS(TabelaNPS[Período],$A159,TabelaNPS[Curso],$A$19)&gt;0,SUMIFS(TabelaNPS[Detratores (0-6)],TabelaNPS[Período],$A159,TabelaNPS[Curso],$A$19),SUMIFS(TabelaNPS[Detratores (0-6)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Detratores (0-6)],TabelaNPS[Período],(IF($A159="","",IF(ISNUMBER(SEARCH("-SEM",$A159)),$A159,LEFT($A159,4)&amp;"-SEM"&amp;IF(VALUE(RIGHT($A159,2))&lt;=6,1,2)))),TabelaNPS[Curso],$A$19),SUMIFS(TabelaNPS[Detratores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Y159" s="291">
        <f>IF(OR($K$4="(todos)",$K$4=$A$20),IF($A$20="","",IF($B$4="Mensal",IF(COUNTIFS(TabelaNPS[Período],$A159,TabelaNPS[Curso],$A$20)&gt;0,SUMIFS(TabelaNPS[Respondentes],TabelaNPS[Período],$A159,TabelaNPS[Curso],$A$20),SUMIFS(TabelaNPS[Respondentes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Respondentes],TabelaNPS[Período],(IF($A159="","",IF(ISNUMBER(SEARCH("-SEM",$A159)),$A159,LEFT($A159,4)&amp;"-SEM"&amp;IF(VALUE(RIGHT($A159,2))&lt;=6,1,2)))),TabelaNPS[Curso],$A$20)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Z159" s="291">
        <f>IF(OR($K$4="(todos)",$K$4=$A$20),IF($A$20="","",IF($B$4="Mensal",IF(COUNTIFS(TabelaNPS[Período],$A159,TabelaNPS[Curso],$A$20)&gt;0,SUMIFS(TabelaNPS[Promotores (9-10)],TabelaNPS[Período],$A159,TabelaNPS[Curso],$A$20),SUMIFS(TabelaNPS[Promotores (9-10)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Promotores (9-10)],TabelaNPS[Período],(IF($A159="","",IF(ISNUMBER(SEARCH("-SEM",$A159)),$A159,LEFT($A159,4)&amp;"-SEM"&amp;IF(VALUE(RIGHT($A159,2))&lt;=6,1,2)))),TabelaNPS[Curso],$A$20),SUMIFS(TabelaNPS[Promotores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AA159" s="291">
        <f>IF(OR($K$4="(todos)",$K$4=$A$20),IF($A$20="","",IF($B$4="Mensal",IF(COUNTIFS(TabelaNPS[Período],$A159,TabelaNPS[Curso],$A$20)&gt;0,SUMIFS(TabelaNPS[Detratores (0-6)],TabelaNPS[Período],$A159,TabelaNPS[Curso],$A$20),SUMIFS(TabelaNPS[Detratores (0-6)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Detratores (0-6)],TabelaNPS[Período],(IF($A159="","",IF(ISNUMBER(SEARCH("-SEM",$A159)),$A159,LEFT($A159,4)&amp;"-SEM"&amp;IF(VALUE(RIGHT($A159,2))&lt;=6,1,2)))),TabelaNPS[Curso],$A$20),SUMIFS(TabelaNPS[Detratores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AB159" s="291">
        <f>IF(OR($K$4="(todos)",$K$4=$A$21),IF($A$21="","",IF($B$4="Mensal",IF(COUNTIFS(TabelaNPS[Período],$A159,TabelaNPS[Curso],$A$21)&gt;0,SUMIFS(TabelaNPS[Respondentes],TabelaNPS[Período],$A159,TabelaNPS[Curso],$A$21),SUMIFS(TabelaNPS[Respondentes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Respondentes],TabelaNPS[Período],(IF($A159="","",IF(ISNUMBER(SEARCH("-SEM",$A159)),$A159,LEFT($A159,4)&amp;"-SEM"&amp;IF(VALUE(RIGHT($A159,2))&lt;=6,1,2)))),TabelaNPS[Curso],$A$21)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C159" s="291">
        <f>IF(OR($K$4="(todos)",$K$4=$A$21),IF($A$21="","",IF($B$4="Mensal",IF(COUNTIFS(TabelaNPS[Período],$A159,TabelaNPS[Curso],$A$21)&gt;0,SUMIFS(TabelaNPS[Promotores (9-10)],TabelaNPS[Período],$A159,TabelaNPS[Curso],$A$21),SUMIFS(TabelaNPS[Promotores (9-10)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Promotores (9-10)],TabelaNPS[Período],(IF($A159="","",IF(ISNUMBER(SEARCH("-SEM",$A159)),$A159,LEFT($A159,4)&amp;"-SEM"&amp;IF(VALUE(RIGHT($A159,2))&lt;=6,1,2)))),TabelaNPS[Curso],$A$21),SUMIFS(TabelaNPS[Promotores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D159" s="291">
        <f>IF(OR($K$4="(todos)",$K$4=$A$21),IF($A$21="","",IF($B$4="Mensal",IF(COUNTIFS(TabelaNPS[Período],$A159,TabelaNPS[Curso],$A$21)&gt;0,SUMIFS(TabelaNPS[Detratores (0-6)],TabelaNPS[Período],$A159,TabelaNPS[Curso],$A$21),SUMIFS(TabelaNPS[Detratores (0-6)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Detratores (0-6)],TabelaNPS[Período],(IF($A159="","",IF(ISNUMBER(SEARCH("-SEM",$A159)),$A159,LEFT($A159,4)&amp;"-SEM"&amp;IF(VALUE(RIGHT($A159,2))&lt;=6,1,2)))),TabelaNPS[Curso],$A$21),SUMIFS(TabelaNPS[Detratores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E159" s="291">
        <f>IF(OR($K$4="(todos)",$K$4=$A$22),IF($A$22="","",IF($B$4="Mensal",IF(COUNTIFS(TabelaNPS[Período],$A159,TabelaNPS[Curso],$A$22)&gt;0,SUMIFS(TabelaNPS[Respondentes],TabelaNPS[Período],$A159,TabelaNPS[Curso],$A$22),SUMIFS(TabelaNPS[Respondentes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Respondentes],TabelaNPS[Período],(IF($A159="","",IF(ISNUMBER(SEARCH("-SEM",$A159)),$A159,LEFT($A159,4)&amp;"-SEM"&amp;IF(VALUE(RIGHT($A159,2))&lt;=6,1,2)))),TabelaNPS[Curso],$A$22)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F159" s="291">
        <f>IF(OR($K$4="(todos)",$K$4=$A$22),IF($A$22="","",IF($B$4="Mensal",IF(COUNTIFS(TabelaNPS[Período],$A159,TabelaNPS[Curso],$A$22)&gt;0,SUMIFS(TabelaNPS[Promotores (9-10)],TabelaNPS[Período],$A159,TabelaNPS[Curso],$A$22),SUMIFS(TabelaNPS[Promotores (9-10)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Promotores (9-10)],TabelaNPS[Período],(IF($A159="","",IF(ISNUMBER(SEARCH("-SEM",$A159)),$A159,LEFT($A159,4)&amp;"-SEM"&amp;IF(VALUE(RIGHT($A159,2))&lt;=6,1,2)))),TabelaNPS[Curso],$A$22),SUMIFS(TabelaNPS[Promotores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G159" s="291">
        <f>IF(OR($K$4="(todos)",$K$4=$A$22),IF($A$22="","",IF($B$4="Mensal",IF(COUNTIFS(TabelaNPS[Período],$A159,TabelaNPS[Curso],$A$22)&gt;0,SUMIFS(TabelaNPS[Detratores (0-6)],TabelaNPS[Período],$A159,TabelaNPS[Curso],$A$22),SUMIFS(TabelaNPS[Detratores (0-6)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Detratores (0-6)],TabelaNPS[Período],(IF($A159="","",IF(ISNUMBER(SEARCH("-SEM",$A159)),$A159,LEFT($A159,4)&amp;"-SEM"&amp;IF(VALUE(RIGHT($A159,2))&lt;=6,1,2)))),TabelaNPS[Curso],$A$22),SUMIFS(TabelaNPS[Detratores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H159" s="291">
        <f>IF(OR($K$4="(todos)",$K$4=$A$23),IF($A$23="","",IF($B$4="Mensal",IF(COUNTIFS(TabelaNPS[Período],$A159,TabelaNPS[Curso],$A$23)&gt;0,SUMIFS(TabelaNPS[Respondentes],TabelaNPS[Período],$A159,TabelaNPS[Curso],$A$23),SUMIFS(TabelaNPS[Respondentes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Respondentes],TabelaNPS[Período],(IF($A159="","",IF(ISNUMBER(SEARCH("-SEM",$A159)),$A159,LEFT($A159,4)&amp;"-SEM"&amp;IF(VALUE(RIGHT($A159,2))&lt;=6,1,2)))),TabelaNPS[Curso],$A$23)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I159" s="291">
        <f>IF(OR($K$4="(todos)",$K$4=$A$23),IF($A$23="","",IF($B$4="Mensal",IF(COUNTIFS(TabelaNPS[Período],$A159,TabelaNPS[Curso],$A$23)&gt;0,SUMIFS(TabelaNPS[Promotores (9-10)],TabelaNPS[Período],$A159,TabelaNPS[Curso],$A$23),SUMIFS(TabelaNPS[Promotores (9-10)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Promotores (9-10)],TabelaNPS[Período],(IF($A159="","",IF(ISNUMBER(SEARCH("-SEM",$A159)),$A159,LEFT($A159,4)&amp;"-SEM"&amp;IF(VALUE(RIGHT($A159,2))&lt;=6,1,2)))),TabelaNPS[Curso],$A$23),SUMIFS(TabelaNPS[Promotores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J159" s="291">
        <f>IF(OR($K$4="(todos)",$K$4=$A$23),IF($A$23="","",IF($B$4="Mensal",IF(COUNTIFS(TabelaNPS[Período],$A159,TabelaNPS[Curso],$A$23)&gt;0,SUMIFS(TabelaNPS[Detratores (0-6)],TabelaNPS[Período],$A159,TabelaNPS[Curso],$A$23),SUMIFS(TabelaNPS[Detratores (0-6)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Detratores (0-6)],TabelaNPS[Período],(IF($A159="","",IF(ISNUMBER(SEARCH("-SEM",$A159)),$A159,LEFT($A159,4)&amp;"-SEM"&amp;IF(VALUE(RIGHT($A159,2))&lt;=6,1,2)))),TabelaNPS[Curso],$A$23),SUMIFS(TabelaNPS[Detratores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K159" s="291">
        <f>IF(OR($K$4="(todos)",$K$4=$A$24),IF($A$24="","",IF($B$4="Mensal",IF(COUNTIFS(TabelaNPS[Período],$A159,TabelaNPS[Curso],$A$24)&gt;0,SUMIFS(TabelaNPS[Respondentes],TabelaNPS[Período],$A159,TabelaNPS[Curso],$A$24),SUMIFS(TabelaNPS[Respondentes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Respondentes],TabelaNPS[Período],(IF($A159="","",IF(ISNUMBER(SEARCH("-SEM",$A159)),$A159,LEFT($A159,4)&amp;"-SEM"&amp;IF(VALUE(RIGHT($A159,2))&lt;=6,1,2)))),TabelaNPS[Curso],$A$24)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  <c r="AL159" s="291">
        <f>IF(OR($K$4="(todos)",$K$4=$A$24),IF($A$24="","",IF($B$4="Mensal",IF(COUNTIFS(TabelaNPS[Período],$A159,TabelaNPS[Curso],$A$24)&gt;0,SUMIFS(TabelaNPS[Promotores (9-10)],TabelaNPS[Período],$A159,TabelaNPS[Curso],$A$24),SUMIFS(TabelaNPS[Promotores (9-10)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Promotores (9-10)],TabelaNPS[Período],(IF($A159="","",IF(ISNUMBER(SEARCH("-SEM",$A159)),$A159,LEFT($A159,4)&amp;"-SEM"&amp;IF(VALUE(RIGHT($A159,2))&lt;=6,1,2)))),TabelaNPS[Curso],$A$24),SUMIFS(TabelaNPS[Promotores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  <c r="AM159" s="291">
        <f>IF(OR($K$4="(todos)",$K$4=$A$24),IF($A$24="","",IF($B$4="Mensal",IF(COUNTIFS(TabelaNPS[Período],$A159,TabelaNPS[Curso],$A$24)&gt;0,SUMIFS(TabelaNPS[Detratores (0-6)],TabelaNPS[Período],$A159,TabelaNPS[Curso],$A$24),SUMIFS(TabelaNPS[Detratores (0-6)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Detratores (0-6)],TabelaNPS[Período],(IF($A159="","",IF(ISNUMBER(SEARCH("-SEM",$A159)),$A159,LEFT($A159,4)&amp;"-SEM"&amp;IF(VALUE(RIGHT($A159,2))&lt;=6,1,2)))),TabelaNPS[Curso],$A$24),SUMIFS(TabelaNPS[Detratores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  <c r="AN159" s="291">
        <f>IF(OR($K$4="(todos)",$K$4=$A$25),IF($A$25="","",IF($B$4="Mensal",IF(COUNTIFS(TabelaNPS[Período],$A159,TabelaNPS[Curso],$A$25)&gt;0,SUMIFS(TabelaNPS[Respondentes],TabelaNPS[Período],$A159,TabelaNPS[Curso],$A$25),SUMIFS(TabelaNPS[Respondentes],TabelaNPS[Período],(IF($A159="","",IF(ISNUMBER(SEARCH("-SEM",$A159)),$A159,LEFT($A159,4)&amp;"-SEM"&amp;IF(VALUE(RIGHT($A159,2))&lt;=6,1,2)))),TabelaNPS[Curso],$A$25)),IF(COUNTIFS(TabelaNPS[Período],(IF($A159="","",IF(ISNUMBER(SEARCH("-SEM",$A159)),$A159,LEFT($A159,4)&amp;"-SEM"&amp;IF(VALUE(RIGHT($A159,2))&lt;=6,1,2)))),TabelaNPS[Curso],$A$25)&gt;0,SUMIFS(TabelaNPS[Respondentes],TabelaNPS[Período],(IF($A159="","",IF(ISNUMBER(SEARCH("-SEM",$A159)),$A159,LEFT($A159,4)&amp;"-SEM"&amp;IF(VALUE(RIGHT($A159,2))&lt;=6,1,2)))),TabelaNPS[Curso],$A$25)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$25)))),0)</f>
        <v/>
      </c>
      <c r="AO159" s="291">
        <f>IF(OR($K$4="(todos)",$K$4=$A$25),IF($A$25="","",IF($B$4="Mensal",IF(COUNTIFS(TabelaNPS[Período],$A159,TabelaNPS[Curso],$A$25)&gt;0,SUMIFS(TabelaNPS[Promotores (9-10)],TabelaNPS[Período],$A159,TabelaNPS[Curso],$A$25),SUMIFS(TabelaNPS[Promotores (9-10)],TabelaNPS[Período],(IF($A159="","",IF(ISNUMBER(SEARCH("-SEM",$A159)),$A159,LEFT($A159,4)&amp;"-SEM"&amp;IF(VALUE(RIGHT($A159,2))&lt;=6,1,2)))),TabelaNPS[Curso],$A$25)),IF(COUNTIFS(TabelaNPS[Período],(IF($A159="","",IF(ISNUMBER(SEARCH("-SEM",$A159)),$A159,LEFT($A159,4)&amp;"-SEM"&amp;IF(VALUE(RIGHT($A159,2))&lt;=6,1,2)))),TabelaNPS[Curso],$A$25)&gt;0,SUMIFS(TabelaNPS[Promotores (9-10)],TabelaNPS[Período],(IF($A159="","",IF(ISNUMBER(SEARCH("-SEM",$A159)),$A159,LEFT($A159,4)&amp;"-SEM"&amp;IF(VALUE(RIGHT($A159,2))&lt;=6,1,2)))),TabelaNPS[Curso],$A$25),SUMIFS(TabelaNPS[Promotores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$25)))),0)</f>
        <v/>
      </c>
      <c r="AP159" s="291">
        <f>IF(OR($K$4="(todos)",$K$4=$A$25),IF($A$25="","",IF($B$4="Mensal",IF(COUNTIFS(TabelaNPS[Período],$A159,TabelaNPS[Curso],$A$25)&gt;0,SUMIFS(TabelaNPS[Detratores (0-6)],TabelaNPS[Período],$A159,TabelaNPS[Curso],$A$25),SUMIFS(TabelaNPS[Detratores (0-6)],TabelaNPS[Período],(IF($A159="","",IF(ISNUMBER(SEARCH("-SEM",$A159)),$A159,LEFT($A159,4)&amp;"-SEM"&amp;IF(VALUE(RIGHT($A159,2))&lt;=6,1,2)))),TabelaNPS[Curso],$A$25)),IF(COUNTIFS(TabelaNPS[Período],(IF($A159="","",IF(ISNUMBER(SEARCH("-SEM",$A159)),$A159,LEFT($A159,4)&amp;"-SEM"&amp;IF(VALUE(RIGHT($A159,2))&lt;=6,1,2)))),TabelaNPS[Curso],$A$25)&gt;0,SUMIFS(TabelaNPS[Detratores (0-6)],TabelaNPS[Período],(IF($A159="","",IF(ISNUMBER(SEARCH("-SEM",$A159)),$A159,LEFT($A159,4)&amp;"-SEM"&amp;IF(VALUE(RIGHT($A159,2))&lt;=6,1,2)))),TabelaNPS[Curso],$A$25),SUMIFS(TabelaNPS[Detratores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$25)))),0)</f>
        <v/>
      </c>
    </row>
    <row r="160">
      <c r="A160" s="343">
        <f>IF(A159="","",IF($B$4="Mensal",IF(MATCH(A159,LST_MESES,0)&gt;=MATCH(PARAMETROS!$E$9,LST_MESES,0),"",INDEX(LST_MESES,MATCH(A159,LST_MESES,0)+1)),IF(MATCH(A159,LST_SEMESTRES,0)&gt;=MATCH(PARAMETROS!$E$9,LST_SEMESTRES,0),"",INDEX(LST_SEMESTRES,MATCH(A159,LST_SEMESTRES,0)+1))))</f>
        <v/>
      </c>
      <c r="B160" s="353">
        <f>IF($A160="","",IFERROR((SUM(Q160,T160,W160,Z160,AC160,AF160,AI160,AL160,AO160)-SUM(R160,U160,X160,AA160,AD160,AG160,AJ160,AM160,AP160))/SUM(P160,S160,V160,Y160,AB160,AE160,AH160,AK160,AN160)*100,""))</f>
        <v/>
      </c>
      <c r="C160" s="351">
        <f>IFERROR(SUMPRODUCT(--(TabelaAvaliacaoDocente[Período]=(IF($A160="","",IF(ISNUMBER(SEARCH("-SEM",$A160)),$A160,LEFT($A160,4)&amp;"-SEM"&amp;IF(VALUE(RIGHT($A160,2)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160="","",IF(ISNUMBER(SEARCH("-SEM",$A160)),$A160,LEFT($A160,4)&amp;"-SEM"&amp;IF(VALUE(RIGHT($A160,2))&lt;=6,1,2))))),--((($K$4="(todos)")+(TabelaAvaliacaoDocente[Curso]=$K$4))&gt;0),--((($N$4="(todas)")+(TabelaAvaliacaoDocente[Disciplina]=$N$4))&gt;0),TabelaAvaliacaoDocente[Respondentes]),"")</f>
        <v/>
      </c>
      <c r="D160" s="354">
        <f>IF($A160="","",IFERROR((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/((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+(SUMIFS(TabelaResultadosAcademicos[Re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)*100,""))</f>
        <v/>
      </c>
      <c r="E160" s="351">
        <f>IFERROR((SUMIFS(TabelaResultadosAcademicos[Soma das nota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/(SUMIFS(TabelaResultadosAcademicos[Quantidade de nota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,"")</f>
        <v/>
      </c>
      <c r="F160" s="347">
        <f>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G160" s="347">
        <f>SUMIFS(TabelaResultadosAcademicos[Reprovados por nota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H160" s="347">
        <f>SUMIFS(TabelaResultadosAcademicos[Reprovados por falta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I160" s="353">
        <f>IF($A160="","",IFERROR(IF((SUMPRODUCT(MAX((METAS!$A$5:$A$404="DTNH-01")*(METAS!$B$5:$B$404=IF($K$4="(todos)","TOTAL",$K$4))*(METAS!$D$5:$D$404&lt;=(IF($A160="",0,IF(ISNUMBER(SEARCH("-SEM",$A160)),VALUE(LEFT($A160,4)&amp;IF(RIGHT($A160,1)="1","01","07")),VALUE(SUBSTITUTE($A160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160="",0,IF(ISNUMBER(SEARCH("-SEM",$A160)),VALUE(LEFT($A160,4)&amp;IF(RIGHT($A160,1)="1","01","07")),VALUE(SUBSTITUTE($A160,"-",""))))))*METAS!$D$5:$D$404))))*METAS!$E$5:$E$404),IF((SUMPRODUCT(MAX((METAS!$A$5:$A$404="DTNH-01")*(METAS!$B$5:$B$404="TOTAL")*(METAS!$D$5:$D$404&lt;=(IF($A160="",0,IF(ISNUMBER(SEARCH("-SEM",$A160)),VALUE(LEFT($A160,4)&amp;IF(RIGHT($A160,1)="1","01","07")),VALUE(SUBSTITUTE($A160,"-",""))))))*METAS!$D$5:$D$404)))&gt;0,SUMPRODUCT((METAS!$A$5:$A$404="DTNH-01")*(METAS!$B$5:$B$404="TOTAL")*(METAS!$D$5:$D$404=(SUMPRODUCT(MAX((METAS!$A$5:$A$404="DTNH-01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J160" s="351">
        <f>IF($A160="","",IFERROR(IF((SUMPRODUCT(MAX((METAS!$A$5:$A$404="DTNH-02")*(METAS!$B$5:$B$404=$N$6)*(METAS!$D$5:$D$404&lt;=(IF($A160="",0,IF(ISNUMBER(SEARCH("-SEM",$A160)),VALUE(LEFT($A160,4)&amp;IF(RIGHT($A160,1)="1","01","07")),VALUE(SUBSTITUTE($A160,"-",""))))))*METAS!$D$5:$D$404)))&gt;0,SUMPRODUCT((METAS!$A$5:$A$404="DTNH-02")*(METAS!$B$5:$B$404=$N$6)*(METAS!$D$5:$D$404=(SUMPRODUCT(MAX((METAS!$A$5:$A$404="DTNH-02")*(METAS!$B$5:$B$404=$N$6)*(METAS!$D$5:$D$404&lt;=(IF($A160="",0,IF(ISNUMBER(SEARCH("-SEM",$A160)),VALUE(LEFT($A160,4)&amp;IF(RIGHT($A160,1)="1","01","07")),VALUE(SUBSTITUTE($A160,"-",""))))))*METAS!$D$5:$D$404))))*METAS!$E$5:$E$404),IF((SUMPRODUCT(MAX((METAS!$A$5:$A$404="DTNH-02")*(METAS!$B$5:$B$404="TOTAL")*(METAS!$D$5:$D$404&lt;=(IF($A160="",0,IF(ISNUMBER(SEARCH("-SEM",$A160)),VALUE(LEFT($A160,4)&amp;IF(RIGHT($A160,1)="1","01","07")),VALUE(SUBSTITUTE($A160,"-",""))))))*METAS!$D$5:$D$404)))&gt;0,SUMPRODUCT((METAS!$A$5:$A$404="DTNH-02")*(METAS!$B$5:$B$404="TOTAL")*(METAS!$D$5:$D$404=(SUMPRODUCT(MAX((METAS!$A$5:$A$404="DTNH-02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K160" s="354">
        <f>IF($A160="","",IFERROR(IF((SUMPRODUCT(MAX((METAS!$A$5:$A$404="DTNH-03")*(METAS!$B$5:$B$404=$N$6)*(METAS!$D$5:$D$404&lt;=(IF($A160="",0,IF(ISNUMBER(SEARCH("-SEM",$A160)),VALUE(LEFT($A160,4)&amp;IF(RIGHT($A160,1)="1","01","07")),VALUE(SUBSTITUTE($A160,"-",""))))))*METAS!$D$5:$D$404)))&gt;0,SUMPRODUCT((METAS!$A$5:$A$404="DTNH-03")*(METAS!$B$5:$B$404=$N$6)*(METAS!$D$5:$D$404=(SUMPRODUCT(MAX((METAS!$A$5:$A$404="DTNH-03")*(METAS!$B$5:$B$404=$N$6)*(METAS!$D$5:$D$404&lt;=(IF($A160="",0,IF(ISNUMBER(SEARCH("-SEM",$A160)),VALUE(LEFT($A160,4)&amp;IF(RIGHT($A160,1)="1","01","07")),VALUE(SUBSTITUTE($A160,"-",""))))))*METAS!$D$5:$D$404))))*METAS!$E$5:$E$404),IF((SUMPRODUCT(MAX((METAS!$A$5:$A$404="DTNH-03")*(METAS!$B$5:$B$404="TOTAL")*(METAS!$D$5:$D$404&lt;=(IF($A160="",0,IF(ISNUMBER(SEARCH("-SEM",$A160)),VALUE(LEFT($A160,4)&amp;IF(RIGHT($A160,1)="1","01","07")),VALUE(SUBSTITUTE($A160,"-",""))))))*METAS!$D$5:$D$404)))&gt;0,SUMPRODUCT((METAS!$A$5:$A$404="DTNH-03")*(METAS!$B$5:$B$404="TOTAL")*(METAS!$D$5:$D$404=(SUMPRODUCT(MAX((METAS!$A$5:$A$404="DTNH-03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P160" s="291">
        <f>IF(OR($K$4="(todos)",$K$4=$A$17),IF($A$17="","",IF($B$4="Mensal",IF(COUNTIFS(TabelaNPS[Período],$A160,TabelaNPS[Curso],$A$17)&gt;0,SUMIFS(TabelaNPS[Respondentes],TabelaNPS[Período],$A160,TabelaNPS[Curso],$A$17),SUMIFS(TabelaNPS[Respondentes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Respondentes],TabelaNPS[Período],(IF($A160="","",IF(ISNUMBER(SEARCH("-SEM",$A160)),$A160,LEFT($A160,4)&amp;"-SEM"&amp;IF(VALUE(RIGHT($A160,2))&lt;=6,1,2)))),TabelaNPS[Curso],$A$17)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Q160" s="291">
        <f>IF(OR($K$4="(todos)",$K$4=$A$17),IF($A$17="","",IF($B$4="Mensal",IF(COUNTIFS(TabelaNPS[Período],$A160,TabelaNPS[Curso],$A$17)&gt;0,SUMIFS(TabelaNPS[Promotores (9-10)],TabelaNPS[Período],$A160,TabelaNPS[Curso],$A$17),SUMIFS(TabelaNPS[Promotores (9-10)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Promotores (9-10)],TabelaNPS[Período],(IF($A160="","",IF(ISNUMBER(SEARCH("-SEM",$A160)),$A160,LEFT($A160,4)&amp;"-SEM"&amp;IF(VALUE(RIGHT($A160,2))&lt;=6,1,2)))),TabelaNPS[Curso],$A$17),SUMIFS(TabelaNPS[Promotores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R160" s="291">
        <f>IF(OR($K$4="(todos)",$K$4=$A$17),IF($A$17="","",IF($B$4="Mensal",IF(COUNTIFS(TabelaNPS[Período],$A160,TabelaNPS[Curso],$A$17)&gt;0,SUMIFS(TabelaNPS[Detratores (0-6)],TabelaNPS[Período],$A160,TabelaNPS[Curso],$A$17),SUMIFS(TabelaNPS[Detratores (0-6)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Detratores (0-6)],TabelaNPS[Período],(IF($A160="","",IF(ISNUMBER(SEARCH("-SEM",$A160)),$A160,LEFT($A160,4)&amp;"-SEM"&amp;IF(VALUE(RIGHT($A160,2))&lt;=6,1,2)))),TabelaNPS[Curso],$A$17),SUMIFS(TabelaNPS[Detratores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S160" s="291">
        <f>IF(OR($K$4="(todos)",$K$4=$A$18),IF($A$18="","",IF($B$4="Mensal",IF(COUNTIFS(TabelaNPS[Período],$A160,TabelaNPS[Curso],$A$18)&gt;0,SUMIFS(TabelaNPS[Respondentes],TabelaNPS[Período],$A160,TabelaNPS[Curso],$A$18),SUMIFS(TabelaNPS[Respondentes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Respondentes],TabelaNPS[Período],(IF($A160="","",IF(ISNUMBER(SEARCH("-SEM",$A160)),$A160,LEFT($A160,4)&amp;"-SEM"&amp;IF(VALUE(RIGHT($A160,2))&lt;=6,1,2)))),TabelaNPS[Curso],$A$18)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T160" s="291">
        <f>IF(OR($K$4="(todos)",$K$4=$A$18),IF($A$18="","",IF($B$4="Mensal",IF(COUNTIFS(TabelaNPS[Período],$A160,TabelaNPS[Curso],$A$18)&gt;0,SUMIFS(TabelaNPS[Promotores (9-10)],TabelaNPS[Período],$A160,TabelaNPS[Curso],$A$18),SUMIFS(TabelaNPS[Promotores (9-10)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Promotores (9-10)],TabelaNPS[Período],(IF($A160="","",IF(ISNUMBER(SEARCH("-SEM",$A160)),$A160,LEFT($A160,4)&amp;"-SEM"&amp;IF(VALUE(RIGHT($A160,2))&lt;=6,1,2)))),TabelaNPS[Curso],$A$18),SUMIFS(TabelaNPS[Promotores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U160" s="291">
        <f>IF(OR($K$4="(todos)",$K$4=$A$18),IF($A$18="","",IF($B$4="Mensal",IF(COUNTIFS(TabelaNPS[Período],$A160,TabelaNPS[Curso],$A$18)&gt;0,SUMIFS(TabelaNPS[Detratores (0-6)],TabelaNPS[Período],$A160,TabelaNPS[Curso],$A$18),SUMIFS(TabelaNPS[Detratores (0-6)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Detratores (0-6)],TabelaNPS[Período],(IF($A160="","",IF(ISNUMBER(SEARCH("-SEM",$A160)),$A160,LEFT($A160,4)&amp;"-SEM"&amp;IF(VALUE(RIGHT($A160,2))&lt;=6,1,2)))),TabelaNPS[Curso],$A$18),SUMIFS(TabelaNPS[Detratores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V160" s="291">
        <f>IF(OR($K$4="(todos)",$K$4=$A$19),IF($A$19="","",IF($B$4="Mensal",IF(COUNTIFS(TabelaNPS[Período],$A160,TabelaNPS[Curso],$A$19)&gt;0,SUMIFS(TabelaNPS[Respondentes],TabelaNPS[Período],$A160,TabelaNPS[Curso],$A$19),SUMIFS(TabelaNPS[Respondentes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Respondentes],TabelaNPS[Período],(IF($A160="","",IF(ISNUMBER(SEARCH("-SEM",$A160)),$A160,LEFT($A160,4)&amp;"-SEM"&amp;IF(VALUE(RIGHT($A160,2))&lt;=6,1,2)))),TabelaNPS[Curso],$A$19)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W160" s="291">
        <f>IF(OR($K$4="(todos)",$K$4=$A$19),IF($A$19="","",IF($B$4="Mensal",IF(COUNTIFS(TabelaNPS[Período],$A160,TabelaNPS[Curso],$A$19)&gt;0,SUMIFS(TabelaNPS[Promotores (9-10)],TabelaNPS[Período],$A160,TabelaNPS[Curso],$A$19),SUMIFS(TabelaNPS[Promotores (9-10)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Promotores (9-10)],TabelaNPS[Período],(IF($A160="","",IF(ISNUMBER(SEARCH("-SEM",$A160)),$A160,LEFT($A160,4)&amp;"-SEM"&amp;IF(VALUE(RIGHT($A160,2))&lt;=6,1,2)))),TabelaNPS[Curso],$A$19),SUMIFS(TabelaNPS[Promotores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X160" s="291">
        <f>IF(OR($K$4="(todos)",$K$4=$A$19),IF($A$19="","",IF($B$4="Mensal",IF(COUNTIFS(TabelaNPS[Período],$A160,TabelaNPS[Curso],$A$19)&gt;0,SUMIFS(TabelaNPS[Detratores (0-6)],TabelaNPS[Período],$A160,TabelaNPS[Curso],$A$19),SUMIFS(TabelaNPS[Detratores (0-6)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Detratores (0-6)],TabelaNPS[Período],(IF($A160="","",IF(ISNUMBER(SEARCH("-SEM",$A160)),$A160,LEFT($A160,4)&amp;"-SEM"&amp;IF(VALUE(RIGHT($A160,2))&lt;=6,1,2)))),TabelaNPS[Curso],$A$19),SUMIFS(TabelaNPS[Detratores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Y160" s="291">
        <f>IF(OR($K$4="(todos)",$K$4=$A$20),IF($A$20="","",IF($B$4="Mensal",IF(COUNTIFS(TabelaNPS[Período],$A160,TabelaNPS[Curso],$A$20)&gt;0,SUMIFS(TabelaNPS[Respondentes],TabelaNPS[Período],$A160,TabelaNPS[Curso],$A$20),SUMIFS(TabelaNPS[Respondentes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Respondentes],TabelaNPS[Período],(IF($A160="","",IF(ISNUMBER(SEARCH("-SEM",$A160)),$A160,LEFT($A160,4)&amp;"-SEM"&amp;IF(VALUE(RIGHT($A160,2))&lt;=6,1,2)))),TabelaNPS[Curso],$A$20)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Z160" s="291">
        <f>IF(OR($K$4="(todos)",$K$4=$A$20),IF($A$20="","",IF($B$4="Mensal",IF(COUNTIFS(TabelaNPS[Período],$A160,TabelaNPS[Curso],$A$20)&gt;0,SUMIFS(TabelaNPS[Promotores (9-10)],TabelaNPS[Período],$A160,TabelaNPS[Curso],$A$20),SUMIFS(TabelaNPS[Promotores (9-10)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Promotores (9-10)],TabelaNPS[Período],(IF($A160="","",IF(ISNUMBER(SEARCH("-SEM",$A160)),$A160,LEFT($A160,4)&amp;"-SEM"&amp;IF(VALUE(RIGHT($A160,2))&lt;=6,1,2)))),TabelaNPS[Curso],$A$20),SUMIFS(TabelaNPS[Promotores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AA160" s="291">
        <f>IF(OR($K$4="(todos)",$K$4=$A$20),IF($A$20="","",IF($B$4="Mensal",IF(COUNTIFS(TabelaNPS[Período],$A160,TabelaNPS[Curso],$A$20)&gt;0,SUMIFS(TabelaNPS[Detratores (0-6)],TabelaNPS[Período],$A160,TabelaNPS[Curso],$A$20),SUMIFS(TabelaNPS[Detratores (0-6)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Detratores (0-6)],TabelaNPS[Período],(IF($A160="","",IF(ISNUMBER(SEARCH("-SEM",$A160)),$A160,LEFT($A160,4)&amp;"-SEM"&amp;IF(VALUE(RIGHT($A160,2))&lt;=6,1,2)))),TabelaNPS[Curso],$A$20),SUMIFS(TabelaNPS[Detratores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AB160" s="291">
        <f>IF(OR($K$4="(todos)",$K$4=$A$21),IF($A$21="","",IF($B$4="Mensal",IF(COUNTIFS(TabelaNPS[Período],$A160,TabelaNPS[Curso],$A$21)&gt;0,SUMIFS(TabelaNPS[Respondentes],TabelaNPS[Período],$A160,TabelaNPS[Curso],$A$21),SUMIFS(TabelaNPS[Respondentes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Respondentes],TabelaNPS[Período],(IF($A160="","",IF(ISNUMBER(SEARCH("-SEM",$A160)),$A160,LEFT($A160,4)&amp;"-SEM"&amp;IF(VALUE(RIGHT($A160,2))&lt;=6,1,2)))),TabelaNPS[Curso],$A$21)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C160" s="291">
        <f>IF(OR($K$4="(todos)",$K$4=$A$21),IF($A$21="","",IF($B$4="Mensal",IF(COUNTIFS(TabelaNPS[Período],$A160,TabelaNPS[Curso],$A$21)&gt;0,SUMIFS(TabelaNPS[Promotores (9-10)],TabelaNPS[Período],$A160,TabelaNPS[Curso],$A$21),SUMIFS(TabelaNPS[Promotores (9-10)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Promotores (9-10)],TabelaNPS[Período],(IF($A160="","",IF(ISNUMBER(SEARCH("-SEM",$A160)),$A160,LEFT($A160,4)&amp;"-SEM"&amp;IF(VALUE(RIGHT($A160,2))&lt;=6,1,2)))),TabelaNPS[Curso],$A$21),SUMIFS(TabelaNPS[Promotores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D160" s="291">
        <f>IF(OR($K$4="(todos)",$K$4=$A$21),IF($A$21="","",IF($B$4="Mensal",IF(COUNTIFS(TabelaNPS[Período],$A160,TabelaNPS[Curso],$A$21)&gt;0,SUMIFS(TabelaNPS[Detratores (0-6)],TabelaNPS[Período],$A160,TabelaNPS[Curso],$A$21),SUMIFS(TabelaNPS[Detratores (0-6)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Detratores (0-6)],TabelaNPS[Período],(IF($A160="","",IF(ISNUMBER(SEARCH("-SEM",$A160)),$A160,LEFT($A160,4)&amp;"-SEM"&amp;IF(VALUE(RIGHT($A160,2))&lt;=6,1,2)))),TabelaNPS[Curso],$A$21),SUMIFS(TabelaNPS[Detratores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E160" s="291">
        <f>IF(OR($K$4="(todos)",$K$4=$A$22),IF($A$22="","",IF($B$4="Mensal",IF(COUNTIFS(TabelaNPS[Período],$A160,TabelaNPS[Curso],$A$22)&gt;0,SUMIFS(TabelaNPS[Respondentes],TabelaNPS[Período],$A160,TabelaNPS[Curso],$A$22),SUMIFS(TabelaNPS[Respondentes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Respondentes],TabelaNPS[Período],(IF($A160="","",IF(ISNUMBER(SEARCH("-SEM",$A160)),$A160,LEFT($A160,4)&amp;"-SEM"&amp;IF(VALUE(RIGHT($A160,2))&lt;=6,1,2)))),TabelaNPS[Curso],$A$22)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F160" s="291">
        <f>IF(OR($K$4="(todos)",$K$4=$A$22),IF($A$22="","",IF($B$4="Mensal",IF(COUNTIFS(TabelaNPS[Período],$A160,TabelaNPS[Curso],$A$22)&gt;0,SUMIFS(TabelaNPS[Promotores (9-10)],TabelaNPS[Período],$A160,TabelaNPS[Curso],$A$22),SUMIFS(TabelaNPS[Promotores (9-10)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Promotores (9-10)],TabelaNPS[Período],(IF($A160="","",IF(ISNUMBER(SEARCH("-SEM",$A160)),$A160,LEFT($A160,4)&amp;"-SEM"&amp;IF(VALUE(RIGHT($A160,2))&lt;=6,1,2)))),TabelaNPS[Curso],$A$22),SUMIFS(TabelaNPS[Promotores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G160" s="291">
        <f>IF(OR($K$4="(todos)",$K$4=$A$22),IF($A$22="","",IF($B$4="Mensal",IF(COUNTIFS(TabelaNPS[Período],$A160,TabelaNPS[Curso],$A$22)&gt;0,SUMIFS(TabelaNPS[Detratores (0-6)],TabelaNPS[Período],$A160,TabelaNPS[Curso],$A$22),SUMIFS(TabelaNPS[Detratores (0-6)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Detratores (0-6)],TabelaNPS[Período],(IF($A160="","",IF(ISNUMBER(SEARCH("-SEM",$A160)),$A160,LEFT($A160,4)&amp;"-SEM"&amp;IF(VALUE(RIGHT($A160,2))&lt;=6,1,2)))),TabelaNPS[Curso],$A$22),SUMIFS(TabelaNPS[Detratores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H160" s="291">
        <f>IF(OR($K$4="(todos)",$K$4=$A$23),IF($A$23="","",IF($B$4="Mensal",IF(COUNTIFS(TabelaNPS[Período],$A160,TabelaNPS[Curso],$A$23)&gt;0,SUMIFS(TabelaNPS[Respondentes],TabelaNPS[Período],$A160,TabelaNPS[Curso],$A$23),SUMIFS(TabelaNPS[Respondentes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Respondentes],TabelaNPS[Período],(IF($A160="","",IF(ISNUMBER(SEARCH("-SEM",$A160)),$A160,LEFT($A160,4)&amp;"-SEM"&amp;IF(VALUE(RIGHT($A160,2))&lt;=6,1,2)))),TabelaNPS[Curso],$A$23)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I160" s="291">
        <f>IF(OR($K$4="(todos)",$K$4=$A$23),IF($A$23="","",IF($B$4="Mensal",IF(COUNTIFS(TabelaNPS[Período],$A160,TabelaNPS[Curso],$A$23)&gt;0,SUMIFS(TabelaNPS[Promotores (9-10)],TabelaNPS[Período],$A160,TabelaNPS[Curso],$A$23),SUMIFS(TabelaNPS[Promotores (9-10)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Promotores (9-10)],TabelaNPS[Período],(IF($A160="","",IF(ISNUMBER(SEARCH("-SEM",$A160)),$A160,LEFT($A160,4)&amp;"-SEM"&amp;IF(VALUE(RIGHT($A160,2))&lt;=6,1,2)))),TabelaNPS[Curso],$A$23),SUMIFS(TabelaNPS[Promotores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J160" s="291">
        <f>IF(OR($K$4="(todos)",$K$4=$A$23),IF($A$23="","",IF($B$4="Mensal",IF(COUNTIFS(TabelaNPS[Período],$A160,TabelaNPS[Curso],$A$23)&gt;0,SUMIFS(TabelaNPS[Detratores (0-6)],TabelaNPS[Período],$A160,TabelaNPS[Curso],$A$23),SUMIFS(TabelaNPS[Detratores (0-6)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Detratores (0-6)],TabelaNPS[Período],(IF($A160="","",IF(ISNUMBER(SEARCH("-SEM",$A160)),$A160,LEFT($A160,4)&amp;"-SEM"&amp;IF(VALUE(RIGHT($A160,2))&lt;=6,1,2)))),TabelaNPS[Curso],$A$23),SUMIFS(TabelaNPS[Detratores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K160" s="291">
        <f>IF(OR($K$4="(todos)",$K$4=$A$24),IF($A$24="","",IF($B$4="Mensal",IF(COUNTIFS(TabelaNPS[Período],$A160,TabelaNPS[Curso],$A$24)&gt;0,SUMIFS(TabelaNPS[Respondentes],TabelaNPS[Período],$A160,TabelaNPS[Curso],$A$24),SUMIFS(TabelaNPS[Respondentes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Respondentes],TabelaNPS[Período],(IF($A160="","",IF(ISNUMBER(SEARCH("-SEM",$A160)),$A160,LEFT($A160,4)&amp;"-SEM"&amp;IF(VALUE(RIGHT($A160,2))&lt;=6,1,2)))),TabelaNPS[Curso],$A$24)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  <c r="AL160" s="291">
        <f>IF(OR($K$4="(todos)",$K$4=$A$24),IF($A$24="","",IF($B$4="Mensal",IF(COUNTIFS(TabelaNPS[Período],$A160,TabelaNPS[Curso],$A$24)&gt;0,SUMIFS(TabelaNPS[Promotores (9-10)],TabelaNPS[Período],$A160,TabelaNPS[Curso],$A$24),SUMIFS(TabelaNPS[Promotores (9-10)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Promotores (9-10)],TabelaNPS[Período],(IF($A160="","",IF(ISNUMBER(SEARCH("-SEM",$A160)),$A160,LEFT($A160,4)&amp;"-SEM"&amp;IF(VALUE(RIGHT($A160,2))&lt;=6,1,2)))),TabelaNPS[Curso],$A$24),SUMIFS(TabelaNPS[Promotores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  <c r="AM160" s="291">
        <f>IF(OR($K$4="(todos)",$K$4=$A$24),IF($A$24="","",IF($B$4="Mensal",IF(COUNTIFS(TabelaNPS[Período],$A160,TabelaNPS[Curso],$A$24)&gt;0,SUMIFS(TabelaNPS[Detratores (0-6)],TabelaNPS[Período],$A160,TabelaNPS[Curso],$A$24),SUMIFS(TabelaNPS[Detratores (0-6)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Detratores (0-6)],TabelaNPS[Período],(IF($A160="","",IF(ISNUMBER(SEARCH("-SEM",$A160)),$A160,LEFT($A160,4)&amp;"-SEM"&amp;IF(VALUE(RIGHT($A160,2))&lt;=6,1,2)))),TabelaNPS[Curso],$A$24),SUMIFS(TabelaNPS[Detratores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  <c r="AN160" s="291">
        <f>IF(OR($K$4="(todos)",$K$4=$A$25),IF($A$25="","",IF($B$4="Mensal",IF(COUNTIFS(TabelaNPS[Período],$A160,TabelaNPS[Curso],$A$25)&gt;0,SUMIFS(TabelaNPS[Respondentes],TabelaNPS[Período],$A160,TabelaNPS[Curso],$A$25),SUMIFS(TabelaNPS[Respondentes],TabelaNPS[Período],(IF($A160="","",IF(ISNUMBER(SEARCH("-SEM",$A160)),$A160,LEFT($A160,4)&amp;"-SEM"&amp;IF(VALUE(RIGHT($A160,2))&lt;=6,1,2)))),TabelaNPS[Curso],$A$25)),IF(COUNTIFS(TabelaNPS[Período],(IF($A160="","",IF(ISNUMBER(SEARCH("-SEM",$A160)),$A160,LEFT($A160,4)&amp;"-SEM"&amp;IF(VALUE(RIGHT($A160,2))&lt;=6,1,2)))),TabelaNPS[Curso],$A$25)&gt;0,SUMIFS(TabelaNPS[Respondentes],TabelaNPS[Período],(IF($A160="","",IF(ISNUMBER(SEARCH("-SEM",$A160)),$A160,LEFT($A160,4)&amp;"-SEM"&amp;IF(VALUE(RIGHT($A160,2))&lt;=6,1,2)))),TabelaNPS[Curso],$A$25)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$25)))),0)</f>
        <v/>
      </c>
      <c r="AO160" s="291">
        <f>IF(OR($K$4="(todos)",$K$4=$A$25),IF($A$25="","",IF($B$4="Mensal",IF(COUNTIFS(TabelaNPS[Período],$A160,TabelaNPS[Curso],$A$25)&gt;0,SUMIFS(TabelaNPS[Promotores (9-10)],TabelaNPS[Período],$A160,TabelaNPS[Curso],$A$25),SUMIFS(TabelaNPS[Promotores (9-10)],TabelaNPS[Período],(IF($A160="","",IF(ISNUMBER(SEARCH("-SEM",$A160)),$A160,LEFT($A160,4)&amp;"-SEM"&amp;IF(VALUE(RIGHT($A160,2))&lt;=6,1,2)))),TabelaNPS[Curso],$A$25)),IF(COUNTIFS(TabelaNPS[Período],(IF($A160="","",IF(ISNUMBER(SEARCH("-SEM",$A160)),$A160,LEFT($A160,4)&amp;"-SEM"&amp;IF(VALUE(RIGHT($A160,2))&lt;=6,1,2)))),TabelaNPS[Curso],$A$25)&gt;0,SUMIFS(TabelaNPS[Promotores (9-10)],TabelaNPS[Período],(IF($A160="","",IF(ISNUMBER(SEARCH("-SEM",$A160)),$A160,LEFT($A160,4)&amp;"-SEM"&amp;IF(VALUE(RIGHT($A160,2))&lt;=6,1,2)))),TabelaNPS[Curso],$A$25),SUMIFS(TabelaNPS[Promotores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$25)))),0)</f>
        <v/>
      </c>
      <c r="AP160" s="291">
        <f>IF(OR($K$4="(todos)",$K$4=$A$25),IF($A$25="","",IF($B$4="Mensal",IF(COUNTIFS(TabelaNPS[Período],$A160,TabelaNPS[Curso],$A$25)&gt;0,SUMIFS(TabelaNPS[Detratores (0-6)],TabelaNPS[Período],$A160,TabelaNPS[Curso],$A$25),SUMIFS(TabelaNPS[Detratores (0-6)],TabelaNPS[Período],(IF($A160="","",IF(ISNUMBER(SEARCH("-SEM",$A160)),$A160,LEFT($A160,4)&amp;"-SEM"&amp;IF(VALUE(RIGHT($A160,2))&lt;=6,1,2)))),TabelaNPS[Curso],$A$25)),IF(COUNTIFS(TabelaNPS[Período],(IF($A160="","",IF(ISNUMBER(SEARCH("-SEM",$A160)),$A160,LEFT($A160,4)&amp;"-SEM"&amp;IF(VALUE(RIGHT($A160,2))&lt;=6,1,2)))),TabelaNPS[Curso],$A$25)&gt;0,SUMIFS(TabelaNPS[Detratores (0-6)],TabelaNPS[Período],(IF($A160="","",IF(ISNUMBER(SEARCH("-SEM",$A160)),$A160,LEFT($A160,4)&amp;"-SEM"&amp;IF(VALUE(RIGHT($A160,2))&lt;=6,1,2)))),TabelaNPS[Curso],$A$25),SUMIFS(TabelaNPS[Detratores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$25)))),0)</f>
        <v/>
      </c>
    </row>
    <row r="161" ht="23.25" customHeight="1" s="131">
      <c r="A161" s="342">
        <f>IF(A160="","",IF($B$4="Mensal",IF(MATCH(A160,LST_MESES,0)&gt;=MATCH(PARAMETROS!$E$9,LST_MESES,0),"",INDEX(LST_MESES,MATCH(A160,LST_MESES,0)+1)),IF(MATCH(A160,LST_SEMESTRES,0)&gt;=MATCH(PARAMETROS!$E$9,LST_SEMESTRES,0),"",INDEX(LST_SEMESTRES,MATCH(A160,LST_SEMESTRES,0)+1))))</f>
        <v/>
      </c>
      <c r="B161" s="353">
        <f>IF($A161="","",IFERROR((SUM(Q161,T161,W161,Z161,AC161,AF161,AI161,AL161,AO161)-SUM(R161,U161,X161,AA161,AD161,AG161,AJ161,AM161,AP161))/SUM(P161,S161,V161,Y161,AB161,AE161,AH161,AK161,AN161)*100,""))</f>
        <v/>
      </c>
      <c r="C161" s="351">
        <f>IFERROR(SUMPRODUCT(--(TabelaAvaliacaoDocente[Período]=(IF($A161="","",IF(ISNUMBER(SEARCH("-SEM",$A161)),$A161,LEFT($A161,4)&amp;"-SEM"&amp;IF(VALUE(RIGHT($A161,2)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161="","",IF(ISNUMBER(SEARCH("-SEM",$A161)),$A161,LEFT($A161,4)&amp;"-SEM"&amp;IF(VALUE(RIGHT($A161,2))&lt;=6,1,2))))),--((($K$4="(todos)")+(TabelaAvaliacaoDocente[Curso]=$K$4))&gt;0),--((($N$4="(todas)")+(TabelaAvaliacaoDocente[Disciplina]=$N$4))&gt;0),TabelaAvaliacaoDocente[Respondentes]),"")</f>
        <v/>
      </c>
      <c r="D161" s="354">
        <f>IF($A161="","",IFERROR((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/((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+(SUMIFS(TabelaResultadosAcademicos[Re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)*100,""))</f>
        <v/>
      </c>
      <c r="E161" s="351">
        <f>IFERROR((SUMIFS(TabelaResultadosAcademicos[Soma das nota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/(SUMIFS(TabelaResultadosAcademicos[Quantidade de nota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,"")</f>
        <v/>
      </c>
      <c r="F161" s="347">
        <f>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G161" s="347">
        <f>SUMIFS(TabelaResultadosAcademicos[Reprovados por nota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H161" s="347">
        <f>SUMIFS(TabelaResultadosAcademicos[Reprovados por falta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I161" s="353">
        <f>IF($A161="","",IFERROR(IF((SUMPRODUCT(MAX((METAS!$A$5:$A$404="DTNH-01")*(METAS!$B$5:$B$404=IF($K$4="(todos)","TOTAL",$K$4))*(METAS!$D$5:$D$404&lt;=(IF($A161="",0,IF(ISNUMBER(SEARCH("-SEM",$A161)),VALUE(LEFT($A161,4)&amp;IF(RIGHT($A161,1)="1","01","07")),VALUE(SUBSTITUTE($A161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161="",0,IF(ISNUMBER(SEARCH("-SEM",$A161)),VALUE(LEFT($A161,4)&amp;IF(RIGHT($A161,1)="1","01","07")),VALUE(SUBSTITUTE($A161,"-",""))))))*METAS!$D$5:$D$404))))*METAS!$E$5:$E$404),IF((SUMPRODUCT(MAX((METAS!$A$5:$A$404="DTNH-01")*(METAS!$B$5:$B$404="TOTAL")*(METAS!$D$5:$D$404&lt;=(IF($A161="",0,IF(ISNUMBER(SEARCH("-SEM",$A161)),VALUE(LEFT($A161,4)&amp;IF(RIGHT($A161,1)="1","01","07")),VALUE(SUBSTITUTE($A161,"-",""))))))*METAS!$D$5:$D$404)))&gt;0,SUMPRODUCT((METAS!$A$5:$A$404="DTNH-01")*(METAS!$B$5:$B$404="TOTAL")*(METAS!$D$5:$D$404=(SUMPRODUCT(MAX((METAS!$A$5:$A$404="DTNH-01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J161" s="351">
        <f>IF($A161="","",IFERROR(IF((SUMPRODUCT(MAX((METAS!$A$5:$A$404="DTNH-02")*(METAS!$B$5:$B$404=$N$6)*(METAS!$D$5:$D$404&lt;=(IF($A161="",0,IF(ISNUMBER(SEARCH("-SEM",$A161)),VALUE(LEFT($A161,4)&amp;IF(RIGHT($A161,1)="1","01","07")),VALUE(SUBSTITUTE($A161,"-",""))))))*METAS!$D$5:$D$404)))&gt;0,SUMPRODUCT((METAS!$A$5:$A$404="DTNH-02")*(METAS!$B$5:$B$404=$N$6)*(METAS!$D$5:$D$404=(SUMPRODUCT(MAX((METAS!$A$5:$A$404="DTNH-02")*(METAS!$B$5:$B$404=$N$6)*(METAS!$D$5:$D$404&lt;=(IF($A161="",0,IF(ISNUMBER(SEARCH("-SEM",$A161)),VALUE(LEFT($A161,4)&amp;IF(RIGHT($A161,1)="1","01","07")),VALUE(SUBSTITUTE($A161,"-",""))))))*METAS!$D$5:$D$404))))*METAS!$E$5:$E$404),IF((SUMPRODUCT(MAX((METAS!$A$5:$A$404="DTNH-02")*(METAS!$B$5:$B$404="TOTAL")*(METAS!$D$5:$D$404&lt;=(IF($A161="",0,IF(ISNUMBER(SEARCH("-SEM",$A161)),VALUE(LEFT($A161,4)&amp;IF(RIGHT($A161,1)="1","01","07")),VALUE(SUBSTITUTE($A161,"-",""))))))*METAS!$D$5:$D$404)))&gt;0,SUMPRODUCT((METAS!$A$5:$A$404="DTNH-02")*(METAS!$B$5:$B$404="TOTAL")*(METAS!$D$5:$D$404=(SUMPRODUCT(MAX((METAS!$A$5:$A$404="DTNH-02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K161" s="354">
        <f>IF($A161="","",IFERROR(IF((SUMPRODUCT(MAX((METAS!$A$5:$A$404="DTNH-03")*(METAS!$B$5:$B$404=$N$6)*(METAS!$D$5:$D$404&lt;=(IF($A161="",0,IF(ISNUMBER(SEARCH("-SEM",$A161)),VALUE(LEFT($A161,4)&amp;IF(RIGHT($A161,1)="1","01","07")),VALUE(SUBSTITUTE($A161,"-",""))))))*METAS!$D$5:$D$404)))&gt;0,SUMPRODUCT((METAS!$A$5:$A$404="DTNH-03")*(METAS!$B$5:$B$404=$N$6)*(METAS!$D$5:$D$404=(SUMPRODUCT(MAX((METAS!$A$5:$A$404="DTNH-03")*(METAS!$B$5:$B$404=$N$6)*(METAS!$D$5:$D$404&lt;=(IF($A161="",0,IF(ISNUMBER(SEARCH("-SEM",$A161)),VALUE(LEFT($A161,4)&amp;IF(RIGHT($A161,1)="1","01","07")),VALUE(SUBSTITUTE($A161,"-",""))))))*METAS!$D$5:$D$404))))*METAS!$E$5:$E$404),IF((SUMPRODUCT(MAX((METAS!$A$5:$A$404="DTNH-03")*(METAS!$B$5:$B$404="TOTAL")*(METAS!$D$5:$D$404&lt;=(IF($A161="",0,IF(ISNUMBER(SEARCH("-SEM",$A161)),VALUE(LEFT($A161,4)&amp;IF(RIGHT($A161,1)="1","01","07")),VALUE(SUBSTITUTE($A161,"-",""))))))*METAS!$D$5:$D$404)))&gt;0,SUMPRODUCT((METAS!$A$5:$A$404="DTNH-03")*(METAS!$B$5:$B$404="TOTAL")*(METAS!$D$5:$D$404=(SUMPRODUCT(MAX((METAS!$A$5:$A$404="DTNH-03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P161" s="291">
        <f>IF(OR($K$4="(todos)",$K$4=$A$17),IF($A$17="","",IF($B$4="Mensal",IF(COUNTIFS(TabelaNPS[Período],$A161,TabelaNPS[Curso],$A$17)&gt;0,SUMIFS(TabelaNPS[Respondentes],TabelaNPS[Período],$A161,TabelaNPS[Curso],$A$17),SUMIFS(TabelaNPS[Respondentes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Respondentes],TabelaNPS[Período],(IF($A161="","",IF(ISNUMBER(SEARCH("-SEM",$A161)),$A161,LEFT($A161,4)&amp;"-SEM"&amp;IF(VALUE(RIGHT($A161,2))&lt;=6,1,2)))),TabelaNPS[Curso],$A$17)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Q161" s="291">
        <f>IF(OR($K$4="(todos)",$K$4=$A$17),IF($A$17="","",IF($B$4="Mensal",IF(COUNTIFS(TabelaNPS[Período],$A161,TabelaNPS[Curso],$A$17)&gt;0,SUMIFS(TabelaNPS[Promotores (9-10)],TabelaNPS[Período],$A161,TabelaNPS[Curso],$A$17),SUMIFS(TabelaNPS[Promotores (9-10)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Promotores (9-10)],TabelaNPS[Período],(IF($A161="","",IF(ISNUMBER(SEARCH("-SEM",$A161)),$A161,LEFT($A161,4)&amp;"-SEM"&amp;IF(VALUE(RIGHT($A161,2))&lt;=6,1,2)))),TabelaNPS[Curso],$A$17),SUMIFS(TabelaNPS[Promotores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R161" s="291">
        <f>IF(OR($K$4="(todos)",$K$4=$A$17),IF($A$17="","",IF($B$4="Mensal",IF(COUNTIFS(TabelaNPS[Período],$A161,TabelaNPS[Curso],$A$17)&gt;0,SUMIFS(TabelaNPS[Detratores (0-6)],TabelaNPS[Período],$A161,TabelaNPS[Curso],$A$17),SUMIFS(TabelaNPS[Detratores (0-6)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Detratores (0-6)],TabelaNPS[Período],(IF($A161="","",IF(ISNUMBER(SEARCH("-SEM",$A161)),$A161,LEFT($A161,4)&amp;"-SEM"&amp;IF(VALUE(RIGHT($A161,2))&lt;=6,1,2)))),TabelaNPS[Curso],$A$17),SUMIFS(TabelaNPS[Detratores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S161" s="291">
        <f>IF(OR($K$4="(todos)",$K$4=$A$18),IF($A$18="","",IF($B$4="Mensal",IF(COUNTIFS(TabelaNPS[Período],$A161,TabelaNPS[Curso],$A$18)&gt;0,SUMIFS(TabelaNPS[Respondentes],TabelaNPS[Período],$A161,TabelaNPS[Curso],$A$18),SUMIFS(TabelaNPS[Respondentes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Respondentes],TabelaNPS[Período],(IF($A161="","",IF(ISNUMBER(SEARCH("-SEM",$A161)),$A161,LEFT($A161,4)&amp;"-SEM"&amp;IF(VALUE(RIGHT($A161,2))&lt;=6,1,2)))),TabelaNPS[Curso],$A$18)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T161" s="291">
        <f>IF(OR($K$4="(todos)",$K$4=$A$18),IF($A$18="","",IF($B$4="Mensal",IF(COUNTIFS(TabelaNPS[Período],$A161,TabelaNPS[Curso],$A$18)&gt;0,SUMIFS(TabelaNPS[Promotores (9-10)],TabelaNPS[Período],$A161,TabelaNPS[Curso],$A$18),SUMIFS(TabelaNPS[Promotores (9-10)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Promotores (9-10)],TabelaNPS[Período],(IF($A161="","",IF(ISNUMBER(SEARCH("-SEM",$A161)),$A161,LEFT($A161,4)&amp;"-SEM"&amp;IF(VALUE(RIGHT($A161,2))&lt;=6,1,2)))),TabelaNPS[Curso],$A$18),SUMIFS(TabelaNPS[Promotores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U161" s="291">
        <f>IF(OR($K$4="(todos)",$K$4=$A$18),IF($A$18="","",IF($B$4="Mensal",IF(COUNTIFS(TabelaNPS[Período],$A161,TabelaNPS[Curso],$A$18)&gt;0,SUMIFS(TabelaNPS[Detratores (0-6)],TabelaNPS[Período],$A161,TabelaNPS[Curso],$A$18),SUMIFS(TabelaNPS[Detratores (0-6)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Detratores (0-6)],TabelaNPS[Período],(IF($A161="","",IF(ISNUMBER(SEARCH("-SEM",$A161)),$A161,LEFT($A161,4)&amp;"-SEM"&amp;IF(VALUE(RIGHT($A161,2))&lt;=6,1,2)))),TabelaNPS[Curso],$A$18),SUMIFS(TabelaNPS[Detratores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V161" s="291">
        <f>IF(OR($K$4="(todos)",$K$4=$A$19),IF($A$19="","",IF($B$4="Mensal",IF(COUNTIFS(TabelaNPS[Período],$A161,TabelaNPS[Curso],$A$19)&gt;0,SUMIFS(TabelaNPS[Respondentes],TabelaNPS[Período],$A161,TabelaNPS[Curso],$A$19),SUMIFS(TabelaNPS[Respondentes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Respondentes],TabelaNPS[Período],(IF($A161="","",IF(ISNUMBER(SEARCH("-SEM",$A161)),$A161,LEFT($A161,4)&amp;"-SEM"&amp;IF(VALUE(RIGHT($A161,2))&lt;=6,1,2)))),TabelaNPS[Curso],$A$19)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W161" s="291">
        <f>IF(OR($K$4="(todos)",$K$4=$A$19),IF($A$19="","",IF($B$4="Mensal",IF(COUNTIFS(TabelaNPS[Período],$A161,TabelaNPS[Curso],$A$19)&gt;0,SUMIFS(TabelaNPS[Promotores (9-10)],TabelaNPS[Período],$A161,TabelaNPS[Curso],$A$19),SUMIFS(TabelaNPS[Promotores (9-10)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Promotores (9-10)],TabelaNPS[Período],(IF($A161="","",IF(ISNUMBER(SEARCH("-SEM",$A161)),$A161,LEFT($A161,4)&amp;"-SEM"&amp;IF(VALUE(RIGHT($A161,2))&lt;=6,1,2)))),TabelaNPS[Curso],$A$19),SUMIFS(TabelaNPS[Promotores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X161" s="291">
        <f>IF(OR($K$4="(todos)",$K$4=$A$19),IF($A$19="","",IF($B$4="Mensal",IF(COUNTIFS(TabelaNPS[Período],$A161,TabelaNPS[Curso],$A$19)&gt;0,SUMIFS(TabelaNPS[Detratores (0-6)],TabelaNPS[Período],$A161,TabelaNPS[Curso],$A$19),SUMIFS(TabelaNPS[Detratores (0-6)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Detratores (0-6)],TabelaNPS[Período],(IF($A161="","",IF(ISNUMBER(SEARCH("-SEM",$A161)),$A161,LEFT($A161,4)&amp;"-SEM"&amp;IF(VALUE(RIGHT($A161,2))&lt;=6,1,2)))),TabelaNPS[Curso],$A$19),SUMIFS(TabelaNPS[Detratores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Y161" s="291">
        <f>IF(OR($K$4="(todos)",$K$4=$A$20),IF($A$20="","",IF($B$4="Mensal",IF(COUNTIFS(TabelaNPS[Período],$A161,TabelaNPS[Curso],$A$20)&gt;0,SUMIFS(TabelaNPS[Respondentes],TabelaNPS[Período],$A161,TabelaNPS[Curso],$A$20),SUMIFS(TabelaNPS[Respondentes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Respondentes],TabelaNPS[Período],(IF($A161="","",IF(ISNUMBER(SEARCH("-SEM",$A161)),$A161,LEFT($A161,4)&amp;"-SEM"&amp;IF(VALUE(RIGHT($A161,2))&lt;=6,1,2)))),TabelaNPS[Curso],$A$20)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Z161" s="291">
        <f>IF(OR($K$4="(todos)",$K$4=$A$20),IF($A$20="","",IF($B$4="Mensal",IF(COUNTIFS(TabelaNPS[Período],$A161,TabelaNPS[Curso],$A$20)&gt;0,SUMIFS(TabelaNPS[Promotores (9-10)],TabelaNPS[Período],$A161,TabelaNPS[Curso],$A$20),SUMIFS(TabelaNPS[Promotores (9-10)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Promotores (9-10)],TabelaNPS[Período],(IF($A161="","",IF(ISNUMBER(SEARCH("-SEM",$A161)),$A161,LEFT($A161,4)&amp;"-SEM"&amp;IF(VALUE(RIGHT($A161,2))&lt;=6,1,2)))),TabelaNPS[Curso],$A$20),SUMIFS(TabelaNPS[Promotores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AA161" s="291">
        <f>IF(OR($K$4="(todos)",$K$4=$A$20),IF($A$20="","",IF($B$4="Mensal",IF(COUNTIFS(TabelaNPS[Período],$A161,TabelaNPS[Curso],$A$20)&gt;0,SUMIFS(TabelaNPS[Detratores (0-6)],TabelaNPS[Período],$A161,TabelaNPS[Curso],$A$20),SUMIFS(TabelaNPS[Detratores (0-6)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Detratores (0-6)],TabelaNPS[Período],(IF($A161="","",IF(ISNUMBER(SEARCH("-SEM",$A161)),$A161,LEFT($A161,4)&amp;"-SEM"&amp;IF(VALUE(RIGHT($A161,2))&lt;=6,1,2)))),TabelaNPS[Curso],$A$20),SUMIFS(TabelaNPS[Detratores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AB161" s="291">
        <f>IF(OR($K$4="(todos)",$K$4=$A$21),IF($A$21="","",IF($B$4="Mensal",IF(COUNTIFS(TabelaNPS[Período],$A161,TabelaNPS[Curso],$A$21)&gt;0,SUMIFS(TabelaNPS[Respondentes],TabelaNPS[Período],$A161,TabelaNPS[Curso],$A$21),SUMIFS(TabelaNPS[Respondentes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Respondentes],TabelaNPS[Período],(IF($A161="","",IF(ISNUMBER(SEARCH("-SEM",$A161)),$A161,LEFT($A161,4)&amp;"-SEM"&amp;IF(VALUE(RIGHT($A161,2))&lt;=6,1,2)))),TabelaNPS[Curso],$A$21)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C161" s="291">
        <f>IF(OR($K$4="(todos)",$K$4=$A$21),IF($A$21="","",IF($B$4="Mensal",IF(COUNTIFS(TabelaNPS[Período],$A161,TabelaNPS[Curso],$A$21)&gt;0,SUMIFS(TabelaNPS[Promotores (9-10)],TabelaNPS[Período],$A161,TabelaNPS[Curso],$A$21),SUMIFS(TabelaNPS[Promotores (9-10)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Promotores (9-10)],TabelaNPS[Período],(IF($A161="","",IF(ISNUMBER(SEARCH("-SEM",$A161)),$A161,LEFT($A161,4)&amp;"-SEM"&amp;IF(VALUE(RIGHT($A161,2))&lt;=6,1,2)))),TabelaNPS[Curso],$A$21),SUMIFS(TabelaNPS[Promotores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D161" s="291">
        <f>IF(OR($K$4="(todos)",$K$4=$A$21),IF($A$21="","",IF($B$4="Mensal",IF(COUNTIFS(TabelaNPS[Período],$A161,TabelaNPS[Curso],$A$21)&gt;0,SUMIFS(TabelaNPS[Detratores (0-6)],TabelaNPS[Período],$A161,TabelaNPS[Curso],$A$21),SUMIFS(TabelaNPS[Detratores (0-6)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Detratores (0-6)],TabelaNPS[Período],(IF($A161="","",IF(ISNUMBER(SEARCH("-SEM",$A161)),$A161,LEFT($A161,4)&amp;"-SEM"&amp;IF(VALUE(RIGHT($A161,2))&lt;=6,1,2)))),TabelaNPS[Curso],$A$21),SUMIFS(TabelaNPS[Detratores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E161" s="291">
        <f>IF(OR($K$4="(todos)",$K$4=$A$22),IF($A$22="","",IF($B$4="Mensal",IF(COUNTIFS(TabelaNPS[Período],$A161,TabelaNPS[Curso],$A$22)&gt;0,SUMIFS(TabelaNPS[Respondentes],TabelaNPS[Período],$A161,TabelaNPS[Curso],$A$22),SUMIFS(TabelaNPS[Respondentes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Respondentes],TabelaNPS[Período],(IF($A161="","",IF(ISNUMBER(SEARCH("-SEM",$A161)),$A161,LEFT($A161,4)&amp;"-SEM"&amp;IF(VALUE(RIGHT($A161,2))&lt;=6,1,2)))),TabelaNPS[Curso],$A$22)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F161" s="291">
        <f>IF(OR($K$4="(todos)",$K$4=$A$22),IF($A$22="","",IF($B$4="Mensal",IF(COUNTIFS(TabelaNPS[Período],$A161,TabelaNPS[Curso],$A$22)&gt;0,SUMIFS(TabelaNPS[Promotores (9-10)],TabelaNPS[Período],$A161,TabelaNPS[Curso],$A$22),SUMIFS(TabelaNPS[Promotores (9-10)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Promotores (9-10)],TabelaNPS[Período],(IF($A161="","",IF(ISNUMBER(SEARCH("-SEM",$A161)),$A161,LEFT($A161,4)&amp;"-SEM"&amp;IF(VALUE(RIGHT($A161,2))&lt;=6,1,2)))),TabelaNPS[Curso],$A$22),SUMIFS(TabelaNPS[Promotores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G161" s="291">
        <f>IF(OR($K$4="(todos)",$K$4=$A$22),IF($A$22="","",IF($B$4="Mensal",IF(COUNTIFS(TabelaNPS[Período],$A161,TabelaNPS[Curso],$A$22)&gt;0,SUMIFS(TabelaNPS[Detratores (0-6)],TabelaNPS[Período],$A161,TabelaNPS[Curso],$A$22),SUMIFS(TabelaNPS[Detratores (0-6)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Detratores (0-6)],TabelaNPS[Período],(IF($A161="","",IF(ISNUMBER(SEARCH("-SEM",$A161)),$A161,LEFT($A161,4)&amp;"-SEM"&amp;IF(VALUE(RIGHT($A161,2))&lt;=6,1,2)))),TabelaNPS[Curso],$A$22),SUMIFS(TabelaNPS[Detratores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H161" s="291">
        <f>IF(OR($K$4="(todos)",$K$4=$A$23),IF($A$23="","",IF($B$4="Mensal",IF(COUNTIFS(TabelaNPS[Período],$A161,TabelaNPS[Curso],$A$23)&gt;0,SUMIFS(TabelaNPS[Respondentes],TabelaNPS[Período],$A161,TabelaNPS[Curso],$A$23),SUMIFS(TabelaNPS[Respondentes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Respondentes],TabelaNPS[Período],(IF($A161="","",IF(ISNUMBER(SEARCH("-SEM",$A161)),$A161,LEFT($A161,4)&amp;"-SEM"&amp;IF(VALUE(RIGHT($A161,2))&lt;=6,1,2)))),TabelaNPS[Curso],$A$23)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I161" s="291">
        <f>IF(OR($K$4="(todos)",$K$4=$A$23),IF($A$23="","",IF($B$4="Mensal",IF(COUNTIFS(TabelaNPS[Período],$A161,TabelaNPS[Curso],$A$23)&gt;0,SUMIFS(TabelaNPS[Promotores (9-10)],TabelaNPS[Período],$A161,TabelaNPS[Curso],$A$23),SUMIFS(TabelaNPS[Promotores (9-10)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Promotores (9-10)],TabelaNPS[Período],(IF($A161="","",IF(ISNUMBER(SEARCH("-SEM",$A161)),$A161,LEFT($A161,4)&amp;"-SEM"&amp;IF(VALUE(RIGHT($A161,2))&lt;=6,1,2)))),TabelaNPS[Curso],$A$23),SUMIFS(TabelaNPS[Promotores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J161" s="291">
        <f>IF(OR($K$4="(todos)",$K$4=$A$23),IF($A$23="","",IF($B$4="Mensal",IF(COUNTIFS(TabelaNPS[Período],$A161,TabelaNPS[Curso],$A$23)&gt;0,SUMIFS(TabelaNPS[Detratores (0-6)],TabelaNPS[Período],$A161,TabelaNPS[Curso],$A$23),SUMIFS(TabelaNPS[Detratores (0-6)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Detratores (0-6)],TabelaNPS[Período],(IF($A161="","",IF(ISNUMBER(SEARCH("-SEM",$A161)),$A161,LEFT($A161,4)&amp;"-SEM"&amp;IF(VALUE(RIGHT($A161,2))&lt;=6,1,2)))),TabelaNPS[Curso],$A$23),SUMIFS(TabelaNPS[Detratores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K161" s="291">
        <f>IF(OR($K$4="(todos)",$K$4=$A$24),IF($A$24="","",IF($B$4="Mensal",IF(COUNTIFS(TabelaNPS[Período],$A161,TabelaNPS[Curso],$A$24)&gt;0,SUMIFS(TabelaNPS[Respondentes],TabelaNPS[Período],$A161,TabelaNPS[Curso],$A$24),SUMIFS(TabelaNPS[Respondentes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Respondentes],TabelaNPS[Período],(IF($A161="","",IF(ISNUMBER(SEARCH("-SEM",$A161)),$A161,LEFT($A161,4)&amp;"-SEM"&amp;IF(VALUE(RIGHT($A161,2))&lt;=6,1,2)))),TabelaNPS[Curso],$A$24)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  <c r="AL161" s="291">
        <f>IF(OR($K$4="(todos)",$K$4=$A$24),IF($A$24="","",IF($B$4="Mensal",IF(COUNTIFS(TabelaNPS[Período],$A161,TabelaNPS[Curso],$A$24)&gt;0,SUMIFS(TabelaNPS[Promotores (9-10)],TabelaNPS[Período],$A161,TabelaNPS[Curso],$A$24),SUMIFS(TabelaNPS[Promotores (9-10)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Promotores (9-10)],TabelaNPS[Período],(IF($A161="","",IF(ISNUMBER(SEARCH("-SEM",$A161)),$A161,LEFT($A161,4)&amp;"-SEM"&amp;IF(VALUE(RIGHT($A161,2))&lt;=6,1,2)))),TabelaNPS[Curso],$A$24),SUMIFS(TabelaNPS[Promotores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  <c r="AM161" s="291">
        <f>IF(OR($K$4="(todos)",$K$4=$A$24),IF($A$24="","",IF($B$4="Mensal",IF(COUNTIFS(TabelaNPS[Período],$A161,TabelaNPS[Curso],$A$24)&gt;0,SUMIFS(TabelaNPS[Detratores (0-6)],TabelaNPS[Período],$A161,TabelaNPS[Curso],$A$24),SUMIFS(TabelaNPS[Detratores (0-6)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Detratores (0-6)],TabelaNPS[Período],(IF($A161="","",IF(ISNUMBER(SEARCH("-SEM",$A161)),$A161,LEFT($A161,4)&amp;"-SEM"&amp;IF(VALUE(RIGHT($A161,2))&lt;=6,1,2)))),TabelaNPS[Curso],$A$24),SUMIFS(TabelaNPS[Detratores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  <c r="AN161" s="291">
        <f>IF(OR($K$4="(todos)",$K$4=$A$25),IF($A$25="","",IF($B$4="Mensal",IF(COUNTIFS(TabelaNPS[Período],$A161,TabelaNPS[Curso],$A$25)&gt;0,SUMIFS(TabelaNPS[Respondentes],TabelaNPS[Período],$A161,TabelaNPS[Curso],$A$25),SUMIFS(TabelaNPS[Respondentes],TabelaNPS[Período],(IF($A161="","",IF(ISNUMBER(SEARCH("-SEM",$A161)),$A161,LEFT($A161,4)&amp;"-SEM"&amp;IF(VALUE(RIGHT($A161,2))&lt;=6,1,2)))),TabelaNPS[Curso],$A$25)),IF(COUNTIFS(TabelaNPS[Período],(IF($A161="","",IF(ISNUMBER(SEARCH("-SEM",$A161)),$A161,LEFT($A161,4)&amp;"-SEM"&amp;IF(VALUE(RIGHT($A161,2))&lt;=6,1,2)))),TabelaNPS[Curso],$A$25)&gt;0,SUMIFS(TabelaNPS[Respondentes],TabelaNPS[Período],(IF($A161="","",IF(ISNUMBER(SEARCH("-SEM",$A161)),$A161,LEFT($A161,4)&amp;"-SEM"&amp;IF(VALUE(RIGHT($A161,2))&lt;=6,1,2)))),TabelaNPS[Curso],$A$25)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$25)))),0)</f>
        <v/>
      </c>
      <c r="AO161" s="291">
        <f>IF(OR($K$4="(todos)",$K$4=$A$25),IF($A$25="","",IF($B$4="Mensal",IF(COUNTIFS(TabelaNPS[Período],$A161,TabelaNPS[Curso],$A$25)&gt;0,SUMIFS(TabelaNPS[Promotores (9-10)],TabelaNPS[Período],$A161,TabelaNPS[Curso],$A$25),SUMIFS(TabelaNPS[Promotores (9-10)],TabelaNPS[Período],(IF($A161="","",IF(ISNUMBER(SEARCH("-SEM",$A161)),$A161,LEFT($A161,4)&amp;"-SEM"&amp;IF(VALUE(RIGHT($A161,2))&lt;=6,1,2)))),TabelaNPS[Curso],$A$25)),IF(COUNTIFS(TabelaNPS[Período],(IF($A161="","",IF(ISNUMBER(SEARCH("-SEM",$A161)),$A161,LEFT($A161,4)&amp;"-SEM"&amp;IF(VALUE(RIGHT($A161,2))&lt;=6,1,2)))),TabelaNPS[Curso],$A$25)&gt;0,SUMIFS(TabelaNPS[Promotores (9-10)],TabelaNPS[Período],(IF($A161="","",IF(ISNUMBER(SEARCH("-SEM",$A161)),$A161,LEFT($A161,4)&amp;"-SEM"&amp;IF(VALUE(RIGHT($A161,2))&lt;=6,1,2)))),TabelaNPS[Curso],$A$25),SUMIFS(TabelaNPS[Promotores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$25)))),0)</f>
        <v/>
      </c>
      <c r="AP161" s="291">
        <f>IF(OR($K$4="(todos)",$K$4=$A$25),IF($A$25="","",IF($B$4="Mensal",IF(COUNTIFS(TabelaNPS[Período],$A161,TabelaNPS[Curso],$A$25)&gt;0,SUMIFS(TabelaNPS[Detratores (0-6)],TabelaNPS[Período],$A161,TabelaNPS[Curso],$A$25),SUMIFS(TabelaNPS[Detratores (0-6)],TabelaNPS[Período],(IF($A161="","",IF(ISNUMBER(SEARCH("-SEM",$A161)),$A161,LEFT($A161,4)&amp;"-SEM"&amp;IF(VALUE(RIGHT($A161,2))&lt;=6,1,2)))),TabelaNPS[Curso],$A$25)),IF(COUNTIFS(TabelaNPS[Período],(IF($A161="","",IF(ISNUMBER(SEARCH("-SEM",$A161)),$A161,LEFT($A161,4)&amp;"-SEM"&amp;IF(VALUE(RIGHT($A161,2))&lt;=6,1,2)))),TabelaNPS[Curso],$A$25)&gt;0,SUMIFS(TabelaNPS[Detratores (0-6)],TabelaNPS[Período],(IF($A161="","",IF(ISNUMBER(SEARCH("-SEM",$A161)),$A161,LEFT($A161,4)&amp;"-SEM"&amp;IF(VALUE(RIGHT($A161,2))&lt;=6,1,2)))),TabelaNPS[Curso],$A$25),SUMIFS(TabelaNPS[Detratores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$25)))),0)</f>
        <v/>
      </c>
    </row>
    <row r="162" ht="33.75" customHeight="1" s="131">
      <c r="A162" s="340">
        <f>IF(A161="","",IF($B$4="Mensal",IF(MATCH(A161,LST_MESES,0)&gt;=MATCH(PARAMETROS!$E$9,LST_MESES,0),"",INDEX(LST_MESES,MATCH(A161,LST_MESES,0)+1)),IF(MATCH(A161,LST_SEMESTRES,0)&gt;=MATCH(PARAMETROS!$E$9,LST_SEMESTRES,0),"",INDEX(LST_SEMESTRES,MATCH(A161,LST_SEMESTRES,0)+1))))</f>
        <v/>
      </c>
      <c r="B162" s="346">
        <f>IF($A162="","",IFERROR((SUM(Q162,T162,W162,Z162,AC162,AF162,AI162,AL162,AO162)-SUM(R162,U162,X162,AA162,AD162,AG162,AJ162,AM162,AP162))/SUM(P162,S162,V162,Y162,AB162,AE162,AH162,AK162,AN162)*100,""))</f>
        <v/>
      </c>
      <c r="C162" s="348">
        <f>IFERROR(SUMPRODUCT(--(TabelaAvaliacaoDocente[Período]=(IF($A162="","",IF(ISNUMBER(SEARCH("-SEM",$A162)),$A162,LEFT($A162,4)&amp;"-SEM"&amp;IF(VALUE(RIGHT($A162,2)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162="","",IF(ISNUMBER(SEARCH("-SEM",$A162)),$A162,LEFT($A162,4)&amp;"-SEM"&amp;IF(VALUE(RIGHT($A162,2))&lt;=6,1,2))))),--((($K$4="(todos)")+(TabelaAvaliacaoDocente[Curso]=$K$4))&gt;0),--((($N$4="(todas)")+(TabelaAvaliacaoDocente[Disciplina]=$N$4))&gt;0),TabelaAvaliacaoDocente[Respondentes]),"")</f>
        <v/>
      </c>
      <c r="D162" s="349">
        <f>IF($A162="","",IFERROR((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/((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+(SUMIFS(TabelaResultadosAcademicos[Re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)*100,""))</f>
        <v/>
      </c>
      <c r="E162" s="348">
        <f>IFERROR((SUMIFS(TabelaResultadosAcademicos[Soma das nota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/(SUMIFS(TabelaResultadosAcademicos[Quantidade de nota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,"")</f>
        <v/>
      </c>
      <c r="F162" s="350">
        <f>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G162" s="350">
        <f>SUMIFS(TabelaResultadosAcademicos[Reprovados por nota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H162" s="350">
        <f>SUMIFS(TabelaResultadosAcademicos[Reprovados por falta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I162" s="346">
        <f>IF($A162="","",IFERROR(IF((SUMPRODUCT(MAX((METAS!$A$5:$A$404="DTNH-01")*(METAS!$B$5:$B$404=IF($K$4="(todos)","TOTAL",$K$4))*(METAS!$D$5:$D$404&lt;=(IF($A162="",0,IF(ISNUMBER(SEARCH("-SEM",$A162)),VALUE(LEFT($A162,4)&amp;IF(RIGHT($A162,1)="1","01","07")),VALUE(SUBSTITUTE($A162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162="",0,IF(ISNUMBER(SEARCH("-SEM",$A162)),VALUE(LEFT($A162,4)&amp;IF(RIGHT($A162,1)="1","01","07")),VALUE(SUBSTITUTE($A162,"-",""))))))*METAS!$D$5:$D$404))))*METAS!$E$5:$E$404),IF((SUMPRODUCT(MAX((METAS!$A$5:$A$404="DTNH-01")*(METAS!$B$5:$B$404="TOTAL")*(METAS!$D$5:$D$404&lt;=(IF($A162="",0,IF(ISNUMBER(SEARCH("-SEM",$A162)),VALUE(LEFT($A162,4)&amp;IF(RIGHT($A162,1)="1","01","07")),VALUE(SUBSTITUTE($A162,"-",""))))))*METAS!$D$5:$D$404)))&gt;0,SUMPRODUCT((METAS!$A$5:$A$404="DTNH-01")*(METAS!$B$5:$B$404="TOTAL")*(METAS!$D$5:$D$404=(SUMPRODUCT(MAX((METAS!$A$5:$A$404="DTNH-01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J162" s="351">
        <f>IF($A162="","",IFERROR(IF((SUMPRODUCT(MAX((METAS!$A$5:$A$404="DTNH-02")*(METAS!$B$5:$B$404=$N$6)*(METAS!$D$5:$D$404&lt;=(IF($A162="",0,IF(ISNUMBER(SEARCH("-SEM",$A162)),VALUE(LEFT($A162,4)&amp;IF(RIGHT($A162,1)="1","01","07")),VALUE(SUBSTITUTE($A162,"-",""))))))*METAS!$D$5:$D$404)))&gt;0,SUMPRODUCT((METAS!$A$5:$A$404="DTNH-02")*(METAS!$B$5:$B$404=$N$6)*(METAS!$D$5:$D$404=(SUMPRODUCT(MAX((METAS!$A$5:$A$404="DTNH-02")*(METAS!$B$5:$B$404=$N$6)*(METAS!$D$5:$D$404&lt;=(IF($A162="",0,IF(ISNUMBER(SEARCH("-SEM",$A162)),VALUE(LEFT($A162,4)&amp;IF(RIGHT($A162,1)="1","01","07")),VALUE(SUBSTITUTE($A162,"-",""))))))*METAS!$D$5:$D$404))))*METAS!$E$5:$E$404),IF((SUMPRODUCT(MAX((METAS!$A$5:$A$404="DTNH-02")*(METAS!$B$5:$B$404="TOTAL")*(METAS!$D$5:$D$404&lt;=(IF($A162="",0,IF(ISNUMBER(SEARCH("-SEM",$A162)),VALUE(LEFT($A162,4)&amp;IF(RIGHT($A162,1)="1","01","07")),VALUE(SUBSTITUTE($A162,"-",""))))))*METAS!$D$5:$D$404)))&gt;0,SUMPRODUCT((METAS!$A$5:$A$404="DTNH-02")*(METAS!$B$5:$B$404="TOTAL")*(METAS!$D$5:$D$404=(SUMPRODUCT(MAX((METAS!$A$5:$A$404="DTNH-02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K162" s="354">
        <f>IF($A162="","",IFERROR(IF((SUMPRODUCT(MAX((METAS!$A$5:$A$404="DTNH-03")*(METAS!$B$5:$B$404=$N$6)*(METAS!$D$5:$D$404&lt;=(IF($A162="",0,IF(ISNUMBER(SEARCH("-SEM",$A162)),VALUE(LEFT($A162,4)&amp;IF(RIGHT($A162,1)="1","01","07")),VALUE(SUBSTITUTE($A162,"-",""))))))*METAS!$D$5:$D$404)))&gt;0,SUMPRODUCT((METAS!$A$5:$A$404="DTNH-03")*(METAS!$B$5:$B$404=$N$6)*(METAS!$D$5:$D$404=(SUMPRODUCT(MAX((METAS!$A$5:$A$404="DTNH-03")*(METAS!$B$5:$B$404=$N$6)*(METAS!$D$5:$D$404&lt;=(IF($A162="",0,IF(ISNUMBER(SEARCH("-SEM",$A162)),VALUE(LEFT($A162,4)&amp;IF(RIGHT($A162,1)="1","01","07")),VALUE(SUBSTITUTE($A162,"-",""))))))*METAS!$D$5:$D$404))))*METAS!$E$5:$E$404),IF((SUMPRODUCT(MAX((METAS!$A$5:$A$404="DTNH-03")*(METAS!$B$5:$B$404="TOTAL")*(METAS!$D$5:$D$404&lt;=(IF($A162="",0,IF(ISNUMBER(SEARCH("-SEM",$A162)),VALUE(LEFT($A162,4)&amp;IF(RIGHT($A162,1)="1","01","07")),VALUE(SUBSTITUTE($A162,"-",""))))))*METAS!$D$5:$D$404)))&gt;0,SUMPRODUCT((METAS!$A$5:$A$404="DTNH-03")*(METAS!$B$5:$B$404="TOTAL")*(METAS!$D$5:$D$404=(SUMPRODUCT(MAX((METAS!$A$5:$A$404="DTNH-03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P162" s="291">
        <f>IF(OR($K$4="(todos)",$K$4=$A$17),IF($A$17="","",IF($B$4="Mensal",IF(COUNTIFS(TabelaNPS[Período],$A162,TabelaNPS[Curso],$A$17)&gt;0,SUMIFS(TabelaNPS[Respondentes],TabelaNPS[Período],$A162,TabelaNPS[Curso],$A$17),SUMIFS(TabelaNPS[Respondentes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Respondentes],TabelaNPS[Período],(IF($A162="","",IF(ISNUMBER(SEARCH("-SEM",$A162)),$A162,LEFT($A162,4)&amp;"-SEM"&amp;IF(VALUE(RIGHT($A162,2))&lt;=6,1,2)))),TabelaNPS[Curso],$A$17)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Q162" s="291">
        <f>IF(OR($K$4="(todos)",$K$4=$A$17),IF($A$17="","",IF($B$4="Mensal",IF(COUNTIFS(TabelaNPS[Período],$A162,TabelaNPS[Curso],$A$17)&gt;0,SUMIFS(TabelaNPS[Promotores (9-10)],TabelaNPS[Período],$A162,TabelaNPS[Curso],$A$17),SUMIFS(TabelaNPS[Promotores (9-10)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Promotores (9-10)],TabelaNPS[Período],(IF($A162="","",IF(ISNUMBER(SEARCH("-SEM",$A162)),$A162,LEFT($A162,4)&amp;"-SEM"&amp;IF(VALUE(RIGHT($A162,2))&lt;=6,1,2)))),TabelaNPS[Curso],$A$17),SUMIFS(TabelaNPS[Promotores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R162" s="291">
        <f>IF(OR($K$4="(todos)",$K$4=$A$17),IF($A$17="","",IF($B$4="Mensal",IF(COUNTIFS(TabelaNPS[Período],$A162,TabelaNPS[Curso],$A$17)&gt;0,SUMIFS(TabelaNPS[Detratores (0-6)],TabelaNPS[Período],$A162,TabelaNPS[Curso],$A$17),SUMIFS(TabelaNPS[Detratores (0-6)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Detratores (0-6)],TabelaNPS[Período],(IF($A162="","",IF(ISNUMBER(SEARCH("-SEM",$A162)),$A162,LEFT($A162,4)&amp;"-SEM"&amp;IF(VALUE(RIGHT($A162,2))&lt;=6,1,2)))),TabelaNPS[Curso],$A$17),SUMIFS(TabelaNPS[Detratores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S162" s="291">
        <f>IF(OR($K$4="(todos)",$K$4=$A$18),IF($A$18="","",IF($B$4="Mensal",IF(COUNTIFS(TabelaNPS[Período],$A162,TabelaNPS[Curso],$A$18)&gt;0,SUMIFS(TabelaNPS[Respondentes],TabelaNPS[Período],$A162,TabelaNPS[Curso],$A$18),SUMIFS(TabelaNPS[Respondentes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Respondentes],TabelaNPS[Período],(IF($A162="","",IF(ISNUMBER(SEARCH("-SEM",$A162)),$A162,LEFT($A162,4)&amp;"-SEM"&amp;IF(VALUE(RIGHT($A162,2))&lt;=6,1,2)))),TabelaNPS[Curso],$A$18)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T162" s="291">
        <f>IF(OR($K$4="(todos)",$K$4=$A$18),IF($A$18="","",IF($B$4="Mensal",IF(COUNTIFS(TabelaNPS[Período],$A162,TabelaNPS[Curso],$A$18)&gt;0,SUMIFS(TabelaNPS[Promotores (9-10)],TabelaNPS[Período],$A162,TabelaNPS[Curso],$A$18),SUMIFS(TabelaNPS[Promotores (9-10)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Promotores (9-10)],TabelaNPS[Período],(IF($A162="","",IF(ISNUMBER(SEARCH("-SEM",$A162)),$A162,LEFT($A162,4)&amp;"-SEM"&amp;IF(VALUE(RIGHT($A162,2))&lt;=6,1,2)))),TabelaNPS[Curso],$A$18),SUMIFS(TabelaNPS[Promotores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U162" s="291">
        <f>IF(OR($K$4="(todos)",$K$4=$A$18),IF($A$18="","",IF($B$4="Mensal",IF(COUNTIFS(TabelaNPS[Período],$A162,TabelaNPS[Curso],$A$18)&gt;0,SUMIFS(TabelaNPS[Detratores (0-6)],TabelaNPS[Período],$A162,TabelaNPS[Curso],$A$18),SUMIFS(TabelaNPS[Detratores (0-6)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Detratores (0-6)],TabelaNPS[Período],(IF($A162="","",IF(ISNUMBER(SEARCH("-SEM",$A162)),$A162,LEFT($A162,4)&amp;"-SEM"&amp;IF(VALUE(RIGHT($A162,2))&lt;=6,1,2)))),TabelaNPS[Curso],$A$18),SUMIFS(TabelaNPS[Detratores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V162" s="291">
        <f>IF(OR($K$4="(todos)",$K$4=$A$19),IF($A$19="","",IF($B$4="Mensal",IF(COUNTIFS(TabelaNPS[Período],$A162,TabelaNPS[Curso],$A$19)&gt;0,SUMIFS(TabelaNPS[Respondentes],TabelaNPS[Período],$A162,TabelaNPS[Curso],$A$19),SUMIFS(TabelaNPS[Respondentes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Respondentes],TabelaNPS[Período],(IF($A162="","",IF(ISNUMBER(SEARCH("-SEM",$A162)),$A162,LEFT($A162,4)&amp;"-SEM"&amp;IF(VALUE(RIGHT($A162,2))&lt;=6,1,2)))),TabelaNPS[Curso],$A$19)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W162" s="291">
        <f>IF(OR($K$4="(todos)",$K$4=$A$19),IF($A$19="","",IF($B$4="Mensal",IF(COUNTIFS(TabelaNPS[Período],$A162,TabelaNPS[Curso],$A$19)&gt;0,SUMIFS(TabelaNPS[Promotores (9-10)],TabelaNPS[Período],$A162,TabelaNPS[Curso],$A$19),SUMIFS(TabelaNPS[Promotores (9-10)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Promotores (9-10)],TabelaNPS[Período],(IF($A162="","",IF(ISNUMBER(SEARCH("-SEM",$A162)),$A162,LEFT($A162,4)&amp;"-SEM"&amp;IF(VALUE(RIGHT($A162,2))&lt;=6,1,2)))),TabelaNPS[Curso],$A$19),SUMIFS(TabelaNPS[Promotores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X162" s="291">
        <f>IF(OR($K$4="(todos)",$K$4=$A$19),IF($A$19="","",IF($B$4="Mensal",IF(COUNTIFS(TabelaNPS[Período],$A162,TabelaNPS[Curso],$A$19)&gt;0,SUMIFS(TabelaNPS[Detratores (0-6)],TabelaNPS[Período],$A162,TabelaNPS[Curso],$A$19),SUMIFS(TabelaNPS[Detratores (0-6)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Detratores (0-6)],TabelaNPS[Período],(IF($A162="","",IF(ISNUMBER(SEARCH("-SEM",$A162)),$A162,LEFT($A162,4)&amp;"-SEM"&amp;IF(VALUE(RIGHT($A162,2))&lt;=6,1,2)))),TabelaNPS[Curso],$A$19),SUMIFS(TabelaNPS[Detratores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Y162" s="291">
        <f>IF(OR($K$4="(todos)",$K$4=$A$20),IF($A$20="","",IF($B$4="Mensal",IF(COUNTIFS(TabelaNPS[Período],$A162,TabelaNPS[Curso],$A$20)&gt;0,SUMIFS(TabelaNPS[Respondentes],TabelaNPS[Período],$A162,TabelaNPS[Curso],$A$20),SUMIFS(TabelaNPS[Respondentes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Respondentes],TabelaNPS[Período],(IF($A162="","",IF(ISNUMBER(SEARCH("-SEM",$A162)),$A162,LEFT($A162,4)&amp;"-SEM"&amp;IF(VALUE(RIGHT($A162,2))&lt;=6,1,2)))),TabelaNPS[Curso],$A$20)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Z162" s="291">
        <f>IF(OR($K$4="(todos)",$K$4=$A$20),IF($A$20="","",IF($B$4="Mensal",IF(COUNTIFS(TabelaNPS[Período],$A162,TabelaNPS[Curso],$A$20)&gt;0,SUMIFS(TabelaNPS[Promotores (9-10)],TabelaNPS[Período],$A162,TabelaNPS[Curso],$A$20),SUMIFS(TabelaNPS[Promotores (9-10)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Promotores (9-10)],TabelaNPS[Período],(IF($A162="","",IF(ISNUMBER(SEARCH("-SEM",$A162)),$A162,LEFT($A162,4)&amp;"-SEM"&amp;IF(VALUE(RIGHT($A162,2))&lt;=6,1,2)))),TabelaNPS[Curso],$A$20),SUMIFS(TabelaNPS[Promotores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AA162" s="291">
        <f>IF(OR($K$4="(todos)",$K$4=$A$20),IF($A$20="","",IF($B$4="Mensal",IF(COUNTIFS(TabelaNPS[Período],$A162,TabelaNPS[Curso],$A$20)&gt;0,SUMIFS(TabelaNPS[Detratores (0-6)],TabelaNPS[Período],$A162,TabelaNPS[Curso],$A$20),SUMIFS(TabelaNPS[Detratores (0-6)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Detratores (0-6)],TabelaNPS[Período],(IF($A162="","",IF(ISNUMBER(SEARCH("-SEM",$A162)),$A162,LEFT($A162,4)&amp;"-SEM"&amp;IF(VALUE(RIGHT($A162,2))&lt;=6,1,2)))),TabelaNPS[Curso],$A$20),SUMIFS(TabelaNPS[Detratores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AB162" s="291">
        <f>IF(OR($K$4="(todos)",$K$4=$A$21),IF($A$21="","",IF($B$4="Mensal",IF(COUNTIFS(TabelaNPS[Período],$A162,TabelaNPS[Curso],$A$21)&gt;0,SUMIFS(TabelaNPS[Respondentes],TabelaNPS[Período],$A162,TabelaNPS[Curso],$A$21),SUMIFS(TabelaNPS[Respondentes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Respondentes],TabelaNPS[Período],(IF($A162="","",IF(ISNUMBER(SEARCH("-SEM",$A162)),$A162,LEFT($A162,4)&amp;"-SEM"&amp;IF(VALUE(RIGHT($A162,2))&lt;=6,1,2)))),TabelaNPS[Curso],$A$21)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C162" s="291">
        <f>IF(OR($K$4="(todos)",$K$4=$A$21),IF($A$21="","",IF($B$4="Mensal",IF(COUNTIFS(TabelaNPS[Período],$A162,TabelaNPS[Curso],$A$21)&gt;0,SUMIFS(TabelaNPS[Promotores (9-10)],TabelaNPS[Período],$A162,TabelaNPS[Curso],$A$21),SUMIFS(TabelaNPS[Promotores (9-10)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Promotores (9-10)],TabelaNPS[Período],(IF($A162="","",IF(ISNUMBER(SEARCH("-SEM",$A162)),$A162,LEFT($A162,4)&amp;"-SEM"&amp;IF(VALUE(RIGHT($A162,2))&lt;=6,1,2)))),TabelaNPS[Curso],$A$21),SUMIFS(TabelaNPS[Promotores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D162" s="291">
        <f>IF(OR($K$4="(todos)",$K$4=$A$21),IF($A$21="","",IF($B$4="Mensal",IF(COUNTIFS(TabelaNPS[Período],$A162,TabelaNPS[Curso],$A$21)&gt;0,SUMIFS(TabelaNPS[Detratores (0-6)],TabelaNPS[Período],$A162,TabelaNPS[Curso],$A$21),SUMIFS(TabelaNPS[Detratores (0-6)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Detratores (0-6)],TabelaNPS[Período],(IF($A162="","",IF(ISNUMBER(SEARCH("-SEM",$A162)),$A162,LEFT($A162,4)&amp;"-SEM"&amp;IF(VALUE(RIGHT($A162,2))&lt;=6,1,2)))),TabelaNPS[Curso],$A$21),SUMIFS(TabelaNPS[Detratores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E162" s="291">
        <f>IF(OR($K$4="(todos)",$K$4=$A$22),IF($A$22="","",IF($B$4="Mensal",IF(COUNTIFS(TabelaNPS[Período],$A162,TabelaNPS[Curso],$A$22)&gt;0,SUMIFS(TabelaNPS[Respondentes],TabelaNPS[Período],$A162,TabelaNPS[Curso],$A$22),SUMIFS(TabelaNPS[Respondentes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Respondentes],TabelaNPS[Período],(IF($A162="","",IF(ISNUMBER(SEARCH("-SEM",$A162)),$A162,LEFT($A162,4)&amp;"-SEM"&amp;IF(VALUE(RIGHT($A162,2))&lt;=6,1,2)))),TabelaNPS[Curso],$A$22)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F162" s="291">
        <f>IF(OR($K$4="(todos)",$K$4=$A$22),IF($A$22="","",IF($B$4="Mensal",IF(COUNTIFS(TabelaNPS[Período],$A162,TabelaNPS[Curso],$A$22)&gt;0,SUMIFS(TabelaNPS[Promotores (9-10)],TabelaNPS[Período],$A162,TabelaNPS[Curso],$A$22),SUMIFS(TabelaNPS[Promotores (9-10)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Promotores (9-10)],TabelaNPS[Período],(IF($A162="","",IF(ISNUMBER(SEARCH("-SEM",$A162)),$A162,LEFT($A162,4)&amp;"-SEM"&amp;IF(VALUE(RIGHT($A162,2))&lt;=6,1,2)))),TabelaNPS[Curso],$A$22),SUMIFS(TabelaNPS[Promotores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G162" s="291">
        <f>IF(OR($K$4="(todos)",$K$4=$A$22),IF($A$22="","",IF($B$4="Mensal",IF(COUNTIFS(TabelaNPS[Período],$A162,TabelaNPS[Curso],$A$22)&gt;0,SUMIFS(TabelaNPS[Detratores (0-6)],TabelaNPS[Período],$A162,TabelaNPS[Curso],$A$22),SUMIFS(TabelaNPS[Detratores (0-6)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Detratores (0-6)],TabelaNPS[Período],(IF($A162="","",IF(ISNUMBER(SEARCH("-SEM",$A162)),$A162,LEFT($A162,4)&amp;"-SEM"&amp;IF(VALUE(RIGHT($A162,2))&lt;=6,1,2)))),TabelaNPS[Curso],$A$22),SUMIFS(TabelaNPS[Detratores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H162" s="291">
        <f>IF(OR($K$4="(todos)",$K$4=$A$23),IF($A$23="","",IF($B$4="Mensal",IF(COUNTIFS(TabelaNPS[Período],$A162,TabelaNPS[Curso],$A$23)&gt;0,SUMIFS(TabelaNPS[Respondentes],TabelaNPS[Período],$A162,TabelaNPS[Curso],$A$23),SUMIFS(TabelaNPS[Respondentes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Respondentes],TabelaNPS[Período],(IF($A162="","",IF(ISNUMBER(SEARCH("-SEM",$A162)),$A162,LEFT($A162,4)&amp;"-SEM"&amp;IF(VALUE(RIGHT($A162,2))&lt;=6,1,2)))),TabelaNPS[Curso],$A$23)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I162" s="291">
        <f>IF(OR($K$4="(todos)",$K$4=$A$23),IF($A$23="","",IF($B$4="Mensal",IF(COUNTIFS(TabelaNPS[Período],$A162,TabelaNPS[Curso],$A$23)&gt;0,SUMIFS(TabelaNPS[Promotores (9-10)],TabelaNPS[Período],$A162,TabelaNPS[Curso],$A$23),SUMIFS(TabelaNPS[Promotores (9-10)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Promotores (9-10)],TabelaNPS[Período],(IF($A162="","",IF(ISNUMBER(SEARCH("-SEM",$A162)),$A162,LEFT($A162,4)&amp;"-SEM"&amp;IF(VALUE(RIGHT($A162,2))&lt;=6,1,2)))),TabelaNPS[Curso],$A$23),SUMIFS(TabelaNPS[Promotores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J162" s="291">
        <f>IF(OR($K$4="(todos)",$K$4=$A$23),IF($A$23="","",IF($B$4="Mensal",IF(COUNTIFS(TabelaNPS[Período],$A162,TabelaNPS[Curso],$A$23)&gt;0,SUMIFS(TabelaNPS[Detratores (0-6)],TabelaNPS[Período],$A162,TabelaNPS[Curso],$A$23),SUMIFS(TabelaNPS[Detratores (0-6)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Detratores (0-6)],TabelaNPS[Período],(IF($A162="","",IF(ISNUMBER(SEARCH("-SEM",$A162)),$A162,LEFT($A162,4)&amp;"-SEM"&amp;IF(VALUE(RIGHT($A162,2))&lt;=6,1,2)))),TabelaNPS[Curso],$A$23),SUMIFS(TabelaNPS[Detratores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K162" s="291">
        <f>IF(OR($K$4="(todos)",$K$4=$A$24),IF($A$24="","",IF($B$4="Mensal",IF(COUNTIFS(TabelaNPS[Período],$A162,TabelaNPS[Curso],$A$24)&gt;0,SUMIFS(TabelaNPS[Respondentes],TabelaNPS[Período],$A162,TabelaNPS[Curso],$A$24),SUMIFS(TabelaNPS[Respondentes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Respondentes],TabelaNPS[Período],(IF($A162="","",IF(ISNUMBER(SEARCH("-SEM",$A162)),$A162,LEFT($A162,4)&amp;"-SEM"&amp;IF(VALUE(RIGHT($A162,2))&lt;=6,1,2)))),TabelaNPS[Curso],$A$24)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  <c r="AL162" s="291">
        <f>IF(OR($K$4="(todos)",$K$4=$A$24),IF($A$24="","",IF($B$4="Mensal",IF(COUNTIFS(TabelaNPS[Período],$A162,TabelaNPS[Curso],$A$24)&gt;0,SUMIFS(TabelaNPS[Promotores (9-10)],TabelaNPS[Período],$A162,TabelaNPS[Curso],$A$24),SUMIFS(TabelaNPS[Promotores (9-10)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Promotores (9-10)],TabelaNPS[Período],(IF($A162="","",IF(ISNUMBER(SEARCH("-SEM",$A162)),$A162,LEFT($A162,4)&amp;"-SEM"&amp;IF(VALUE(RIGHT($A162,2))&lt;=6,1,2)))),TabelaNPS[Curso],$A$24),SUMIFS(TabelaNPS[Promotores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  <c r="AM162" s="291">
        <f>IF(OR($K$4="(todos)",$K$4=$A$24),IF($A$24="","",IF($B$4="Mensal",IF(COUNTIFS(TabelaNPS[Período],$A162,TabelaNPS[Curso],$A$24)&gt;0,SUMIFS(TabelaNPS[Detratores (0-6)],TabelaNPS[Período],$A162,TabelaNPS[Curso],$A$24),SUMIFS(TabelaNPS[Detratores (0-6)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Detratores (0-6)],TabelaNPS[Período],(IF($A162="","",IF(ISNUMBER(SEARCH("-SEM",$A162)),$A162,LEFT($A162,4)&amp;"-SEM"&amp;IF(VALUE(RIGHT($A162,2))&lt;=6,1,2)))),TabelaNPS[Curso],$A$24),SUMIFS(TabelaNPS[Detratores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  <c r="AN162" s="291">
        <f>IF(OR($K$4="(todos)",$K$4=$A$25),IF($A$25="","",IF($B$4="Mensal",IF(COUNTIFS(TabelaNPS[Período],$A162,TabelaNPS[Curso],$A$25)&gt;0,SUMIFS(TabelaNPS[Respondentes],TabelaNPS[Período],$A162,TabelaNPS[Curso],$A$25),SUMIFS(TabelaNPS[Respondentes],TabelaNPS[Período],(IF($A162="","",IF(ISNUMBER(SEARCH("-SEM",$A162)),$A162,LEFT($A162,4)&amp;"-SEM"&amp;IF(VALUE(RIGHT($A162,2))&lt;=6,1,2)))),TabelaNPS[Curso],$A$25)),IF(COUNTIFS(TabelaNPS[Período],(IF($A162="","",IF(ISNUMBER(SEARCH("-SEM",$A162)),$A162,LEFT($A162,4)&amp;"-SEM"&amp;IF(VALUE(RIGHT($A162,2))&lt;=6,1,2)))),TabelaNPS[Curso],$A$25)&gt;0,SUMIFS(TabelaNPS[Respondentes],TabelaNPS[Período],(IF($A162="","",IF(ISNUMBER(SEARCH("-SEM",$A162)),$A162,LEFT($A162,4)&amp;"-SEM"&amp;IF(VALUE(RIGHT($A162,2))&lt;=6,1,2)))),TabelaNPS[Curso],$A$25)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$25)))),0)</f>
        <v/>
      </c>
      <c r="AO162" s="291">
        <f>IF(OR($K$4="(todos)",$K$4=$A$25),IF($A$25="","",IF($B$4="Mensal",IF(COUNTIFS(TabelaNPS[Período],$A162,TabelaNPS[Curso],$A$25)&gt;0,SUMIFS(TabelaNPS[Promotores (9-10)],TabelaNPS[Período],$A162,TabelaNPS[Curso],$A$25),SUMIFS(TabelaNPS[Promotores (9-10)],TabelaNPS[Período],(IF($A162="","",IF(ISNUMBER(SEARCH("-SEM",$A162)),$A162,LEFT($A162,4)&amp;"-SEM"&amp;IF(VALUE(RIGHT($A162,2))&lt;=6,1,2)))),TabelaNPS[Curso],$A$25)),IF(COUNTIFS(TabelaNPS[Período],(IF($A162="","",IF(ISNUMBER(SEARCH("-SEM",$A162)),$A162,LEFT($A162,4)&amp;"-SEM"&amp;IF(VALUE(RIGHT($A162,2))&lt;=6,1,2)))),TabelaNPS[Curso],$A$25)&gt;0,SUMIFS(TabelaNPS[Promotores (9-10)],TabelaNPS[Período],(IF($A162="","",IF(ISNUMBER(SEARCH("-SEM",$A162)),$A162,LEFT($A162,4)&amp;"-SEM"&amp;IF(VALUE(RIGHT($A162,2))&lt;=6,1,2)))),TabelaNPS[Curso],$A$25),SUMIFS(TabelaNPS[Promotores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$25)))),0)</f>
        <v/>
      </c>
      <c r="AP162" s="291">
        <f>IF(OR($K$4="(todos)",$K$4=$A$25),IF($A$25="","",IF($B$4="Mensal",IF(COUNTIFS(TabelaNPS[Período],$A162,TabelaNPS[Curso],$A$25)&gt;0,SUMIFS(TabelaNPS[Detratores (0-6)],TabelaNPS[Período],$A162,TabelaNPS[Curso],$A$25),SUMIFS(TabelaNPS[Detratores (0-6)],TabelaNPS[Período],(IF($A162="","",IF(ISNUMBER(SEARCH("-SEM",$A162)),$A162,LEFT($A162,4)&amp;"-SEM"&amp;IF(VALUE(RIGHT($A162,2))&lt;=6,1,2)))),TabelaNPS[Curso],$A$25)),IF(COUNTIFS(TabelaNPS[Período],(IF($A162="","",IF(ISNUMBER(SEARCH("-SEM",$A162)),$A162,LEFT($A162,4)&amp;"-SEM"&amp;IF(VALUE(RIGHT($A162,2))&lt;=6,1,2)))),TabelaNPS[Curso],$A$25)&gt;0,SUMIFS(TabelaNPS[Detratores (0-6)],TabelaNPS[Período],(IF($A162="","",IF(ISNUMBER(SEARCH("-SEM",$A162)),$A162,LEFT($A162,4)&amp;"-SEM"&amp;IF(VALUE(RIGHT($A162,2))&lt;=6,1,2)))),TabelaNPS[Curso],$A$25),SUMIFS(TabelaNPS[Detratores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$25)))),0)</f>
        <v/>
      </c>
    </row>
    <row r="163" ht="15" customHeight="1" s="131">
      <c r="A163" s="340">
        <f>IF(A162="","",IF($B$4="Mensal",IF(MATCH(A162,LST_MESES,0)&gt;=MATCH(PARAMETROS!$E$9,LST_MESES,0),"",INDEX(LST_MESES,MATCH(A162,LST_MESES,0)+1)),IF(MATCH(A162,LST_SEMESTRES,0)&gt;=MATCH(PARAMETROS!$E$9,LST_SEMESTRES,0),"",INDEX(LST_SEMESTRES,MATCH(A162,LST_SEMESTRES,0)+1))))</f>
        <v/>
      </c>
      <c r="B163" s="359">
        <f>IF($A163="","",IFERROR((SUM(Q163,T163,W163,Z163,AC163,AF163,AI163,AL163,AO163)-SUM(R163,U163,X163,AA163,AD163,AG163,AJ163,AM163,AP163))/SUM(P163,S163,V163,Y163,AB163,AE163,AH163,AK163,AN163)*100,""))</f>
        <v/>
      </c>
      <c r="C163" s="348">
        <f>IFERROR(SUMPRODUCT(--(TabelaAvaliacaoDocente[Período]=(IF($A163="","",IF(ISNUMBER(SEARCH("-SEM",$A163)),$A163,LEFT($A163,4)&amp;"-SEM"&amp;IF(VALUE(RIGHT($A163,2)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163="","",IF(ISNUMBER(SEARCH("-SEM",$A163)),$A163,LEFT($A163,4)&amp;"-SEM"&amp;IF(VALUE(RIGHT($A163,2))&lt;=6,1,2))))),--((($K$4="(todos)")+(TabelaAvaliacaoDocente[Curso]=$K$4))&gt;0),--((($N$4="(todas)")+(TabelaAvaliacaoDocente[Disciplina]=$N$4))&gt;0),TabelaAvaliacaoDocente[Respondentes]),"")</f>
        <v/>
      </c>
      <c r="D163" s="349">
        <f>IF($A163="","",IFERROR((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/((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+(SUMIFS(TabelaResultadosAcademicos[Re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)*100,""))</f>
        <v/>
      </c>
      <c r="E163" s="348">
        <f>IFERROR((SUMIFS(TabelaResultadosAcademicos[Soma das nota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/(SUMIFS(TabelaResultadosAcademicos[Quantidade de nota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,"")</f>
        <v/>
      </c>
      <c r="F163" s="350">
        <f>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G163" s="350">
        <f>SUMIFS(TabelaResultadosAcademicos[Reprovados por nota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H163" s="350">
        <f>SUMIFS(TabelaResultadosAcademicos[Reprovados por falta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I163" s="346">
        <f>IF($A163="","",IFERROR(IF((SUMPRODUCT(MAX((METAS!$A$5:$A$404="DTNH-01")*(METAS!$B$5:$B$404=IF($K$4="(todos)","TOTAL",$K$4))*(METAS!$D$5:$D$404&lt;=(IF($A163="",0,IF(ISNUMBER(SEARCH("-SEM",$A163)),VALUE(LEFT($A163,4)&amp;IF(RIGHT($A163,1)="1","01","07")),VALUE(SUBSTITUTE($A163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163="",0,IF(ISNUMBER(SEARCH("-SEM",$A163)),VALUE(LEFT($A163,4)&amp;IF(RIGHT($A163,1)="1","01","07")),VALUE(SUBSTITUTE($A163,"-",""))))))*METAS!$D$5:$D$404))))*METAS!$E$5:$E$404),IF((SUMPRODUCT(MAX((METAS!$A$5:$A$404="DTNH-01")*(METAS!$B$5:$B$404="TOTAL")*(METAS!$D$5:$D$404&lt;=(IF($A163="",0,IF(ISNUMBER(SEARCH("-SEM",$A163)),VALUE(LEFT($A163,4)&amp;IF(RIGHT($A163,1)="1","01","07")),VALUE(SUBSTITUTE($A163,"-",""))))))*METAS!$D$5:$D$404)))&gt;0,SUMPRODUCT((METAS!$A$5:$A$404="DTNH-01")*(METAS!$B$5:$B$404="TOTAL")*(METAS!$D$5:$D$404=(SUMPRODUCT(MAX((METAS!$A$5:$A$404="DTNH-01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J163" s="351">
        <f>IF($A163="","",IFERROR(IF((SUMPRODUCT(MAX((METAS!$A$5:$A$404="DTNH-02")*(METAS!$B$5:$B$404=$N$6)*(METAS!$D$5:$D$404&lt;=(IF($A163="",0,IF(ISNUMBER(SEARCH("-SEM",$A163)),VALUE(LEFT($A163,4)&amp;IF(RIGHT($A163,1)="1","01","07")),VALUE(SUBSTITUTE($A163,"-",""))))))*METAS!$D$5:$D$404)))&gt;0,SUMPRODUCT((METAS!$A$5:$A$404="DTNH-02")*(METAS!$B$5:$B$404=$N$6)*(METAS!$D$5:$D$404=(SUMPRODUCT(MAX((METAS!$A$5:$A$404="DTNH-02")*(METAS!$B$5:$B$404=$N$6)*(METAS!$D$5:$D$404&lt;=(IF($A163="",0,IF(ISNUMBER(SEARCH("-SEM",$A163)),VALUE(LEFT($A163,4)&amp;IF(RIGHT($A163,1)="1","01","07")),VALUE(SUBSTITUTE($A163,"-",""))))))*METAS!$D$5:$D$404))))*METAS!$E$5:$E$404),IF((SUMPRODUCT(MAX((METAS!$A$5:$A$404="DTNH-02")*(METAS!$B$5:$B$404="TOTAL")*(METAS!$D$5:$D$404&lt;=(IF($A163="",0,IF(ISNUMBER(SEARCH("-SEM",$A163)),VALUE(LEFT($A163,4)&amp;IF(RIGHT($A163,1)="1","01","07")),VALUE(SUBSTITUTE($A163,"-",""))))))*METAS!$D$5:$D$404)))&gt;0,SUMPRODUCT((METAS!$A$5:$A$404="DTNH-02")*(METAS!$B$5:$B$404="TOTAL")*(METAS!$D$5:$D$404=(SUMPRODUCT(MAX((METAS!$A$5:$A$404="DTNH-02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K163" s="354">
        <f>IF($A163="","",IFERROR(IF((SUMPRODUCT(MAX((METAS!$A$5:$A$404="DTNH-03")*(METAS!$B$5:$B$404=$N$6)*(METAS!$D$5:$D$404&lt;=(IF($A163="",0,IF(ISNUMBER(SEARCH("-SEM",$A163)),VALUE(LEFT($A163,4)&amp;IF(RIGHT($A163,1)="1","01","07")),VALUE(SUBSTITUTE($A163,"-",""))))))*METAS!$D$5:$D$404)))&gt;0,SUMPRODUCT((METAS!$A$5:$A$404="DTNH-03")*(METAS!$B$5:$B$404=$N$6)*(METAS!$D$5:$D$404=(SUMPRODUCT(MAX((METAS!$A$5:$A$404="DTNH-03")*(METAS!$B$5:$B$404=$N$6)*(METAS!$D$5:$D$404&lt;=(IF($A163="",0,IF(ISNUMBER(SEARCH("-SEM",$A163)),VALUE(LEFT($A163,4)&amp;IF(RIGHT($A163,1)="1","01","07")),VALUE(SUBSTITUTE($A163,"-",""))))))*METAS!$D$5:$D$404))))*METAS!$E$5:$E$404),IF((SUMPRODUCT(MAX((METAS!$A$5:$A$404="DTNH-03")*(METAS!$B$5:$B$404="TOTAL")*(METAS!$D$5:$D$404&lt;=(IF($A163="",0,IF(ISNUMBER(SEARCH("-SEM",$A163)),VALUE(LEFT($A163,4)&amp;IF(RIGHT($A163,1)="1","01","07")),VALUE(SUBSTITUTE($A163,"-",""))))))*METAS!$D$5:$D$404)))&gt;0,SUMPRODUCT((METAS!$A$5:$A$404="DTNH-03")*(METAS!$B$5:$B$404="TOTAL")*(METAS!$D$5:$D$404=(SUMPRODUCT(MAX((METAS!$A$5:$A$404="DTNH-03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P163" s="291">
        <f>IF(OR($K$4="(todos)",$K$4=$A$17),IF($A$17="","",IF($B$4="Mensal",IF(COUNTIFS(TabelaNPS[Período],$A163,TabelaNPS[Curso],$A$17)&gt;0,SUMIFS(TabelaNPS[Respondentes],TabelaNPS[Período],$A163,TabelaNPS[Curso],$A$17),SUMIFS(TabelaNPS[Respondentes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Respondentes],TabelaNPS[Período],(IF($A163="","",IF(ISNUMBER(SEARCH("-SEM",$A163)),$A163,LEFT($A163,4)&amp;"-SEM"&amp;IF(VALUE(RIGHT($A163,2))&lt;=6,1,2)))),TabelaNPS[Curso],$A$17)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Q163" s="291">
        <f>IF(OR($K$4="(todos)",$K$4=$A$17),IF($A$17="","",IF($B$4="Mensal",IF(COUNTIFS(TabelaNPS[Período],$A163,TabelaNPS[Curso],$A$17)&gt;0,SUMIFS(TabelaNPS[Promotores (9-10)],TabelaNPS[Período],$A163,TabelaNPS[Curso],$A$17),SUMIFS(TabelaNPS[Promotores (9-10)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Promotores (9-10)],TabelaNPS[Período],(IF($A163="","",IF(ISNUMBER(SEARCH("-SEM",$A163)),$A163,LEFT($A163,4)&amp;"-SEM"&amp;IF(VALUE(RIGHT($A163,2))&lt;=6,1,2)))),TabelaNPS[Curso],$A$17),SUMIFS(TabelaNPS[Promotores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R163" s="291">
        <f>IF(OR($K$4="(todos)",$K$4=$A$17),IF($A$17="","",IF($B$4="Mensal",IF(COUNTIFS(TabelaNPS[Período],$A163,TabelaNPS[Curso],$A$17)&gt;0,SUMIFS(TabelaNPS[Detratores (0-6)],TabelaNPS[Período],$A163,TabelaNPS[Curso],$A$17),SUMIFS(TabelaNPS[Detratores (0-6)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Detratores (0-6)],TabelaNPS[Período],(IF($A163="","",IF(ISNUMBER(SEARCH("-SEM",$A163)),$A163,LEFT($A163,4)&amp;"-SEM"&amp;IF(VALUE(RIGHT($A163,2))&lt;=6,1,2)))),TabelaNPS[Curso],$A$17),SUMIFS(TabelaNPS[Detratores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S163" s="291">
        <f>IF(OR($K$4="(todos)",$K$4=$A$18),IF($A$18="","",IF($B$4="Mensal",IF(COUNTIFS(TabelaNPS[Período],$A163,TabelaNPS[Curso],$A$18)&gt;0,SUMIFS(TabelaNPS[Respondentes],TabelaNPS[Período],$A163,TabelaNPS[Curso],$A$18),SUMIFS(TabelaNPS[Respondentes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Respondentes],TabelaNPS[Período],(IF($A163="","",IF(ISNUMBER(SEARCH("-SEM",$A163)),$A163,LEFT($A163,4)&amp;"-SEM"&amp;IF(VALUE(RIGHT($A163,2))&lt;=6,1,2)))),TabelaNPS[Curso],$A$18)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T163" s="291">
        <f>IF(OR($K$4="(todos)",$K$4=$A$18),IF($A$18="","",IF($B$4="Mensal",IF(COUNTIFS(TabelaNPS[Período],$A163,TabelaNPS[Curso],$A$18)&gt;0,SUMIFS(TabelaNPS[Promotores (9-10)],TabelaNPS[Período],$A163,TabelaNPS[Curso],$A$18),SUMIFS(TabelaNPS[Promotores (9-10)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Promotores (9-10)],TabelaNPS[Período],(IF($A163="","",IF(ISNUMBER(SEARCH("-SEM",$A163)),$A163,LEFT($A163,4)&amp;"-SEM"&amp;IF(VALUE(RIGHT($A163,2))&lt;=6,1,2)))),TabelaNPS[Curso],$A$18),SUMIFS(TabelaNPS[Promotores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U163" s="291">
        <f>IF(OR($K$4="(todos)",$K$4=$A$18),IF($A$18="","",IF($B$4="Mensal",IF(COUNTIFS(TabelaNPS[Período],$A163,TabelaNPS[Curso],$A$18)&gt;0,SUMIFS(TabelaNPS[Detratores (0-6)],TabelaNPS[Período],$A163,TabelaNPS[Curso],$A$18),SUMIFS(TabelaNPS[Detratores (0-6)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Detratores (0-6)],TabelaNPS[Período],(IF($A163="","",IF(ISNUMBER(SEARCH("-SEM",$A163)),$A163,LEFT($A163,4)&amp;"-SEM"&amp;IF(VALUE(RIGHT($A163,2))&lt;=6,1,2)))),TabelaNPS[Curso],$A$18),SUMIFS(TabelaNPS[Detratores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V163" s="291">
        <f>IF(OR($K$4="(todos)",$K$4=$A$19),IF($A$19="","",IF($B$4="Mensal",IF(COUNTIFS(TabelaNPS[Período],$A163,TabelaNPS[Curso],$A$19)&gt;0,SUMIFS(TabelaNPS[Respondentes],TabelaNPS[Período],$A163,TabelaNPS[Curso],$A$19),SUMIFS(TabelaNPS[Respondentes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Respondentes],TabelaNPS[Período],(IF($A163="","",IF(ISNUMBER(SEARCH("-SEM",$A163)),$A163,LEFT($A163,4)&amp;"-SEM"&amp;IF(VALUE(RIGHT($A163,2))&lt;=6,1,2)))),TabelaNPS[Curso],$A$19)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W163" s="291">
        <f>IF(OR($K$4="(todos)",$K$4=$A$19),IF($A$19="","",IF($B$4="Mensal",IF(COUNTIFS(TabelaNPS[Período],$A163,TabelaNPS[Curso],$A$19)&gt;0,SUMIFS(TabelaNPS[Promotores (9-10)],TabelaNPS[Período],$A163,TabelaNPS[Curso],$A$19),SUMIFS(TabelaNPS[Promotores (9-10)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Promotores (9-10)],TabelaNPS[Período],(IF($A163="","",IF(ISNUMBER(SEARCH("-SEM",$A163)),$A163,LEFT($A163,4)&amp;"-SEM"&amp;IF(VALUE(RIGHT($A163,2))&lt;=6,1,2)))),TabelaNPS[Curso],$A$19),SUMIFS(TabelaNPS[Promotores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X163" s="291">
        <f>IF(OR($K$4="(todos)",$K$4=$A$19),IF($A$19="","",IF($B$4="Mensal",IF(COUNTIFS(TabelaNPS[Período],$A163,TabelaNPS[Curso],$A$19)&gt;0,SUMIFS(TabelaNPS[Detratores (0-6)],TabelaNPS[Período],$A163,TabelaNPS[Curso],$A$19),SUMIFS(TabelaNPS[Detratores (0-6)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Detratores (0-6)],TabelaNPS[Período],(IF($A163="","",IF(ISNUMBER(SEARCH("-SEM",$A163)),$A163,LEFT($A163,4)&amp;"-SEM"&amp;IF(VALUE(RIGHT($A163,2))&lt;=6,1,2)))),TabelaNPS[Curso],$A$19),SUMIFS(TabelaNPS[Detratores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Y163" s="291">
        <f>IF(OR($K$4="(todos)",$K$4=$A$20),IF($A$20="","",IF($B$4="Mensal",IF(COUNTIFS(TabelaNPS[Período],$A163,TabelaNPS[Curso],$A$20)&gt;0,SUMIFS(TabelaNPS[Respondentes],TabelaNPS[Período],$A163,TabelaNPS[Curso],$A$20),SUMIFS(TabelaNPS[Respondentes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Respondentes],TabelaNPS[Período],(IF($A163="","",IF(ISNUMBER(SEARCH("-SEM",$A163)),$A163,LEFT($A163,4)&amp;"-SEM"&amp;IF(VALUE(RIGHT($A163,2))&lt;=6,1,2)))),TabelaNPS[Curso],$A$20)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Z163" s="291">
        <f>IF(OR($K$4="(todos)",$K$4=$A$20),IF($A$20="","",IF($B$4="Mensal",IF(COUNTIFS(TabelaNPS[Período],$A163,TabelaNPS[Curso],$A$20)&gt;0,SUMIFS(TabelaNPS[Promotores (9-10)],TabelaNPS[Período],$A163,TabelaNPS[Curso],$A$20),SUMIFS(TabelaNPS[Promotores (9-10)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Promotores (9-10)],TabelaNPS[Período],(IF($A163="","",IF(ISNUMBER(SEARCH("-SEM",$A163)),$A163,LEFT($A163,4)&amp;"-SEM"&amp;IF(VALUE(RIGHT($A163,2))&lt;=6,1,2)))),TabelaNPS[Curso],$A$20),SUMIFS(TabelaNPS[Promotores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AA163" s="291">
        <f>IF(OR($K$4="(todos)",$K$4=$A$20),IF($A$20="","",IF($B$4="Mensal",IF(COUNTIFS(TabelaNPS[Período],$A163,TabelaNPS[Curso],$A$20)&gt;0,SUMIFS(TabelaNPS[Detratores (0-6)],TabelaNPS[Período],$A163,TabelaNPS[Curso],$A$20),SUMIFS(TabelaNPS[Detratores (0-6)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Detratores (0-6)],TabelaNPS[Período],(IF($A163="","",IF(ISNUMBER(SEARCH("-SEM",$A163)),$A163,LEFT($A163,4)&amp;"-SEM"&amp;IF(VALUE(RIGHT($A163,2))&lt;=6,1,2)))),TabelaNPS[Curso],$A$20),SUMIFS(TabelaNPS[Detratores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AB163" s="291">
        <f>IF(OR($K$4="(todos)",$K$4=$A$21),IF($A$21="","",IF($B$4="Mensal",IF(COUNTIFS(TabelaNPS[Período],$A163,TabelaNPS[Curso],$A$21)&gt;0,SUMIFS(TabelaNPS[Respondentes],TabelaNPS[Período],$A163,TabelaNPS[Curso],$A$21),SUMIFS(TabelaNPS[Respondentes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Respondentes],TabelaNPS[Período],(IF($A163="","",IF(ISNUMBER(SEARCH("-SEM",$A163)),$A163,LEFT($A163,4)&amp;"-SEM"&amp;IF(VALUE(RIGHT($A163,2))&lt;=6,1,2)))),TabelaNPS[Curso],$A$21)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C163" s="291">
        <f>IF(OR($K$4="(todos)",$K$4=$A$21),IF($A$21="","",IF($B$4="Mensal",IF(COUNTIFS(TabelaNPS[Período],$A163,TabelaNPS[Curso],$A$21)&gt;0,SUMIFS(TabelaNPS[Promotores (9-10)],TabelaNPS[Período],$A163,TabelaNPS[Curso],$A$21),SUMIFS(TabelaNPS[Promotores (9-10)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Promotores (9-10)],TabelaNPS[Período],(IF($A163="","",IF(ISNUMBER(SEARCH("-SEM",$A163)),$A163,LEFT($A163,4)&amp;"-SEM"&amp;IF(VALUE(RIGHT($A163,2))&lt;=6,1,2)))),TabelaNPS[Curso],$A$21),SUMIFS(TabelaNPS[Promotores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D163" s="291">
        <f>IF(OR($K$4="(todos)",$K$4=$A$21),IF($A$21="","",IF($B$4="Mensal",IF(COUNTIFS(TabelaNPS[Período],$A163,TabelaNPS[Curso],$A$21)&gt;0,SUMIFS(TabelaNPS[Detratores (0-6)],TabelaNPS[Período],$A163,TabelaNPS[Curso],$A$21),SUMIFS(TabelaNPS[Detratores (0-6)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Detratores (0-6)],TabelaNPS[Período],(IF($A163="","",IF(ISNUMBER(SEARCH("-SEM",$A163)),$A163,LEFT($A163,4)&amp;"-SEM"&amp;IF(VALUE(RIGHT($A163,2))&lt;=6,1,2)))),TabelaNPS[Curso],$A$21),SUMIFS(TabelaNPS[Detratores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E163" s="291">
        <f>IF(OR($K$4="(todos)",$K$4=$A$22),IF($A$22="","",IF($B$4="Mensal",IF(COUNTIFS(TabelaNPS[Período],$A163,TabelaNPS[Curso],$A$22)&gt;0,SUMIFS(TabelaNPS[Respondentes],TabelaNPS[Período],$A163,TabelaNPS[Curso],$A$22),SUMIFS(TabelaNPS[Respondentes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Respondentes],TabelaNPS[Período],(IF($A163="","",IF(ISNUMBER(SEARCH("-SEM",$A163)),$A163,LEFT($A163,4)&amp;"-SEM"&amp;IF(VALUE(RIGHT($A163,2))&lt;=6,1,2)))),TabelaNPS[Curso],$A$22)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F163" s="291">
        <f>IF(OR($K$4="(todos)",$K$4=$A$22),IF($A$22="","",IF($B$4="Mensal",IF(COUNTIFS(TabelaNPS[Período],$A163,TabelaNPS[Curso],$A$22)&gt;0,SUMIFS(TabelaNPS[Promotores (9-10)],TabelaNPS[Período],$A163,TabelaNPS[Curso],$A$22),SUMIFS(TabelaNPS[Promotores (9-10)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Promotores (9-10)],TabelaNPS[Período],(IF($A163="","",IF(ISNUMBER(SEARCH("-SEM",$A163)),$A163,LEFT($A163,4)&amp;"-SEM"&amp;IF(VALUE(RIGHT($A163,2))&lt;=6,1,2)))),TabelaNPS[Curso],$A$22),SUMIFS(TabelaNPS[Promotores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G163" s="291">
        <f>IF(OR($K$4="(todos)",$K$4=$A$22),IF($A$22="","",IF($B$4="Mensal",IF(COUNTIFS(TabelaNPS[Período],$A163,TabelaNPS[Curso],$A$22)&gt;0,SUMIFS(TabelaNPS[Detratores (0-6)],TabelaNPS[Período],$A163,TabelaNPS[Curso],$A$22),SUMIFS(TabelaNPS[Detratores (0-6)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Detratores (0-6)],TabelaNPS[Período],(IF($A163="","",IF(ISNUMBER(SEARCH("-SEM",$A163)),$A163,LEFT($A163,4)&amp;"-SEM"&amp;IF(VALUE(RIGHT($A163,2))&lt;=6,1,2)))),TabelaNPS[Curso],$A$22),SUMIFS(TabelaNPS[Detratores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H163" s="291">
        <f>IF(OR($K$4="(todos)",$K$4=$A$23),IF($A$23="","",IF($B$4="Mensal",IF(COUNTIFS(TabelaNPS[Período],$A163,TabelaNPS[Curso],$A$23)&gt;0,SUMIFS(TabelaNPS[Respondentes],TabelaNPS[Período],$A163,TabelaNPS[Curso],$A$23),SUMIFS(TabelaNPS[Respondentes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Respondentes],TabelaNPS[Período],(IF($A163="","",IF(ISNUMBER(SEARCH("-SEM",$A163)),$A163,LEFT($A163,4)&amp;"-SEM"&amp;IF(VALUE(RIGHT($A163,2))&lt;=6,1,2)))),TabelaNPS[Curso],$A$23)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I163" s="291">
        <f>IF(OR($K$4="(todos)",$K$4=$A$23),IF($A$23="","",IF($B$4="Mensal",IF(COUNTIFS(TabelaNPS[Período],$A163,TabelaNPS[Curso],$A$23)&gt;0,SUMIFS(TabelaNPS[Promotores (9-10)],TabelaNPS[Período],$A163,TabelaNPS[Curso],$A$23),SUMIFS(TabelaNPS[Promotores (9-10)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Promotores (9-10)],TabelaNPS[Período],(IF($A163="","",IF(ISNUMBER(SEARCH("-SEM",$A163)),$A163,LEFT($A163,4)&amp;"-SEM"&amp;IF(VALUE(RIGHT($A163,2))&lt;=6,1,2)))),TabelaNPS[Curso],$A$23),SUMIFS(TabelaNPS[Promotores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J163" s="291">
        <f>IF(OR($K$4="(todos)",$K$4=$A$23),IF($A$23="","",IF($B$4="Mensal",IF(COUNTIFS(TabelaNPS[Período],$A163,TabelaNPS[Curso],$A$23)&gt;0,SUMIFS(TabelaNPS[Detratores (0-6)],TabelaNPS[Período],$A163,TabelaNPS[Curso],$A$23),SUMIFS(TabelaNPS[Detratores (0-6)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Detratores (0-6)],TabelaNPS[Período],(IF($A163="","",IF(ISNUMBER(SEARCH("-SEM",$A163)),$A163,LEFT($A163,4)&amp;"-SEM"&amp;IF(VALUE(RIGHT($A163,2))&lt;=6,1,2)))),TabelaNPS[Curso],$A$23),SUMIFS(TabelaNPS[Detratores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K163" s="291">
        <f>IF(OR($K$4="(todos)",$K$4=$A$24),IF($A$24="","",IF($B$4="Mensal",IF(COUNTIFS(TabelaNPS[Período],$A163,TabelaNPS[Curso],$A$24)&gt;0,SUMIFS(TabelaNPS[Respondentes],TabelaNPS[Período],$A163,TabelaNPS[Curso],$A$24),SUMIFS(TabelaNPS[Respondentes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Respondentes],TabelaNPS[Período],(IF($A163="","",IF(ISNUMBER(SEARCH("-SEM",$A163)),$A163,LEFT($A163,4)&amp;"-SEM"&amp;IF(VALUE(RIGHT($A163,2))&lt;=6,1,2)))),TabelaNPS[Curso],$A$24)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  <c r="AL163" s="291">
        <f>IF(OR($K$4="(todos)",$K$4=$A$24),IF($A$24="","",IF($B$4="Mensal",IF(COUNTIFS(TabelaNPS[Período],$A163,TabelaNPS[Curso],$A$24)&gt;0,SUMIFS(TabelaNPS[Promotores (9-10)],TabelaNPS[Período],$A163,TabelaNPS[Curso],$A$24),SUMIFS(TabelaNPS[Promotores (9-10)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Promotores (9-10)],TabelaNPS[Período],(IF($A163="","",IF(ISNUMBER(SEARCH("-SEM",$A163)),$A163,LEFT($A163,4)&amp;"-SEM"&amp;IF(VALUE(RIGHT($A163,2))&lt;=6,1,2)))),TabelaNPS[Curso],$A$24),SUMIFS(TabelaNPS[Promotores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  <c r="AM163" s="291">
        <f>IF(OR($K$4="(todos)",$K$4=$A$24),IF($A$24="","",IF($B$4="Mensal",IF(COUNTIFS(TabelaNPS[Período],$A163,TabelaNPS[Curso],$A$24)&gt;0,SUMIFS(TabelaNPS[Detratores (0-6)],TabelaNPS[Período],$A163,TabelaNPS[Curso],$A$24),SUMIFS(TabelaNPS[Detratores (0-6)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Detratores (0-6)],TabelaNPS[Período],(IF($A163="","",IF(ISNUMBER(SEARCH("-SEM",$A163)),$A163,LEFT($A163,4)&amp;"-SEM"&amp;IF(VALUE(RIGHT($A163,2))&lt;=6,1,2)))),TabelaNPS[Curso],$A$24),SUMIFS(TabelaNPS[Detratores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  <c r="AN163" s="291">
        <f>IF(OR($K$4="(todos)",$K$4=$A$25),IF($A$25="","",IF($B$4="Mensal",IF(COUNTIFS(TabelaNPS[Período],$A163,TabelaNPS[Curso],$A$25)&gt;0,SUMIFS(TabelaNPS[Respondentes],TabelaNPS[Período],$A163,TabelaNPS[Curso],$A$25),SUMIFS(TabelaNPS[Respondentes],TabelaNPS[Período],(IF($A163="","",IF(ISNUMBER(SEARCH("-SEM",$A163)),$A163,LEFT($A163,4)&amp;"-SEM"&amp;IF(VALUE(RIGHT($A163,2))&lt;=6,1,2)))),TabelaNPS[Curso],$A$25)),IF(COUNTIFS(TabelaNPS[Período],(IF($A163="","",IF(ISNUMBER(SEARCH("-SEM",$A163)),$A163,LEFT($A163,4)&amp;"-SEM"&amp;IF(VALUE(RIGHT($A163,2))&lt;=6,1,2)))),TabelaNPS[Curso],$A$25)&gt;0,SUMIFS(TabelaNPS[Respondentes],TabelaNPS[Período],(IF($A163="","",IF(ISNUMBER(SEARCH("-SEM",$A163)),$A163,LEFT($A163,4)&amp;"-SEM"&amp;IF(VALUE(RIGHT($A163,2))&lt;=6,1,2)))),TabelaNPS[Curso],$A$25)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$25)))),0)</f>
        <v/>
      </c>
      <c r="AO163" s="291">
        <f>IF(OR($K$4="(todos)",$K$4=$A$25),IF($A$25="","",IF($B$4="Mensal",IF(COUNTIFS(TabelaNPS[Período],$A163,TabelaNPS[Curso],$A$25)&gt;0,SUMIFS(TabelaNPS[Promotores (9-10)],TabelaNPS[Período],$A163,TabelaNPS[Curso],$A$25),SUMIFS(TabelaNPS[Promotores (9-10)],TabelaNPS[Período],(IF($A163="","",IF(ISNUMBER(SEARCH("-SEM",$A163)),$A163,LEFT($A163,4)&amp;"-SEM"&amp;IF(VALUE(RIGHT($A163,2))&lt;=6,1,2)))),TabelaNPS[Curso],$A$25)),IF(COUNTIFS(TabelaNPS[Período],(IF($A163="","",IF(ISNUMBER(SEARCH("-SEM",$A163)),$A163,LEFT($A163,4)&amp;"-SEM"&amp;IF(VALUE(RIGHT($A163,2))&lt;=6,1,2)))),TabelaNPS[Curso],$A$25)&gt;0,SUMIFS(TabelaNPS[Promotores (9-10)],TabelaNPS[Período],(IF($A163="","",IF(ISNUMBER(SEARCH("-SEM",$A163)),$A163,LEFT($A163,4)&amp;"-SEM"&amp;IF(VALUE(RIGHT($A163,2))&lt;=6,1,2)))),TabelaNPS[Curso],$A$25),SUMIFS(TabelaNPS[Promotores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$25)))),0)</f>
        <v/>
      </c>
      <c r="AP163" s="291">
        <f>IF(OR($K$4="(todos)",$K$4=$A$25),IF($A$25="","",IF($B$4="Mensal",IF(COUNTIFS(TabelaNPS[Período],$A163,TabelaNPS[Curso],$A$25)&gt;0,SUMIFS(TabelaNPS[Detratores (0-6)],TabelaNPS[Período],$A163,TabelaNPS[Curso],$A$25),SUMIFS(TabelaNPS[Detratores (0-6)],TabelaNPS[Período],(IF($A163="","",IF(ISNUMBER(SEARCH("-SEM",$A163)),$A163,LEFT($A163,4)&amp;"-SEM"&amp;IF(VALUE(RIGHT($A163,2))&lt;=6,1,2)))),TabelaNPS[Curso],$A$25)),IF(COUNTIFS(TabelaNPS[Período],(IF($A163="","",IF(ISNUMBER(SEARCH("-SEM",$A163)),$A163,LEFT($A163,4)&amp;"-SEM"&amp;IF(VALUE(RIGHT($A163,2))&lt;=6,1,2)))),TabelaNPS[Curso],$A$25)&gt;0,SUMIFS(TabelaNPS[Detratores (0-6)],TabelaNPS[Período],(IF($A163="","",IF(ISNUMBER(SEARCH("-SEM",$A163)),$A163,LEFT($A163,4)&amp;"-SEM"&amp;IF(VALUE(RIGHT($A163,2))&lt;=6,1,2)))),TabelaNPS[Curso],$A$25),SUMIFS(TabelaNPS[Detratores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$25)))),0)</f>
        <v/>
      </c>
    </row>
    <row r="164" ht="15" customHeight="1" s="131">
      <c r="A164" s="340">
        <f>IF(A163="","",IF($B$4="Mensal",IF(MATCH(A163,LST_MESES,0)&gt;=MATCH(PARAMETROS!$E$9,LST_MESES,0),"",INDEX(LST_MESES,MATCH(A163,LST_MESES,0)+1)),IF(MATCH(A163,LST_SEMESTRES,0)&gt;=MATCH(PARAMETROS!$E$9,LST_SEMESTRES,0),"",INDEX(LST_SEMESTRES,MATCH(A163,LST_SEMESTRES,0)+1))))</f>
        <v/>
      </c>
      <c r="B164" s="359">
        <f>IF($A164="","",IFERROR((SUM(Q164,T164,W164,Z164,AC164,AF164,AI164,AL164,AO164)-SUM(R164,U164,X164,AA164,AD164,AG164,AJ164,AM164,AP164))/SUM(P164,S164,V164,Y164,AB164,AE164,AH164,AK164,AN164)*100,""))</f>
        <v/>
      </c>
      <c r="C164" s="348">
        <f>IFERROR(SUMPRODUCT(--(TabelaAvaliacaoDocente[Período]=(IF($A164="","",IF(ISNUMBER(SEARCH("-SEM",$A164)),$A164,LEFT($A164,4)&amp;"-SEM"&amp;IF(VALUE(RIGHT($A164,2)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164="","",IF(ISNUMBER(SEARCH("-SEM",$A164)),$A164,LEFT($A164,4)&amp;"-SEM"&amp;IF(VALUE(RIGHT($A164,2))&lt;=6,1,2))))),--((($K$4="(todos)")+(TabelaAvaliacaoDocente[Curso]=$K$4))&gt;0),--((($N$4="(todas)")+(TabelaAvaliacaoDocente[Disciplina]=$N$4))&gt;0),TabelaAvaliacaoDocente[Respondentes]),"")</f>
        <v/>
      </c>
      <c r="D164" s="349">
        <f>IF($A164="","",IFERROR((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/((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+(SUMIFS(TabelaResultadosAcademicos[Re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)*100,""))</f>
        <v/>
      </c>
      <c r="E164" s="348">
        <f>IFERROR((SUMIFS(TabelaResultadosAcademicos[Soma das nota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/(SUMIFS(TabelaResultadosAcademicos[Quantidade de nota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,"")</f>
        <v/>
      </c>
      <c r="F164" s="350">
        <f>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G164" s="350">
        <f>SUMIFS(TabelaResultadosAcademicos[Reprovados por nota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H164" s="350">
        <f>SUMIFS(TabelaResultadosAcademicos[Reprovados por falta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I164" s="346">
        <f>IF($A164="","",IFERROR(IF((SUMPRODUCT(MAX((METAS!$A$5:$A$404="DTNH-01")*(METAS!$B$5:$B$404=IF($K$4="(todos)","TOTAL",$K$4))*(METAS!$D$5:$D$404&lt;=(IF($A164="",0,IF(ISNUMBER(SEARCH("-SEM",$A164)),VALUE(LEFT($A164,4)&amp;IF(RIGHT($A164,1)="1","01","07")),VALUE(SUBSTITUTE($A164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164="",0,IF(ISNUMBER(SEARCH("-SEM",$A164)),VALUE(LEFT($A164,4)&amp;IF(RIGHT($A164,1)="1","01","07")),VALUE(SUBSTITUTE($A164,"-",""))))))*METAS!$D$5:$D$404))))*METAS!$E$5:$E$404),IF((SUMPRODUCT(MAX((METAS!$A$5:$A$404="DTNH-01")*(METAS!$B$5:$B$404="TOTAL")*(METAS!$D$5:$D$404&lt;=(IF($A164="",0,IF(ISNUMBER(SEARCH("-SEM",$A164)),VALUE(LEFT($A164,4)&amp;IF(RIGHT($A164,1)="1","01","07")),VALUE(SUBSTITUTE($A164,"-",""))))))*METAS!$D$5:$D$404)))&gt;0,SUMPRODUCT((METAS!$A$5:$A$404="DTNH-01")*(METAS!$B$5:$B$404="TOTAL")*(METAS!$D$5:$D$404=(SUMPRODUCT(MAX((METAS!$A$5:$A$404="DTNH-01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J164" s="351">
        <f>IF($A164="","",IFERROR(IF((SUMPRODUCT(MAX((METAS!$A$5:$A$404="DTNH-02")*(METAS!$B$5:$B$404=$N$6)*(METAS!$D$5:$D$404&lt;=(IF($A164="",0,IF(ISNUMBER(SEARCH("-SEM",$A164)),VALUE(LEFT($A164,4)&amp;IF(RIGHT($A164,1)="1","01","07")),VALUE(SUBSTITUTE($A164,"-",""))))))*METAS!$D$5:$D$404)))&gt;0,SUMPRODUCT((METAS!$A$5:$A$404="DTNH-02")*(METAS!$B$5:$B$404=$N$6)*(METAS!$D$5:$D$404=(SUMPRODUCT(MAX((METAS!$A$5:$A$404="DTNH-02")*(METAS!$B$5:$B$404=$N$6)*(METAS!$D$5:$D$404&lt;=(IF($A164="",0,IF(ISNUMBER(SEARCH("-SEM",$A164)),VALUE(LEFT($A164,4)&amp;IF(RIGHT($A164,1)="1","01","07")),VALUE(SUBSTITUTE($A164,"-",""))))))*METAS!$D$5:$D$404))))*METAS!$E$5:$E$404),IF((SUMPRODUCT(MAX((METAS!$A$5:$A$404="DTNH-02")*(METAS!$B$5:$B$404="TOTAL")*(METAS!$D$5:$D$404&lt;=(IF($A164="",0,IF(ISNUMBER(SEARCH("-SEM",$A164)),VALUE(LEFT($A164,4)&amp;IF(RIGHT($A164,1)="1","01","07")),VALUE(SUBSTITUTE($A164,"-",""))))))*METAS!$D$5:$D$404)))&gt;0,SUMPRODUCT((METAS!$A$5:$A$404="DTNH-02")*(METAS!$B$5:$B$404="TOTAL")*(METAS!$D$5:$D$404=(SUMPRODUCT(MAX((METAS!$A$5:$A$404="DTNH-02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K164" s="354">
        <f>IF($A164="","",IFERROR(IF((SUMPRODUCT(MAX((METAS!$A$5:$A$404="DTNH-03")*(METAS!$B$5:$B$404=$N$6)*(METAS!$D$5:$D$404&lt;=(IF($A164="",0,IF(ISNUMBER(SEARCH("-SEM",$A164)),VALUE(LEFT($A164,4)&amp;IF(RIGHT($A164,1)="1","01","07")),VALUE(SUBSTITUTE($A164,"-",""))))))*METAS!$D$5:$D$404)))&gt;0,SUMPRODUCT((METAS!$A$5:$A$404="DTNH-03")*(METAS!$B$5:$B$404=$N$6)*(METAS!$D$5:$D$404=(SUMPRODUCT(MAX((METAS!$A$5:$A$404="DTNH-03")*(METAS!$B$5:$B$404=$N$6)*(METAS!$D$5:$D$404&lt;=(IF($A164="",0,IF(ISNUMBER(SEARCH("-SEM",$A164)),VALUE(LEFT($A164,4)&amp;IF(RIGHT($A164,1)="1","01","07")),VALUE(SUBSTITUTE($A164,"-",""))))))*METAS!$D$5:$D$404))))*METAS!$E$5:$E$404),IF((SUMPRODUCT(MAX((METAS!$A$5:$A$404="DTNH-03")*(METAS!$B$5:$B$404="TOTAL")*(METAS!$D$5:$D$404&lt;=(IF($A164="",0,IF(ISNUMBER(SEARCH("-SEM",$A164)),VALUE(LEFT($A164,4)&amp;IF(RIGHT($A164,1)="1","01","07")),VALUE(SUBSTITUTE($A164,"-",""))))))*METAS!$D$5:$D$404)))&gt;0,SUMPRODUCT((METAS!$A$5:$A$404="DTNH-03")*(METAS!$B$5:$B$404="TOTAL")*(METAS!$D$5:$D$404=(SUMPRODUCT(MAX((METAS!$A$5:$A$404="DTNH-03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P164" s="291">
        <f>IF(OR($K$4="(todos)",$K$4=$A$17),IF($A$17="","",IF($B$4="Mensal",IF(COUNTIFS(TabelaNPS[Período],$A164,TabelaNPS[Curso],$A$17)&gt;0,SUMIFS(TabelaNPS[Respondentes],TabelaNPS[Período],$A164,TabelaNPS[Curso],$A$17),SUMIFS(TabelaNPS[Respondentes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Respondentes],TabelaNPS[Período],(IF($A164="","",IF(ISNUMBER(SEARCH("-SEM",$A164)),$A164,LEFT($A164,4)&amp;"-SEM"&amp;IF(VALUE(RIGHT($A164,2))&lt;=6,1,2)))),TabelaNPS[Curso],$A$17)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Q164" s="291">
        <f>IF(OR($K$4="(todos)",$K$4=$A$17),IF($A$17="","",IF($B$4="Mensal",IF(COUNTIFS(TabelaNPS[Período],$A164,TabelaNPS[Curso],$A$17)&gt;0,SUMIFS(TabelaNPS[Promotores (9-10)],TabelaNPS[Período],$A164,TabelaNPS[Curso],$A$17),SUMIFS(TabelaNPS[Promotores (9-10)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Promotores (9-10)],TabelaNPS[Período],(IF($A164="","",IF(ISNUMBER(SEARCH("-SEM",$A164)),$A164,LEFT($A164,4)&amp;"-SEM"&amp;IF(VALUE(RIGHT($A164,2))&lt;=6,1,2)))),TabelaNPS[Curso],$A$17),SUMIFS(TabelaNPS[Promotores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R164" s="291">
        <f>IF(OR($K$4="(todos)",$K$4=$A$17),IF($A$17="","",IF($B$4="Mensal",IF(COUNTIFS(TabelaNPS[Período],$A164,TabelaNPS[Curso],$A$17)&gt;0,SUMIFS(TabelaNPS[Detratores (0-6)],TabelaNPS[Período],$A164,TabelaNPS[Curso],$A$17),SUMIFS(TabelaNPS[Detratores (0-6)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Detratores (0-6)],TabelaNPS[Período],(IF($A164="","",IF(ISNUMBER(SEARCH("-SEM",$A164)),$A164,LEFT($A164,4)&amp;"-SEM"&amp;IF(VALUE(RIGHT($A164,2))&lt;=6,1,2)))),TabelaNPS[Curso],$A$17),SUMIFS(TabelaNPS[Detratores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S164" s="291">
        <f>IF(OR($K$4="(todos)",$K$4=$A$18),IF($A$18="","",IF($B$4="Mensal",IF(COUNTIFS(TabelaNPS[Período],$A164,TabelaNPS[Curso],$A$18)&gt;0,SUMIFS(TabelaNPS[Respondentes],TabelaNPS[Período],$A164,TabelaNPS[Curso],$A$18),SUMIFS(TabelaNPS[Respondentes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Respondentes],TabelaNPS[Período],(IF($A164="","",IF(ISNUMBER(SEARCH("-SEM",$A164)),$A164,LEFT($A164,4)&amp;"-SEM"&amp;IF(VALUE(RIGHT($A164,2))&lt;=6,1,2)))),TabelaNPS[Curso],$A$18)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T164" s="291">
        <f>IF(OR($K$4="(todos)",$K$4=$A$18),IF($A$18="","",IF($B$4="Mensal",IF(COUNTIFS(TabelaNPS[Período],$A164,TabelaNPS[Curso],$A$18)&gt;0,SUMIFS(TabelaNPS[Promotores (9-10)],TabelaNPS[Período],$A164,TabelaNPS[Curso],$A$18),SUMIFS(TabelaNPS[Promotores (9-10)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Promotores (9-10)],TabelaNPS[Período],(IF($A164="","",IF(ISNUMBER(SEARCH("-SEM",$A164)),$A164,LEFT($A164,4)&amp;"-SEM"&amp;IF(VALUE(RIGHT($A164,2))&lt;=6,1,2)))),TabelaNPS[Curso],$A$18),SUMIFS(TabelaNPS[Promotores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U164" s="291">
        <f>IF(OR($K$4="(todos)",$K$4=$A$18),IF($A$18="","",IF($B$4="Mensal",IF(COUNTIFS(TabelaNPS[Período],$A164,TabelaNPS[Curso],$A$18)&gt;0,SUMIFS(TabelaNPS[Detratores (0-6)],TabelaNPS[Período],$A164,TabelaNPS[Curso],$A$18),SUMIFS(TabelaNPS[Detratores (0-6)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Detratores (0-6)],TabelaNPS[Período],(IF($A164="","",IF(ISNUMBER(SEARCH("-SEM",$A164)),$A164,LEFT($A164,4)&amp;"-SEM"&amp;IF(VALUE(RIGHT($A164,2))&lt;=6,1,2)))),TabelaNPS[Curso],$A$18),SUMIFS(TabelaNPS[Detratores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V164" s="291">
        <f>IF(OR($K$4="(todos)",$K$4=$A$19),IF($A$19="","",IF($B$4="Mensal",IF(COUNTIFS(TabelaNPS[Período],$A164,TabelaNPS[Curso],$A$19)&gt;0,SUMIFS(TabelaNPS[Respondentes],TabelaNPS[Período],$A164,TabelaNPS[Curso],$A$19),SUMIFS(TabelaNPS[Respondentes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Respondentes],TabelaNPS[Período],(IF($A164="","",IF(ISNUMBER(SEARCH("-SEM",$A164)),$A164,LEFT($A164,4)&amp;"-SEM"&amp;IF(VALUE(RIGHT($A164,2))&lt;=6,1,2)))),TabelaNPS[Curso],$A$19)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W164" s="291">
        <f>IF(OR($K$4="(todos)",$K$4=$A$19),IF($A$19="","",IF($B$4="Mensal",IF(COUNTIFS(TabelaNPS[Período],$A164,TabelaNPS[Curso],$A$19)&gt;0,SUMIFS(TabelaNPS[Promotores (9-10)],TabelaNPS[Período],$A164,TabelaNPS[Curso],$A$19),SUMIFS(TabelaNPS[Promotores (9-10)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Promotores (9-10)],TabelaNPS[Período],(IF($A164="","",IF(ISNUMBER(SEARCH("-SEM",$A164)),$A164,LEFT($A164,4)&amp;"-SEM"&amp;IF(VALUE(RIGHT($A164,2))&lt;=6,1,2)))),TabelaNPS[Curso],$A$19),SUMIFS(TabelaNPS[Promotores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X164" s="291">
        <f>IF(OR($K$4="(todos)",$K$4=$A$19),IF($A$19="","",IF($B$4="Mensal",IF(COUNTIFS(TabelaNPS[Período],$A164,TabelaNPS[Curso],$A$19)&gt;0,SUMIFS(TabelaNPS[Detratores (0-6)],TabelaNPS[Período],$A164,TabelaNPS[Curso],$A$19),SUMIFS(TabelaNPS[Detratores (0-6)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Detratores (0-6)],TabelaNPS[Período],(IF($A164="","",IF(ISNUMBER(SEARCH("-SEM",$A164)),$A164,LEFT($A164,4)&amp;"-SEM"&amp;IF(VALUE(RIGHT($A164,2))&lt;=6,1,2)))),TabelaNPS[Curso],$A$19),SUMIFS(TabelaNPS[Detratores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Y164" s="291">
        <f>IF(OR($K$4="(todos)",$K$4=$A$20),IF($A$20="","",IF($B$4="Mensal",IF(COUNTIFS(TabelaNPS[Período],$A164,TabelaNPS[Curso],$A$20)&gt;0,SUMIFS(TabelaNPS[Respondentes],TabelaNPS[Período],$A164,TabelaNPS[Curso],$A$20),SUMIFS(TabelaNPS[Respondentes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Respondentes],TabelaNPS[Período],(IF($A164="","",IF(ISNUMBER(SEARCH("-SEM",$A164)),$A164,LEFT($A164,4)&amp;"-SEM"&amp;IF(VALUE(RIGHT($A164,2))&lt;=6,1,2)))),TabelaNPS[Curso],$A$20)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Z164" s="291">
        <f>IF(OR($K$4="(todos)",$K$4=$A$20),IF($A$20="","",IF($B$4="Mensal",IF(COUNTIFS(TabelaNPS[Período],$A164,TabelaNPS[Curso],$A$20)&gt;0,SUMIFS(TabelaNPS[Promotores (9-10)],TabelaNPS[Período],$A164,TabelaNPS[Curso],$A$20),SUMIFS(TabelaNPS[Promotores (9-10)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Promotores (9-10)],TabelaNPS[Período],(IF($A164="","",IF(ISNUMBER(SEARCH("-SEM",$A164)),$A164,LEFT($A164,4)&amp;"-SEM"&amp;IF(VALUE(RIGHT($A164,2))&lt;=6,1,2)))),TabelaNPS[Curso],$A$20),SUMIFS(TabelaNPS[Promotores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AA164" s="291">
        <f>IF(OR($K$4="(todos)",$K$4=$A$20),IF($A$20="","",IF($B$4="Mensal",IF(COUNTIFS(TabelaNPS[Período],$A164,TabelaNPS[Curso],$A$20)&gt;0,SUMIFS(TabelaNPS[Detratores (0-6)],TabelaNPS[Período],$A164,TabelaNPS[Curso],$A$20),SUMIFS(TabelaNPS[Detratores (0-6)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Detratores (0-6)],TabelaNPS[Período],(IF($A164="","",IF(ISNUMBER(SEARCH("-SEM",$A164)),$A164,LEFT($A164,4)&amp;"-SEM"&amp;IF(VALUE(RIGHT($A164,2))&lt;=6,1,2)))),TabelaNPS[Curso],$A$20),SUMIFS(TabelaNPS[Detratores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AB164" s="291">
        <f>IF(OR($K$4="(todos)",$K$4=$A$21),IF($A$21="","",IF($B$4="Mensal",IF(COUNTIFS(TabelaNPS[Período],$A164,TabelaNPS[Curso],$A$21)&gt;0,SUMIFS(TabelaNPS[Respondentes],TabelaNPS[Período],$A164,TabelaNPS[Curso],$A$21),SUMIFS(TabelaNPS[Respondentes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Respondentes],TabelaNPS[Período],(IF($A164="","",IF(ISNUMBER(SEARCH("-SEM",$A164)),$A164,LEFT($A164,4)&amp;"-SEM"&amp;IF(VALUE(RIGHT($A164,2))&lt;=6,1,2)))),TabelaNPS[Curso],$A$21)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C164" s="291">
        <f>IF(OR($K$4="(todos)",$K$4=$A$21),IF($A$21="","",IF($B$4="Mensal",IF(COUNTIFS(TabelaNPS[Período],$A164,TabelaNPS[Curso],$A$21)&gt;0,SUMIFS(TabelaNPS[Promotores (9-10)],TabelaNPS[Período],$A164,TabelaNPS[Curso],$A$21),SUMIFS(TabelaNPS[Promotores (9-10)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Promotores (9-10)],TabelaNPS[Período],(IF($A164="","",IF(ISNUMBER(SEARCH("-SEM",$A164)),$A164,LEFT($A164,4)&amp;"-SEM"&amp;IF(VALUE(RIGHT($A164,2))&lt;=6,1,2)))),TabelaNPS[Curso],$A$21),SUMIFS(TabelaNPS[Promotores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D164" s="291">
        <f>IF(OR($K$4="(todos)",$K$4=$A$21),IF($A$21="","",IF($B$4="Mensal",IF(COUNTIFS(TabelaNPS[Período],$A164,TabelaNPS[Curso],$A$21)&gt;0,SUMIFS(TabelaNPS[Detratores (0-6)],TabelaNPS[Período],$A164,TabelaNPS[Curso],$A$21),SUMIFS(TabelaNPS[Detratores (0-6)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Detratores (0-6)],TabelaNPS[Período],(IF($A164="","",IF(ISNUMBER(SEARCH("-SEM",$A164)),$A164,LEFT($A164,4)&amp;"-SEM"&amp;IF(VALUE(RIGHT($A164,2))&lt;=6,1,2)))),TabelaNPS[Curso],$A$21),SUMIFS(TabelaNPS[Detratores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E164" s="291">
        <f>IF(OR($K$4="(todos)",$K$4=$A$22),IF($A$22="","",IF($B$4="Mensal",IF(COUNTIFS(TabelaNPS[Período],$A164,TabelaNPS[Curso],$A$22)&gt;0,SUMIFS(TabelaNPS[Respondentes],TabelaNPS[Período],$A164,TabelaNPS[Curso],$A$22),SUMIFS(TabelaNPS[Respondentes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Respondentes],TabelaNPS[Período],(IF($A164="","",IF(ISNUMBER(SEARCH("-SEM",$A164)),$A164,LEFT($A164,4)&amp;"-SEM"&amp;IF(VALUE(RIGHT($A164,2))&lt;=6,1,2)))),TabelaNPS[Curso],$A$22)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F164" s="291">
        <f>IF(OR($K$4="(todos)",$K$4=$A$22),IF($A$22="","",IF($B$4="Mensal",IF(COUNTIFS(TabelaNPS[Período],$A164,TabelaNPS[Curso],$A$22)&gt;0,SUMIFS(TabelaNPS[Promotores (9-10)],TabelaNPS[Período],$A164,TabelaNPS[Curso],$A$22),SUMIFS(TabelaNPS[Promotores (9-10)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Promotores (9-10)],TabelaNPS[Período],(IF($A164="","",IF(ISNUMBER(SEARCH("-SEM",$A164)),$A164,LEFT($A164,4)&amp;"-SEM"&amp;IF(VALUE(RIGHT($A164,2))&lt;=6,1,2)))),TabelaNPS[Curso],$A$22),SUMIFS(TabelaNPS[Promotores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G164" s="291">
        <f>IF(OR($K$4="(todos)",$K$4=$A$22),IF($A$22="","",IF($B$4="Mensal",IF(COUNTIFS(TabelaNPS[Período],$A164,TabelaNPS[Curso],$A$22)&gt;0,SUMIFS(TabelaNPS[Detratores (0-6)],TabelaNPS[Período],$A164,TabelaNPS[Curso],$A$22),SUMIFS(TabelaNPS[Detratores (0-6)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Detratores (0-6)],TabelaNPS[Período],(IF($A164="","",IF(ISNUMBER(SEARCH("-SEM",$A164)),$A164,LEFT($A164,4)&amp;"-SEM"&amp;IF(VALUE(RIGHT($A164,2))&lt;=6,1,2)))),TabelaNPS[Curso],$A$22),SUMIFS(TabelaNPS[Detratores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H164" s="291">
        <f>IF(OR($K$4="(todos)",$K$4=$A$23),IF($A$23="","",IF($B$4="Mensal",IF(COUNTIFS(TabelaNPS[Período],$A164,TabelaNPS[Curso],$A$23)&gt;0,SUMIFS(TabelaNPS[Respondentes],TabelaNPS[Período],$A164,TabelaNPS[Curso],$A$23),SUMIFS(TabelaNPS[Respondentes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Respondentes],TabelaNPS[Período],(IF($A164="","",IF(ISNUMBER(SEARCH("-SEM",$A164)),$A164,LEFT($A164,4)&amp;"-SEM"&amp;IF(VALUE(RIGHT($A164,2))&lt;=6,1,2)))),TabelaNPS[Curso],$A$23)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I164" s="291">
        <f>IF(OR($K$4="(todos)",$K$4=$A$23),IF($A$23="","",IF($B$4="Mensal",IF(COUNTIFS(TabelaNPS[Período],$A164,TabelaNPS[Curso],$A$23)&gt;0,SUMIFS(TabelaNPS[Promotores (9-10)],TabelaNPS[Período],$A164,TabelaNPS[Curso],$A$23),SUMIFS(TabelaNPS[Promotores (9-10)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Promotores (9-10)],TabelaNPS[Período],(IF($A164="","",IF(ISNUMBER(SEARCH("-SEM",$A164)),$A164,LEFT($A164,4)&amp;"-SEM"&amp;IF(VALUE(RIGHT($A164,2))&lt;=6,1,2)))),TabelaNPS[Curso],$A$23),SUMIFS(TabelaNPS[Promotores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J164" s="291">
        <f>IF(OR($K$4="(todos)",$K$4=$A$23),IF($A$23="","",IF($B$4="Mensal",IF(COUNTIFS(TabelaNPS[Período],$A164,TabelaNPS[Curso],$A$23)&gt;0,SUMIFS(TabelaNPS[Detratores (0-6)],TabelaNPS[Período],$A164,TabelaNPS[Curso],$A$23),SUMIFS(TabelaNPS[Detratores (0-6)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Detratores (0-6)],TabelaNPS[Período],(IF($A164="","",IF(ISNUMBER(SEARCH("-SEM",$A164)),$A164,LEFT($A164,4)&amp;"-SEM"&amp;IF(VALUE(RIGHT($A164,2))&lt;=6,1,2)))),TabelaNPS[Curso],$A$23),SUMIFS(TabelaNPS[Detratores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K164" s="291">
        <f>IF(OR($K$4="(todos)",$K$4=$A$24),IF($A$24="","",IF($B$4="Mensal",IF(COUNTIFS(TabelaNPS[Período],$A164,TabelaNPS[Curso],$A$24)&gt;0,SUMIFS(TabelaNPS[Respondentes],TabelaNPS[Período],$A164,TabelaNPS[Curso],$A$24),SUMIFS(TabelaNPS[Respondentes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Respondentes],TabelaNPS[Período],(IF($A164="","",IF(ISNUMBER(SEARCH("-SEM",$A164)),$A164,LEFT($A164,4)&amp;"-SEM"&amp;IF(VALUE(RIGHT($A164,2))&lt;=6,1,2)))),TabelaNPS[Curso],$A$24)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  <c r="AL164" s="291">
        <f>IF(OR($K$4="(todos)",$K$4=$A$24),IF($A$24="","",IF($B$4="Mensal",IF(COUNTIFS(TabelaNPS[Período],$A164,TabelaNPS[Curso],$A$24)&gt;0,SUMIFS(TabelaNPS[Promotores (9-10)],TabelaNPS[Período],$A164,TabelaNPS[Curso],$A$24),SUMIFS(TabelaNPS[Promotores (9-10)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Promotores (9-10)],TabelaNPS[Período],(IF($A164="","",IF(ISNUMBER(SEARCH("-SEM",$A164)),$A164,LEFT($A164,4)&amp;"-SEM"&amp;IF(VALUE(RIGHT($A164,2))&lt;=6,1,2)))),TabelaNPS[Curso],$A$24),SUMIFS(TabelaNPS[Promotores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  <c r="AM164" s="291">
        <f>IF(OR($K$4="(todos)",$K$4=$A$24),IF($A$24="","",IF($B$4="Mensal",IF(COUNTIFS(TabelaNPS[Período],$A164,TabelaNPS[Curso],$A$24)&gt;0,SUMIFS(TabelaNPS[Detratores (0-6)],TabelaNPS[Período],$A164,TabelaNPS[Curso],$A$24),SUMIFS(TabelaNPS[Detratores (0-6)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Detratores (0-6)],TabelaNPS[Período],(IF($A164="","",IF(ISNUMBER(SEARCH("-SEM",$A164)),$A164,LEFT($A164,4)&amp;"-SEM"&amp;IF(VALUE(RIGHT($A164,2))&lt;=6,1,2)))),TabelaNPS[Curso],$A$24),SUMIFS(TabelaNPS[Detratores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  <c r="AN164" s="291">
        <f>IF(OR($K$4="(todos)",$K$4=$A$25),IF($A$25="","",IF($B$4="Mensal",IF(COUNTIFS(TabelaNPS[Período],$A164,TabelaNPS[Curso],$A$25)&gt;0,SUMIFS(TabelaNPS[Respondentes],TabelaNPS[Período],$A164,TabelaNPS[Curso],$A$25),SUMIFS(TabelaNPS[Respondentes],TabelaNPS[Período],(IF($A164="","",IF(ISNUMBER(SEARCH("-SEM",$A164)),$A164,LEFT($A164,4)&amp;"-SEM"&amp;IF(VALUE(RIGHT($A164,2))&lt;=6,1,2)))),TabelaNPS[Curso],$A$25)),IF(COUNTIFS(TabelaNPS[Período],(IF($A164="","",IF(ISNUMBER(SEARCH("-SEM",$A164)),$A164,LEFT($A164,4)&amp;"-SEM"&amp;IF(VALUE(RIGHT($A164,2))&lt;=6,1,2)))),TabelaNPS[Curso],$A$25)&gt;0,SUMIFS(TabelaNPS[Respondentes],TabelaNPS[Período],(IF($A164="","",IF(ISNUMBER(SEARCH("-SEM",$A164)),$A164,LEFT($A164,4)&amp;"-SEM"&amp;IF(VALUE(RIGHT($A164,2))&lt;=6,1,2)))),TabelaNPS[Curso],$A$25)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$25)))),0)</f>
        <v/>
      </c>
      <c r="AO164" s="291">
        <f>IF(OR($K$4="(todos)",$K$4=$A$25),IF($A$25="","",IF($B$4="Mensal",IF(COUNTIFS(TabelaNPS[Período],$A164,TabelaNPS[Curso],$A$25)&gt;0,SUMIFS(TabelaNPS[Promotores (9-10)],TabelaNPS[Período],$A164,TabelaNPS[Curso],$A$25),SUMIFS(TabelaNPS[Promotores (9-10)],TabelaNPS[Período],(IF($A164="","",IF(ISNUMBER(SEARCH("-SEM",$A164)),$A164,LEFT($A164,4)&amp;"-SEM"&amp;IF(VALUE(RIGHT($A164,2))&lt;=6,1,2)))),TabelaNPS[Curso],$A$25)),IF(COUNTIFS(TabelaNPS[Período],(IF($A164="","",IF(ISNUMBER(SEARCH("-SEM",$A164)),$A164,LEFT($A164,4)&amp;"-SEM"&amp;IF(VALUE(RIGHT($A164,2))&lt;=6,1,2)))),TabelaNPS[Curso],$A$25)&gt;0,SUMIFS(TabelaNPS[Promotores (9-10)],TabelaNPS[Período],(IF($A164="","",IF(ISNUMBER(SEARCH("-SEM",$A164)),$A164,LEFT($A164,4)&amp;"-SEM"&amp;IF(VALUE(RIGHT($A164,2))&lt;=6,1,2)))),TabelaNPS[Curso],$A$25),SUMIFS(TabelaNPS[Promotores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$25)))),0)</f>
        <v/>
      </c>
      <c r="AP164" s="291">
        <f>IF(OR($K$4="(todos)",$K$4=$A$25),IF($A$25="","",IF($B$4="Mensal",IF(COUNTIFS(TabelaNPS[Período],$A164,TabelaNPS[Curso],$A$25)&gt;0,SUMIFS(TabelaNPS[Detratores (0-6)],TabelaNPS[Período],$A164,TabelaNPS[Curso],$A$25),SUMIFS(TabelaNPS[Detratores (0-6)],TabelaNPS[Período],(IF($A164="","",IF(ISNUMBER(SEARCH("-SEM",$A164)),$A164,LEFT($A164,4)&amp;"-SEM"&amp;IF(VALUE(RIGHT($A164,2))&lt;=6,1,2)))),TabelaNPS[Curso],$A$25)),IF(COUNTIFS(TabelaNPS[Período],(IF($A164="","",IF(ISNUMBER(SEARCH("-SEM",$A164)),$A164,LEFT($A164,4)&amp;"-SEM"&amp;IF(VALUE(RIGHT($A164,2))&lt;=6,1,2)))),TabelaNPS[Curso],$A$25)&gt;0,SUMIFS(TabelaNPS[Detratores (0-6)],TabelaNPS[Período],(IF($A164="","",IF(ISNUMBER(SEARCH("-SEM",$A164)),$A164,LEFT($A164,4)&amp;"-SEM"&amp;IF(VALUE(RIGHT($A164,2))&lt;=6,1,2)))),TabelaNPS[Curso],$A$25),SUMIFS(TabelaNPS[Detratores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$25)))),0)</f>
        <v/>
      </c>
    </row>
    <row r="165" ht="15" customHeight="1" s="131">
      <c r="A165" s="340">
        <f>IF(A164="","",IF($B$4="Mensal",IF(MATCH(A164,LST_MESES,0)&gt;=MATCH(PARAMETROS!$E$9,LST_MESES,0),"",INDEX(LST_MESES,MATCH(A164,LST_MESES,0)+1)),IF(MATCH(A164,LST_SEMESTRES,0)&gt;=MATCH(PARAMETROS!$E$9,LST_SEMESTRES,0),"",INDEX(LST_SEMESTRES,MATCH(A164,LST_SEMESTRES,0)+1))))</f>
        <v/>
      </c>
      <c r="B165" s="359">
        <f>IF($A165="","",IFERROR((SUM(Q165,T165,W165,Z165,AC165,AF165,AI165,AL165,AO165)-SUM(R165,U165,X165,AA165,AD165,AG165,AJ165,AM165,AP165))/SUM(P165,S165,V165,Y165,AB165,AE165,AH165,AK165,AN165)*100,""))</f>
        <v/>
      </c>
      <c r="C165" s="348">
        <f>IFERROR(SUMPRODUCT(--(TabelaAvaliacaoDocente[Período]=(IF($A165="","",IF(ISNUMBER(SEARCH("-SEM",$A165)),$A165,LEFT($A165,4)&amp;"-SEM"&amp;IF(VALUE(RIGHT($A165,2)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165="","",IF(ISNUMBER(SEARCH("-SEM",$A165)),$A165,LEFT($A165,4)&amp;"-SEM"&amp;IF(VALUE(RIGHT($A165,2))&lt;=6,1,2))))),--((($K$4="(todos)")+(TabelaAvaliacaoDocente[Curso]=$K$4))&gt;0),--((($N$4="(todas)")+(TabelaAvaliacaoDocente[Disciplina]=$N$4))&gt;0),TabelaAvaliacaoDocente[Respondentes]),"")</f>
        <v/>
      </c>
      <c r="D165" s="349">
        <f>IF($A165="","",IFERROR((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/((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+(SUMIFS(TabelaResultadosAcademicos[Re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)*100,""))</f>
        <v/>
      </c>
      <c r="E165" s="348">
        <f>IFERROR((SUMIFS(TabelaResultadosAcademicos[Soma das nota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/(SUMIFS(TabelaResultadosAcademicos[Quantidade de nota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,"")</f>
        <v/>
      </c>
      <c r="F165" s="350">
        <f>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G165" s="350">
        <f>SUMIFS(TabelaResultadosAcademicos[Reprovados por nota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H165" s="350">
        <f>SUMIFS(TabelaResultadosAcademicos[Reprovados por falta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I165" s="346">
        <f>IF($A165="","",IFERROR(IF((SUMPRODUCT(MAX((METAS!$A$5:$A$404="DTNH-01")*(METAS!$B$5:$B$404=IF($K$4="(todos)","TOTAL",$K$4))*(METAS!$D$5:$D$404&lt;=(IF($A165="",0,IF(ISNUMBER(SEARCH("-SEM",$A165)),VALUE(LEFT($A165,4)&amp;IF(RIGHT($A165,1)="1","01","07")),VALUE(SUBSTITUTE($A165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165="",0,IF(ISNUMBER(SEARCH("-SEM",$A165)),VALUE(LEFT($A165,4)&amp;IF(RIGHT($A165,1)="1","01","07")),VALUE(SUBSTITUTE($A165,"-",""))))))*METAS!$D$5:$D$404))))*METAS!$E$5:$E$404),IF((SUMPRODUCT(MAX((METAS!$A$5:$A$404="DTNH-01")*(METAS!$B$5:$B$404="TOTAL")*(METAS!$D$5:$D$404&lt;=(IF($A165="",0,IF(ISNUMBER(SEARCH("-SEM",$A165)),VALUE(LEFT($A165,4)&amp;IF(RIGHT($A165,1)="1","01","07")),VALUE(SUBSTITUTE($A165,"-",""))))))*METAS!$D$5:$D$404)))&gt;0,SUMPRODUCT((METAS!$A$5:$A$404="DTNH-01")*(METAS!$B$5:$B$404="TOTAL")*(METAS!$D$5:$D$404=(SUMPRODUCT(MAX((METAS!$A$5:$A$404="DTNH-01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J165" s="351">
        <f>IF($A165="","",IFERROR(IF((SUMPRODUCT(MAX((METAS!$A$5:$A$404="DTNH-02")*(METAS!$B$5:$B$404=$N$6)*(METAS!$D$5:$D$404&lt;=(IF($A165="",0,IF(ISNUMBER(SEARCH("-SEM",$A165)),VALUE(LEFT($A165,4)&amp;IF(RIGHT($A165,1)="1","01","07")),VALUE(SUBSTITUTE($A165,"-",""))))))*METAS!$D$5:$D$404)))&gt;0,SUMPRODUCT((METAS!$A$5:$A$404="DTNH-02")*(METAS!$B$5:$B$404=$N$6)*(METAS!$D$5:$D$404=(SUMPRODUCT(MAX((METAS!$A$5:$A$404="DTNH-02")*(METAS!$B$5:$B$404=$N$6)*(METAS!$D$5:$D$404&lt;=(IF($A165="",0,IF(ISNUMBER(SEARCH("-SEM",$A165)),VALUE(LEFT($A165,4)&amp;IF(RIGHT($A165,1)="1","01","07")),VALUE(SUBSTITUTE($A165,"-",""))))))*METAS!$D$5:$D$404))))*METAS!$E$5:$E$404),IF((SUMPRODUCT(MAX((METAS!$A$5:$A$404="DTNH-02")*(METAS!$B$5:$B$404="TOTAL")*(METAS!$D$5:$D$404&lt;=(IF($A165="",0,IF(ISNUMBER(SEARCH("-SEM",$A165)),VALUE(LEFT($A165,4)&amp;IF(RIGHT($A165,1)="1","01","07")),VALUE(SUBSTITUTE($A165,"-",""))))))*METAS!$D$5:$D$404)))&gt;0,SUMPRODUCT((METAS!$A$5:$A$404="DTNH-02")*(METAS!$B$5:$B$404="TOTAL")*(METAS!$D$5:$D$404=(SUMPRODUCT(MAX((METAS!$A$5:$A$404="DTNH-02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K165" s="354">
        <f>IF($A165="","",IFERROR(IF((SUMPRODUCT(MAX((METAS!$A$5:$A$404="DTNH-03")*(METAS!$B$5:$B$404=$N$6)*(METAS!$D$5:$D$404&lt;=(IF($A165="",0,IF(ISNUMBER(SEARCH("-SEM",$A165)),VALUE(LEFT($A165,4)&amp;IF(RIGHT($A165,1)="1","01","07")),VALUE(SUBSTITUTE($A165,"-",""))))))*METAS!$D$5:$D$404)))&gt;0,SUMPRODUCT((METAS!$A$5:$A$404="DTNH-03")*(METAS!$B$5:$B$404=$N$6)*(METAS!$D$5:$D$404=(SUMPRODUCT(MAX((METAS!$A$5:$A$404="DTNH-03")*(METAS!$B$5:$B$404=$N$6)*(METAS!$D$5:$D$404&lt;=(IF($A165="",0,IF(ISNUMBER(SEARCH("-SEM",$A165)),VALUE(LEFT($A165,4)&amp;IF(RIGHT($A165,1)="1","01","07")),VALUE(SUBSTITUTE($A165,"-",""))))))*METAS!$D$5:$D$404))))*METAS!$E$5:$E$404),IF((SUMPRODUCT(MAX((METAS!$A$5:$A$404="DTNH-03")*(METAS!$B$5:$B$404="TOTAL")*(METAS!$D$5:$D$404&lt;=(IF($A165="",0,IF(ISNUMBER(SEARCH("-SEM",$A165)),VALUE(LEFT($A165,4)&amp;IF(RIGHT($A165,1)="1","01","07")),VALUE(SUBSTITUTE($A165,"-",""))))))*METAS!$D$5:$D$404)))&gt;0,SUMPRODUCT((METAS!$A$5:$A$404="DTNH-03")*(METAS!$B$5:$B$404="TOTAL")*(METAS!$D$5:$D$404=(SUMPRODUCT(MAX((METAS!$A$5:$A$404="DTNH-03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P165" s="291">
        <f>IF(OR($K$4="(todos)",$K$4=$A$17),IF($A$17="","",IF($B$4="Mensal",IF(COUNTIFS(TabelaNPS[Período],$A165,TabelaNPS[Curso],$A$17)&gt;0,SUMIFS(TabelaNPS[Respondentes],TabelaNPS[Período],$A165,TabelaNPS[Curso],$A$17),SUMIFS(TabelaNPS[Respondentes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Respondentes],TabelaNPS[Período],(IF($A165="","",IF(ISNUMBER(SEARCH("-SEM",$A165)),$A165,LEFT($A165,4)&amp;"-SEM"&amp;IF(VALUE(RIGHT($A165,2))&lt;=6,1,2)))),TabelaNPS[Curso],$A$17)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Q165" s="291">
        <f>IF(OR($K$4="(todos)",$K$4=$A$17),IF($A$17="","",IF($B$4="Mensal",IF(COUNTIFS(TabelaNPS[Período],$A165,TabelaNPS[Curso],$A$17)&gt;0,SUMIFS(TabelaNPS[Promotores (9-10)],TabelaNPS[Período],$A165,TabelaNPS[Curso],$A$17),SUMIFS(TabelaNPS[Promotores (9-10)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Promotores (9-10)],TabelaNPS[Período],(IF($A165="","",IF(ISNUMBER(SEARCH("-SEM",$A165)),$A165,LEFT($A165,4)&amp;"-SEM"&amp;IF(VALUE(RIGHT($A165,2))&lt;=6,1,2)))),TabelaNPS[Curso],$A$17),SUMIFS(TabelaNPS[Promotores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R165" s="291">
        <f>IF(OR($K$4="(todos)",$K$4=$A$17),IF($A$17="","",IF($B$4="Mensal",IF(COUNTIFS(TabelaNPS[Período],$A165,TabelaNPS[Curso],$A$17)&gt;0,SUMIFS(TabelaNPS[Detratores (0-6)],TabelaNPS[Período],$A165,TabelaNPS[Curso],$A$17),SUMIFS(TabelaNPS[Detratores (0-6)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Detratores (0-6)],TabelaNPS[Período],(IF($A165="","",IF(ISNUMBER(SEARCH("-SEM",$A165)),$A165,LEFT($A165,4)&amp;"-SEM"&amp;IF(VALUE(RIGHT($A165,2))&lt;=6,1,2)))),TabelaNPS[Curso],$A$17),SUMIFS(TabelaNPS[Detratores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S165" s="291">
        <f>IF(OR($K$4="(todos)",$K$4=$A$18),IF($A$18="","",IF($B$4="Mensal",IF(COUNTIFS(TabelaNPS[Período],$A165,TabelaNPS[Curso],$A$18)&gt;0,SUMIFS(TabelaNPS[Respondentes],TabelaNPS[Período],$A165,TabelaNPS[Curso],$A$18),SUMIFS(TabelaNPS[Respondentes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Respondentes],TabelaNPS[Período],(IF($A165="","",IF(ISNUMBER(SEARCH("-SEM",$A165)),$A165,LEFT($A165,4)&amp;"-SEM"&amp;IF(VALUE(RIGHT($A165,2))&lt;=6,1,2)))),TabelaNPS[Curso],$A$18)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T165" s="291">
        <f>IF(OR($K$4="(todos)",$K$4=$A$18),IF($A$18="","",IF($B$4="Mensal",IF(COUNTIFS(TabelaNPS[Período],$A165,TabelaNPS[Curso],$A$18)&gt;0,SUMIFS(TabelaNPS[Promotores (9-10)],TabelaNPS[Período],$A165,TabelaNPS[Curso],$A$18),SUMIFS(TabelaNPS[Promotores (9-10)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Promotores (9-10)],TabelaNPS[Período],(IF($A165="","",IF(ISNUMBER(SEARCH("-SEM",$A165)),$A165,LEFT($A165,4)&amp;"-SEM"&amp;IF(VALUE(RIGHT($A165,2))&lt;=6,1,2)))),TabelaNPS[Curso],$A$18),SUMIFS(TabelaNPS[Promotores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U165" s="291">
        <f>IF(OR($K$4="(todos)",$K$4=$A$18),IF($A$18="","",IF($B$4="Mensal",IF(COUNTIFS(TabelaNPS[Período],$A165,TabelaNPS[Curso],$A$18)&gt;0,SUMIFS(TabelaNPS[Detratores (0-6)],TabelaNPS[Período],$A165,TabelaNPS[Curso],$A$18),SUMIFS(TabelaNPS[Detratores (0-6)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Detratores (0-6)],TabelaNPS[Período],(IF($A165="","",IF(ISNUMBER(SEARCH("-SEM",$A165)),$A165,LEFT($A165,4)&amp;"-SEM"&amp;IF(VALUE(RIGHT($A165,2))&lt;=6,1,2)))),TabelaNPS[Curso],$A$18),SUMIFS(TabelaNPS[Detratores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V165" s="291">
        <f>IF(OR($K$4="(todos)",$K$4=$A$19),IF($A$19="","",IF($B$4="Mensal",IF(COUNTIFS(TabelaNPS[Período],$A165,TabelaNPS[Curso],$A$19)&gt;0,SUMIFS(TabelaNPS[Respondentes],TabelaNPS[Período],$A165,TabelaNPS[Curso],$A$19),SUMIFS(TabelaNPS[Respondentes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Respondentes],TabelaNPS[Período],(IF($A165="","",IF(ISNUMBER(SEARCH("-SEM",$A165)),$A165,LEFT($A165,4)&amp;"-SEM"&amp;IF(VALUE(RIGHT($A165,2))&lt;=6,1,2)))),TabelaNPS[Curso],$A$19)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W165" s="291">
        <f>IF(OR($K$4="(todos)",$K$4=$A$19),IF($A$19="","",IF($B$4="Mensal",IF(COUNTIFS(TabelaNPS[Período],$A165,TabelaNPS[Curso],$A$19)&gt;0,SUMIFS(TabelaNPS[Promotores (9-10)],TabelaNPS[Período],$A165,TabelaNPS[Curso],$A$19),SUMIFS(TabelaNPS[Promotores (9-10)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Promotores (9-10)],TabelaNPS[Período],(IF($A165="","",IF(ISNUMBER(SEARCH("-SEM",$A165)),$A165,LEFT($A165,4)&amp;"-SEM"&amp;IF(VALUE(RIGHT($A165,2))&lt;=6,1,2)))),TabelaNPS[Curso],$A$19),SUMIFS(TabelaNPS[Promotores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X165" s="291">
        <f>IF(OR($K$4="(todos)",$K$4=$A$19),IF($A$19="","",IF($B$4="Mensal",IF(COUNTIFS(TabelaNPS[Período],$A165,TabelaNPS[Curso],$A$19)&gt;0,SUMIFS(TabelaNPS[Detratores (0-6)],TabelaNPS[Período],$A165,TabelaNPS[Curso],$A$19),SUMIFS(TabelaNPS[Detratores (0-6)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Detratores (0-6)],TabelaNPS[Período],(IF($A165="","",IF(ISNUMBER(SEARCH("-SEM",$A165)),$A165,LEFT($A165,4)&amp;"-SEM"&amp;IF(VALUE(RIGHT($A165,2))&lt;=6,1,2)))),TabelaNPS[Curso],$A$19),SUMIFS(TabelaNPS[Detratores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Y165" s="291">
        <f>IF(OR($K$4="(todos)",$K$4=$A$20),IF($A$20="","",IF($B$4="Mensal",IF(COUNTIFS(TabelaNPS[Período],$A165,TabelaNPS[Curso],$A$20)&gt;0,SUMIFS(TabelaNPS[Respondentes],TabelaNPS[Período],$A165,TabelaNPS[Curso],$A$20),SUMIFS(TabelaNPS[Respondentes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Respondentes],TabelaNPS[Período],(IF($A165="","",IF(ISNUMBER(SEARCH("-SEM",$A165)),$A165,LEFT($A165,4)&amp;"-SEM"&amp;IF(VALUE(RIGHT($A165,2))&lt;=6,1,2)))),TabelaNPS[Curso],$A$20)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Z165" s="291">
        <f>IF(OR($K$4="(todos)",$K$4=$A$20),IF($A$20="","",IF($B$4="Mensal",IF(COUNTIFS(TabelaNPS[Período],$A165,TabelaNPS[Curso],$A$20)&gt;0,SUMIFS(TabelaNPS[Promotores (9-10)],TabelaNPS[Período],$A165,TabelaNPS[Curso],$A$20),SUMIFS(TabelaNPS[Promotores (9-10)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Promotores (9-10)],TabelaNPS[Período],(IF($A165="","",IF(ISNUMBER(SEARCH("-SEM",$A165)),$A165,LEFT($A165,4)&amp;"-SEM"&amp;IF(VALUE(RIGHT($A165,2))&lt;=6,1,2)))),TabelaNPS[Curso],$A$20),SUMIFS(TabelaNPS[Promotores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AA165" s="291">
        <f>IF(OR($K$4="(todos)",$K$4=$A$20),IF($A$20="","",IF($B$4="Mensal",IF(COUNTIFS(TabelaNPS[Período],$A165,TabelaNPS[Curso],$A$20)&gt;0,SUMIFS(TabelaNPS[Detratores (0-6)],TabelaNPS[Período],$A165,TabelaNPS[Curso],$A$20),SUMIFS(TabelaNPS[Detratores (0-6)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Detratores (0-6)],TabelaNPS[Período],(IF($A165="","",IF(ISNUMBER(SEARCH("-SEM",$A165)),$A165,LEFT($A165,4)&amp;"-SEM"&amp;IF(VALUE(RIGHT($A165,2))&lt;=6,1,2)))),TabelaNPS[Curso],$A$20),SUMIFS(TabelaNPS[Detratores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AB165" s="291">
        <f>IF(OR($K$4="(todos)",$K$4=$A$21),IF($A$21="","",IF($B$4="Mensal",IF(COUNTIFS(TabelaNPS[Período],$A165,TabelaNPS[Curso],$A$21)&gt;0,SUMIFS(TabelaNPS[Respondentes],TabelaNPS[Período],$A165,TabelaNPS[Curso],$A$21),SUMIFS(TabelaNPS[Respondentes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Respondentes],TabelaNPS[Período],(IF($A165="","",IF(ISNUMBER(SEARCH("-SEM",$A165)),$A165,LEFT($A165,4)&amp;"-SEM"&amp;IF(VALUE(RIGHT($A165,2))&lt;=6,1,2)))),TabelaNPS[Curso],$A$21)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C165" s="291">
        <f>IF(OR($K$4="(todos)",$K$4=$A$21),IF($A$21="","",IF($B$4="Mensal",IF(COUNTIFS(TabelaNPS[Período],$A165,TabelaNPS[Curso],$A$21)&gt;0,SUMIFS(TabelaNPS[Promotores (9-10)],TabelaNPS[Período],$A165,TabelaNPS[Curso],$A$21),SUMIFS(TabelaNPS[Promotores (9-10)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Promotores (9-10)],TabelaNPS[Período],(IF($A165="","",IF(ISNUMBER(SEARCH("-SEM",$A165)),$A165,LEFT($A165,4)&amp;"-SEM"&amp;IF(VALUE(RIGHT($A165,2))&lt;=6,1,2)))),TabelaNPS[Curso],$A$21),SUMIFS(TabelaNPS[Promotores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D165" s="291">
        <f>IF(OR($K$4="(todos)",$K$4=$A$21),IF($A$21="","",IF($B$4="Mensal",IF(COUNTIFS(TabelaNPS[Período],$A165,TabelaNPS[Curso],$A$21)&gt;0,SUMIFS(TabelaNPS[Detratores (0-6)],TabelaNPS[Período],$A165,TabelaNPS[Curso],$A$21),SUMIFS(TabelaNPS[Detratores (0-6)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Detratores (0-6)],TabelaNPS[Período],(IF($A165="","",IF(ISNUMBER(SEARCH("-SEM",$A165)),$A165,LEFT($A165,4)&amp;"-SEM"&amp;IF(VALUE(RIGHT($A165,2))&lt;=6,1,2)))),TabelaNPS[Curso],$A$21),SUMIFS(TabelaNPS[Detratores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E165" s="291">
        <f>IF(OR($K$4="(todos)",$K$4=$A$22),IF($A$22="","",IF($B$4="Mensal",IF(COUNTIFS(TabelaNPS[Período],$A165,TabelaNPS[Curso],$A$22)&gt;0,SUMIFS(TabelaNPS[Respondentes],TabelaNPS[Período],$A165,TabelaNPS[Curso],$A$22),SUMIFS(TabelaNPS[Respondentes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Respondentes],TabelaNPS[Período],(IF($A165="","",IF(ISNUMBER(SEARCH("-SEM",$A165)),$A165,LEFT($A165,4)&amp;"-SEM"&amp;IF(VALUE(RIGHT($A165,2))&lt;=6,1,2)))),TabelaNPS[Curso],$A$22)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F165" s="291">
        <f>IF(OR($K$4="(todos)",$K$4=$A$22),IF($A$22="","",IF($B$4="Mensal",IF(COUNTIFS(TabelaNPS[Período],$A165,TabelaNPS[Curso],$A$22)&gt;0,SUMIFS(TabelaNPS[Promotores (9-10)],TabelaNPS[Período],$A165,TabelaNPS[Curso],$A$22),SUMIFS(TabelaNPS[Promotores (9-10)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Promotores (9-10)],TabelaNPS[Período],(IF($A165="","",IF(ISNUMBER(SEARCH("-SEM",$A165)),$A165,LEFT($A165,4)&amp;"-SEM"&amp;IF(VALUE(RIGHT($A165,2))&lt;=6,1,2)))),TabelaNPS[Curso],$A$22),SUMIFS(TabelaNPS[Promotores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G165" s="291">
        <f>IF(OR($K$4="(todos)",$K$4=$A$22),IF($A$22="","",IF($B$4="Mensal",IF(COUNTIFS(TabelaNPS[Período],$A165,TabelaNPS[Curso],$A$22)&gt;0,SUMIFS(TabelaNPS[Detratores (0-6)],TabelaNPS[Período],$A165,TabelaNPS[Curso],$A$22),SUMIFS(TabelaNPS[Detratores (0-6)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Detratores (0-6)],TabelaNPS[Período],(IF($A165="","",IF(ISNUMBER(SEARCH("-SEM",$A165)),$A165,LEFT($A165,4)&amp;"-SEM"&amp;IF(VALUE(RIGHT($A165,2))&lt;=6,1,2)))),TabelaNPS[Curso],$A$22),SUMIFS(TabelaNPS[Detratores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H165" s="291">
        <f>IF(OR($K$4="(todos)",$K$4=$A$23),IF($A$23="","",IF($B$4="Mensal",IF(COUNTIFS(TabelaNPS[Período],$A165,TabelaNPS[Curso],$A$23)&gt;0,SUMIFS(TabelaNPS[Respondentes],TabelaNPS[Período],$A165,TabelaNPS[Curso],$A$23),SUMIFS(TabelaNPS[Respondentes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Respondentes],TabelaNPS[Período],(IF($A165="","",IF(ISNUMBER(SEARCH("-SEM",$A165)),$A165,LEFT($A165,4)&amp;"-SEM"&amp;IF(VALUE(RIGHT($A165,2))&lt;=6,1,2)))),TabelaNPS[Curso],$A$23)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I165" s="291">
        <f>IF(OR($K$4="(todos)",$K$4=$A$23),IF($A$23="","",IF($B$4="Mensal",IF(COUNTIFS(TabelaNPS[Período],$A165,TabelaNPS[Curso],$A$23)&gt;0,SUMIFS(TabelaNPS[Promotores (9-10)],TabelaNPS[Período],$A165,TabelaNPS[Curso],$A$23),SUMIFS(TabelaNPS[Promotores (9-10)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Promotores (9-10)],TabelaNPS[Período],(IF($A165="","",IF(ISNUMBER(SEARCH("-SEM",$A165)),$A165,LEFT($A165,4)&amp;"-SEM"&amp;IF(VALUE(RIGHT($A165,2))&lt;=6,1,2)))),TabelaNPS[Curso],$A$23),SUMIFS(TabelaNPS[Promotores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J165" s="291">
        <f>IF(OR($K$4="(todos)",$K$4=$A$23),IF($A$23="","",IF($B$4="Mensal",IF(COUNTIFS(TabelaNPS[Período],$A165,TabelaNPS[Curso],$A$23)&gt;0,SUMIFS(TabelaNPS[Detratores (0-6)],TabelaNPS[Período],$A165,TabelaNPS[Curso],$A$23),SUMIFS(TabelaNPS[Detratores (0-6)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Detratores (0-6)],TabelaNPS[Período],(IF($A165="","",IF(ISNUMBER(SEARCH("-SEM",$A165)),$A165,LEFT($A165,4)&amp;"-SEM"&amp;IF(VALUE(RIGHT($A165,2))&lt;=6,1,2)))),TabelaNPS[Curso],$A$23),SUMIFS(TabelaNPS[Detratores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K165" s="291">
        <f>IF(OR($K$4="(todos)",$K$4=$A$24),IF($A$24="","",IF($B$4="Mensal",IF(COUNTIFS(TabelaNPS[Período],$A165,TabelaNPS[Curso],$A$24)&gt;0,SUMIFS(TabelaNPS[Respondentes],TabelaNPS[Período],$A165,TabelaNPS[Curso],$A$24),SUMIFS(TabelaNPS[Respondentes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Respondentes],TabelaNPS[Período],(IF($A165="","",IF(ISNUMBER(SEARCH("-SEM",$A165)),$A165,LEFT($A165,4)&amp;"-SEM"&amp;IF(VALUE(RIGHT($A165,2))&lt;=6,1,2)))),TabelaNPS[Curso],$A$24)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  <c r="AL165" s="291">
        <f>IF(OR($K$4="(todos)",$K$4=$A$24),IF($A$24="","",IF($B$4="Mensal",IF(COUNTIFS(TabelaNPS[Período],$A165,TabelaNPS[Curso],$A$24)&gt;0,SUMIFS(TabelaNPS[Promotores (9-10)],TabelaNPS[Período],$A165,TabelaNPS[Curso],$A$24),SUMIFS(TabelaNPS[Promotores (9-10)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Promotores (9-10)],TabelaNPS[Período],(IF($A165="","",IF(ISNUMBER(SEARCH("-SEM",$A165)),$A165,LEFT($A165,4)&amp;"-SEM"&amp;IF(VALUE(RIGHT($A165,2))&lt;=6,1,2)))),TabelaNPS[Curso],$A$24),SUMIFS(TabelaNPS[Promotores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  <c r="AM165" s="291">
        <f>IF(OR($K$4="(todos)",$K$4=$A$24),IF($A$24="","",IF($B$4="Mensal",IF(COUNTIFS(TabelaNPS[Período],$A165,TabelaNPS[Curso],$A$24)&gt;0,SUMIFS(TabelaNPS[Detratores (0-6)],TabelaNPS[Período],$A165,TabelaNPS[Curso],$A$24),SUMIFS(TabelaNPS[Detratores (0-6)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Detratores (0-6)],TabelaNPS[Período],(IF($A165="","",IF(ISNUMBER(SEARCH("-SEM",$A165)),$A165,LEFT($A165,4)&amp;"-SEM"&amp;IF(VALUE(RIGHT($A165,2))&lt;=6,1,2)))),TabelaNPS[Curso],$A$24),SUMIFS(TabelaNPS[Detratores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  <c r="AN165" s="291">
        <f>IF(OR($K$4="(todos)",$K$4=$A$25),IF($A$25="","",IF($B$4="Mensal",IF(COUNTIFS(TabelaNPS[Período],$A165,TabelaNPS[Curso],$A$25)&gt;0,SUMIFS(TabelaNPS[Respondentes],TabelaNPS[Período],$A165,TabelaNPS[Curso],$A$25),SUMIFS(TabelaNPS[Respondentes],TabelaNPS[Período],(IF($A165="","",IF(ISNUMBER(SEARCH("-SEM",$A165)),$A165,LEFT($A165,4)&amp;"-SEM"&amp;IF(VALUE(RIGHT($A165,2))&lt;=6,1,2)))),TabelaNPS[Curso],$A$25)),IF(COUNTIFS(TabelaNPS[Período],(IF($A165="","",IF(ISNUMBER(SEARCH("-SEM",$A165)),$A165,LEFT($A165,4)&amp;"-SEM"&amp;IF(VALUE(RIGHT($A165,2))&lt;=6,1,2)))),TabelaNPS[Curso],$A$25)&gt;0,SUMIFS(TabelaNPS[Respondentes],TabelaNPS[Período],(IF($A165="","",IF(ISNUMBER(SEARCH("-SEM",$A165)),$A165,LEFT($A165,4)&amp;"-SEM"&amp;IF(VALUE(RIGHT($A165,2))&lt;=6,1,2)))),TabelaNPS[Curso],$A$25)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$25)))),0)</f>
        <v/>
      </c>
      <c r="AO165" s="291">
        <f>IF(OR($K$4="(todos)",$K$4=$A$25),IF($A$25="","",IF($B$4="Mensal",IF(COUNTIFS(TabelaNPS[Período],$A165,TabelaNPS[Curso],$A$25)&gt;0,SUMIFS(TabelaNPS[Promotores (9-10)],TabelaNPS[Período],$A165,TabelaNPS[Curso],$A$25),SUMIFS(TabelaNPS[Promotores (9-10)],TabelaNPS[Período],(IF($A165="","",IF(ISNUMBER(SEARCH("-SEM",$A165)),$A165,LEFT($A165,4)&amp;"-SEM"&amp;IF(VALUE(RIGHT($A165,2))&lt;=6,1,2)))),TabelaNPS[Curso],$A$25)),IF(COUNTIFS(TabelaNPS[Período],(IF($A165="","",IF(ISNUMBER(SEARCH("-SEM",$A165)),$A165,LEFT($A165,4)&amp;"-SEM"&amp;IF(VALUE(RIGHT($A165,2))&lt;=6,1,2)))),TabelaNPS[Curso],$A$25)&gt;0,SUMIFS(TabelaNPS[Promotores (9-10)],TabelaNPS[Período],(IF($A165="","",IF(ISNUMBER(SEARCH("-SEM",$A165)),$A165,LEFT($A165,4)&amp;"-SEM"&amp;IF(VALUE(RIGHT($A165,2))&lt;=6,1,2)))),TabelaNPS[Curso],$A$25),SUMIFS(TabelaNPS[Promotores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$25)))),0)</f>
        <v/>
      </c>
      <c r="AP165" s="291">
        <f>IF(OR($K$4="(todos)",$K$4=$A$25),IF($A$25="","",IF($B$4="Mensal",IF(COUNTIFS(TabelaNPS[Período],$A165,TabelaNPS[Curso],$A$25)&gt;0,SUMIFS(TabelaNPS[Detratores (0-6)],TabelaNPS[Período],$A165,TabelaNPS[Curso],$A$25),SUMIFS(TabelaNPS[Detratores (0-6)],TabelaNPS[Período],(IF($A165="","",IF(ISNUMBER(SEARCH("-SEM",$A165)),$A165,LEFT($A165,4)&amp;"-SEM"&amp;IF(VALUE(RIGHT($A165,2))&lt;=6,1,2)))),TabelaNPS[Curso],$A$25)),IF(COUNTIFS(TabelaNPS[Período],(IF($A165="","",IF(ISNUMBER(SEARCH("-SEM",$A165)),$A165,LEFT($A165,4)&amp;"-SEM"&amp;IF(VALUE(RIGHT($A165,2))&lt;=6,1,2)))),TabelaNPS[Curso],$A$25)&gt;0,SUMIFS(TabelaNPS[Detratores (0-6)],TabelaNPS[Período],(IF($A165="","",IF(ISNUMBER(SEARCH("-SEM",$A165)),$A165,LEFT($A165,4)&amp;"-SEM"&amp;IF(VALUE(RIGHT($A165,2))&lt;=6,1,2)))),TabelaNPS[Curso],$A$25),SUMIFS(TabelaNPS[Detratores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$25)))),0)</f>
        <v/>
      </c>
    </row>
    <row r="166" ht="15" customHeight="1" s="131">
      <c r="A166" s="340">
        <f>IF(A165="","",IF($B$4="Mensal",IF(MATCH(A165,LST_MESES,0)&gt;=MATCH(PARAMETROS!$E$9,LST_MESES,0),"",INDEX(LST_MESES,MATCH(A165,LST_MESES,0)+1)),IF(MATCH(A165,LST_SEMESTRES,0)&gt;=MATCH(PARAMETROS!$E$9,LST_SEMESTRES,0),"",INDEX(LST_SEMESTRES,MATCH(A165,LST_SEMESTRES,0)+1))))</f>
        <v/>
      </c>
      <c r="B166" s="359">
        <f>IF($A166="","",IFERROR((SUM(Q166,T166,W166,Z166,AC166,AF166,AI166,AL166,AO166)-SUM(R166,U166,X166,AA166,AD166,AG166,AJ166,AM166,AP166))/SUM(P166,S166,V166,Y166,AB166,AE166,AH166,AK166,AN166)*100,""))</f>
        <v/>
      </c>
      <c r="C166" s="348">
        <f>IFERROR(SUMPRODUCT(--(TabelaAvaliacaoDocente[Período]=(IF($A166="","",IF(ISNUMBER(SEARCH("-SEM",$A166)),$A166,LEFT($A166,4)&amp;"-SEM"&amp;IF(VALUE(RIGHT($A166,2)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166="","",IF(ISNUMBER(SEARCH("-SEM",$A166)),$A166,LEFT($A166,4)&amp;"-SEM"&amp;IF(VALUE(RIGHT($A166,2))&lt;=6,1,2))))),--((($K$4="(todos)")+(TabelaAvaliacaoDocente[Curso]=$K$4))&gt;0),--((($N$4="(todas)")+(TabelaAvaliacaoDocente[Disciplina]=$N$4))&gt;0),TabelaAvaliacaoDocente[Respondentes]),"")</f>
        <v/>
      </c>
      <c r="D166" s="349">
        <f>IF($A166="","",IFERROR((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/((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+(SUMIFS(TabelaResultadosAcademicos[Re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)*100,""))</f>
        <v/>
      </c>
      <c r="E166" s="348">
        <f>IFERROR((SUMIFS(TabelaResultadosAcademicos[Soma das nota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/(SUMIFS(TabelaResultadosAcademicos[Quantidade de nota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,"")</f>
        <v/>
      </c>
      <c r="F166" s="350">
        <f>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G166" s="350">
        <f>SUMIFS(TabelaResultadosAcademicos[Reprovados por nota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H166" s="350">
        <f>SUMIFS(TabelaResultadosAcademicos[Reprovados por falta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I166" s="346">
        <f>IF($A166="","",IFERROR(IF((SUMPRODUCT(MAX((METAS!$A$5:$A$404="DTNH-01")*(METAS!$B$5:$B$404=IF($K$4="(todos)","TOTAL",$K$4))*(METAS!$D$5:$D$404&lt;=(IF($A166="",0,IF(ISNUMBER(SEARCH("-SEM",$A166)),VALUE(LEFT($A166,4)&amp;IF(RIGHT($A166,1)="1","01","07")),VALUE(SUBSTITUTE($A166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166="",0,IF(ISNUMBER(SEARCH("-SEM",$A166)),VALUE(LEFT($A166,4)&amp;IF(RIGHT($A166,1)="1","01","07")),VALUE(SUBSTITUTE($A166,"-",""))))))*METAS!$D$5:$D$404))))*METAS!$E$5:$E$404),IF((SUMPRODUCT(MAX((METAS!$A$5:$A$404="DTNH-01")*(METAS!$B$5:$B$404="TOTAL")*(METAS!$D$5:$D$404&lt;=(IF($A166="",0,IF(ISNUMBER(SEARCH("-SEM",$A166)),VALUE(LEFT($A166,4)&amp;IF(RIGHT($A166,1)="1","01","07")),VALUE(SUBSTITUTE($A166,"-",""))))))*METAS!$D$5:$D$404)))&gt;0,SUMPRODUCT((METAS!$A$5:$A$404="DTNH-01")*(METAS!$B$5:$B$404="TOTAL")*(METAS!$D$5:$D$404=(SUMPRODUCT(MAX((METAS!$A$5:$A$404="DTNH-01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J166" s="351">
        <f>IF($A166="","",IFERROR(IF((SUMPRODUCT(MAX((METAS!$A$5:$A$404="DTNH-02")*(METAS!$B$5:$B$404=$N$6)*(METAS!$D$5:$D$404&lt;=(IF($A166="",0,IF(ISNUMBER(SEARCH("-SEM",$A166)),VALUE(LEFT($A166,4)&amp;IF(RIGHT($A166,1)="1","01","07")),VALUE(SUBSTITUTE($A166,"-",""))))))*METAS!$D$5:$D$404)))&gt;0,SUMPRODUCT((METAS!$A$5:$A$404="DTNH-02")*(METAS!$B$5:$B$404=$N$6)*(METAS!$D$5:$D$404=(SUMPRODUCT(MAX((METAS!$A$5:$A$404="DTNH-02")*(METAS!$B$5:$B$404=$N$6)*(METAS!$D$5:$D$404&lt;=(IF($A166="",0,IF(ISNUMBER(SEARCH("-SEM",$A166)),VALUE(LEFT($A166,4)&amp;IF(RIGHT($A166,1)="1","01","07")),VALUE(SUBSTITUTE($A166,"-",""))))))*METAS!$D$5:$D$404))))*METAS!$E$5:$E$404),IF((SUMPRODUCT(MAX((METAS!$A$5:$A$404="DTNH-02")*(METAS!$B$5:$B$404="TOTAL")*(METAS!$D$5:$D$404&lt;=(IF($A166="",0,IF(ISNUMBER(SEARCH("-SEM",$A166)),VALUE(LEFT($A166,4)&amp;IF(RIGHT($A166,1)="1","01","07")),VALUE(SUBSTITUTE($A166,"-",""))))))*METAS!$D$5:$D$404)))&gt;0,SUMPRODUCT((METAS!$A$5:$A$404="DTNH-02")*(METAS!$B$5:$B$404="TOTAL")*(METAS!$D$5:$D$404=(SUMPRODUCT(MAX((METAS!$A$5:$A$404="DTNH-02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K166" s="354">
        <f>IF($A166="","",IFERROR(IF((SUMPRODUCT(MAX((METAS!$A$5:$A$404="DTNH-03")*(METAS!$B$5:$B$404=$N$6)*(METAS!$D$5:$D$404&lt;=(IF($A166="",0,IF(ISNUMBER(SEARCH("-SEM",$A166)),VALUE(LEFT($A166,4)&amp;IF(RIGHT($A166,1)="1","01","07")),VALUE(SUBSTITUTE($A166,"-",""))))))*METAS!$D$5:$D$404)))&gt;0,SUMPRODUCT((METAS!$A$5:$A$404="DTNH-03")*(METAS!$B$5:$B$404=$N$6)*(METAS!$D$5:$D$404=(SUMPRODUCT(MAX((METAS!$A$5:$A$404="DTNH-03")*(METAS!$B$5:$B$404=$N$6)*(METAS!$D$5:$D$404&lt;=(IF($A166="",0,IF(ISNUMBER(SEARCH("-SEM",$A166)),VALUE(LEFT($A166,4)&amp;IF(RIGHT($A166,1)="1","01","07")),VALUE(SUBSTITUTE($A166,"-",""))))))*METAS!$D$5:$D$404))))*METAS!$E$5:$E$404),IF((SUMPRODUCT(MAX((METAS!$A$5:$A$404="DTNH-03")*(METAS!$B$5:$B$404="TOTAL")*(METAS!$D$5:$D$404&lt;=(IF($A166="",0,IF(ISNUMBER(SEARCH("-SEM",$A166)),VALUE(LEFT($A166,4)&amp;IF(RIGHT($A166,1)="1","01","07")),VALUE(SUBSTITUTE($A166,"-",""))))))*METAS!$D$5:$D$404)))&gt;0,SUMPRODUCT((METAS!$A$5:$A$404="DTNH-03")*(METAS!$B$5:$B$404="TOTAL")*(METAS!$D$5:$D$404=(SUMPRODUCT(MAX((METAS!$A$5:$A$404="DTNH-03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P166" s="291">
        <f>IF(OR($K$4="(todos)",$K$4=$A$17),IF($A$17="","",IF($B$4="Mensal",IF(COUNTIFS(TabelaNPS[Período],$A166,TabelaNPS[Curso],$A$17)&gt;0,SUMIFS(TabelaNPS[Respondentes],TabelaNPS[Período],$A166,TabelaNPS[Curso],$A$17),SUMIFS(TabelaNPS[Respondentes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Respondentes],TabelaNPS[Período],(IF($A166="","",IF(ISNUMBER(SEARCH("-SEM",$A166)),$A166,LEFT($A166,4)&amp;"-SEM"&amp;IF(VALUE(RIGHT($A166,2))&lt;=6,1,2)))),TabelaNPS[Curso],$A$17)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Q166" s="291">
        <f>IF(OR($K$4="(todos)",$K$4=$A$17),IF($A$17="","",IF($B$4="Mensal",IF(COUNTIFS(TabelaNPS[Período],$A166,TabelaNPS[Curso],$A$17)&gt;0,SUMIFS(TabelaNPS[Promotores (9-10)],TabelaNPS[Período],$A166,TabelaNPS[Curso],$A$17),SUMIFS(TabelaNPS[Promotores (9-10)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Promotores (9-10)],TabelaNPS[Período],(IF($A166="","",IF(ISNUMBER(SEARCH("-SEM",$A166)),$A166,LEFT($A166,4)&amp;"-SEM"&amp;IF(VALUE(RIGHT($A166,2))&lt;=6,1,2)))),TabelaNPS[Curso],$A$17),SUMIFS(TabelaNPS[Promotores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R166" s="291">
        <f>IF(OR($K$4="(todos)",$K$4=$A$17),IF($A$17="","",IF($B$4="Mensal",IF(COUNTIFS(TabelaNPS[Período],$A166,TabelaNPS[Curso],$A$17)&gt;0,SUMIFS(TabelaNPS[Detratores (0-6)],TabelaNPS[Período],$A166,TabelaNPS[Curso],$A$17),SUMIFS(TabelaNPS[Detratores (0-6)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Detratores (0-6)],TabelaNPS[Período],(IF($A166="","",IF(ISNUMBER(SEARCH("-SEM",$A166)),$A166,LEFT($A166,4)&amp;"-SEM"&amp;IF(VALUE(RIGHT($A166,2))&lt;=6,1,2)))),TabelaNPS[Curso],$A$17),SUMIFS(TabelaNPS[Detratores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S166" s="291">
        <f>IF(OR($K$4="(todos)",$K$4=$A$18),IF($A$18="","",IF($B$4="Mensal",IF(COUNTIFS(TabelaNPS[Período],$A166,TabelaNPS[Curso],$A$18)&gt;0,SUMIFS(TabelaNPS[Respondentes],TabelaNPS[Período],$A166,TabelaNPS[Curso],$A$18),SUMIFS(TabelaNPS[Respondentes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Respondentes],TabelaNPS[Período],(IF($A166="","",IF(ISNUMBER(SEARCH("-SEM",$A166)),$A166,LEFT($A166,4)&amp;"-SEM"&amp;IF(VALUE(RIGHT($A166,2))&lt;=6,1,2)))),TabelaNPS[Curso],$A$18)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T166" s="291">
        <f>IF(OR($K$4="(todos)",$K$4=$A$18),IF($A$18="","",IF($B$4="Mensal",IF(COUNTIFS(TabelaNPS[Período],$A166,TabelaNPS[Curso],$A$18)&gt;0,SUMIFS(TabelaNPS[Promotores (9-10)],TabelaNPS[Período],$A166,TabelaNPS[Curso],$A$18),SUMIFS(TabelaNPS[Promotores (9-10)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Promotores (9-10)],TabelaNPS[Período],(IF($A166="","",IF(ISNUMBER(SEARCH("-SEM",$A166)),$A166,LEFT($A166,4)&amp;"-SEM"&amp;IF(VALUE(RIGHT($A166,2))&lt;=6,1,2)))),TabelaNPS[Curso],$A$18),SUMIFS(TabelaNPS[Promotores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U166" s="291">
        <f>IF(OR($K$4="(todos)",$K$4=$A$18),IF($A$18="","",IF($B$4="Mensal",IF(COUNTIFS(TabelaNPS[Período],$A166,TabelaNPS[Curso],$A$18)&gt;0,SUMIFS(TabelaNPS[Detratores (0-6)],TabelaNPS[Período],$A166,TabelaNPS[Curso],$A$18),SUMIFS(TabelaNPS[Detratores (0-6)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Detratores (0-6)],TabelaNPS[Período],(IF($A166="","",IF(ISNUMBER(SEARCH("-SEM",$A166)),$A166,LEFT($A166,4)&amp;"-SEM"&amp;IF(VALUE(RIGHT($A166,2))&lt;=6,1,2)))),TabelaNPS[Curso],$A$18),SUMIFS(TabelaNPS[Detratores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V166" s="291">
        <f>IF(OR($K$4="(todos)",$K$4=$A$19),IF($A$19="","",IF($B$4="Mensal",IF(COUNTIFS(TabelaNPS[Período],$A166,TabelaNPS[Curso],$A$19)&gt;0,SUMIFS(TabelaNPS[Respondentes],TabelaNPS[Período],$A166,TabelaNPS[Curso],$A$19),SUMIFS(TabelaNPS[Respondentes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Respondentes],TabelaNPS[Período],(IF($A166="","",IF(ISNUMBER(SEARCH("-SEM",$A166)),$A166,LEFT($A166,4)&amp;"-SEM"&amp;IF(VALUE(RIGHT($A166,2))&lt;=6,1,2)))),TabelaNPS[Curso],$A$19)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W166" s="291">
        <f>IF(OR($K$4="(todos)",$K$4=$A$19),IF($A$19="","",IF($B$4="Mensal",IF(COUNTIFS(TabelaNPS[Período],$A166,TabelaNPS[Curso],$A$19)&gt;0,SUMIFS(TabelaNPS[Promotores (9-10)],TabelaNPS[Período],$A166,TabelaNPS[Curso],$A$19),SUMIFS(TabelaNPS[Promotores (9-10)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Promotores (9-10)],TabelaNPS[Período],(IF($A166="","",IF(ISNUMBER(SEARCH("-SEM",$A166)),$A166,LEFT($A166,4)&amp;"-SEM"&amp;IF(VALUE(RIGHT($A166,2))&lt;=6,1,2)))),TabelaNPS[Curso],$A$19),SUMIFS(TabelaNPS[Promotores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X166" s="291">
        <f>IF(OR($K$4="(todos)",$K$4=$A$19),IF($A$19="","",IF($B$4="Mensal",IF(COUNTIFS(TabelaNPS[Período],$A166,TabelaNPS[Curso],$A$19)&gt;0,SUMIFS(TabelaNPS[Detratores (0-6)],TabelaNPS[Período],$A166,TabelaNPS[Curso],$A$19),SUMIFS(TabelaNPS[Detratores (0-6)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Detratores (0-6)],TabelaNPS[Período],(IF($A166="","",IF(ISNUMBER(SEARCH("-SEM",$A166)),$A166,LEFT($A166,4)&amp;"-SEM"&amp;IF(VALUE(RIGHT($A166,2))&lt;=6,1,2)))),TabelaNPS[Curso],$A$19),SUMIFS(TabelaNPS[Detratores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Y166" s="291">
        <f>IF(OR($K$4="(todos)",$K$4=$A$20),IF($A$20="","",IF($B$4="Mensal",IF(COUNTIFS(TabelaNPS[Período],$A166,TabelaNPS[Curso],$A$20)&gt;0,SUMIFS(TabelaNPS[Respondentes],TabelaNPS[Período],$A166,TabelaNPS[Curso],$A$20),SUMIFS(TabelaNPS[Respondentes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Respondentes],TabelaNPS[Período],(IF($A166="","",IF(ISNUMBER(SEARCH("-SEM",$A166)),$A166,LEFT($A166,4)&amp;"-SEM"&amp;IF(VALUE(RIGHT($A166,2))&lt;=6,1,2)))),TabelaNPS[Curso],$A$20)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Z166" s="291">
        <f>IF(OR($K$4="(todos)",$K$4=$A$20),IF($A$20="","",IF($B$4="Mensal",IF(COUNTIFS(TabelaNPS[Período],$A166,TabelaNPS[Curso],$A$20)&gt;0,SUMIFS(TabelaNPS[Promotores (9-10)],TabelaNPS[Período],$A166,TabelaNPS[Curso],$A$20),SUMIFS(TabelaNPS[Promotores (9-10)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Promotores (9-10)],TabelaNPS[Período],(IF($A166="","",IF(ISNUMBER(SEARCH("-SEM",$A166)),$A166,LEFT($A166,4)&amp;"-SEM"&amp;IF(VALUE(RIGHT($A166,2))&lt;=6,1,2)))),TabelaNPS[Curso],$A$20),SUMIFS(TabelaNPS[Promotores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AA166" s="291">
        <f>IF(OR($K$4="(todos)",$K$4=$A$20),IF($A$20="","",IF($B$4="Mensal",IF(COUNTIFS(TabelaNPS[Período],$A166,TabelaNPS[Curso],$A$20)&gt;0,SUMIFS(TabelaNPS[Detratores (0-6)],TabelaNPS[Período],$A166,TabelaNPS[Curso],$A$20),SUMIFS(TabelaNPS[Detratores (0-6)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Detratores (0-6)],TabelaNPS[Período],(IF($A166="","",IF(ISNUMBER(SEARCH("-SEM",$A166)),$A166,LEFT($A166,4)&amp;"-SEM"&amp;IF(VALUE(RIGHT($A166,2))&lt;=6,1,2)))),TabelaNPS[Curso],$A$20),SUMIFS(TabelaNPS[Detratores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AB166" s="291">
        <f>IF(OR($K$4="(todos)",$K$4=$A$21),IF($A$21="","",IF($B$4="Mensal",IF(COUNTIFS(TabelaNPS[Período],$A166,TabelaNPS[Curso],$A$21)&gt;0,SUMIFS(TabelaNPS[Respondentes],TabelaNPS[Período],$A166,TabelaNPS[Curso],$A$21),SUMIFS(TabelaNPS[Respondentes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Respondentes],TabelaNPS[Período],(IF($A166="","",IF(ISNUMBER(SEARCH("-SEM",$A166)),$A166,LEFT($A166,4)&amp;"-SEM"&amp;IF(VALUE(RIGHT($A166,2))&lt;=6,1,2)))),TabelaNPS[Curso],$A$21)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C166" s="291">
        <f>IF(OR($K$4="(todos)",$K$4=$A$21),IF($A$21="","",IF($B$4="Mensal",IF(COUNTIFS(TabelaNPS[Período],$A166,TabelaNPS[Curso],$A$21)&gt;0,SUMIFS(TabelaNPS[Promotores (9-10)],TabelaNPS[Período],$A166,TabelaNPS[Curso],$A$21),SUMIFS(TabelaNPS[Promotores (9-10)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Promotores (9-10)],TabelaNPS[Período],(IF($A166="","",IF(ISNUMBER(SEARCH("-SEM",$A166)),$A166,LEFT($A166,4)&amp;"-SEM"&amp;IF(VALUE(RIGHT($A166,2))&lt;=6,1,2)))),TabelaNPS[Curso],$A$21),SUMIFS(TabelaNPS[Promotores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D166" s="291">
        <f>IF(OR($K$4="(todos)",$K$4=$A$21),IF($A$21="","",IF($B$4="Mensal",IF(COUNTIFS(TabelaNPS[Período],$A166,TabelaNPS[Curso],$A$21)&gt;0,SUMIFS(TabelaNPS[Detratores (0-6)],TabelaNPS[Período],$A166,TabelaNPS[Curso],$A$21),SUMIFS(TabelaNPS[Detratores (0-6)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Detratores (0-6)],TabelaNPS[Período],(IF($A166="","",IF(ISNUMBER(SEARCH("-SEM",$A166)),$A166,LEFT($A166,4)&amp;"-SEM"&amp;IF(VALUE(RIGHT($A166,2))&lt;=6,1,2)))),TabelaNPS[Curso],$A$21),SUMIFS(TabelaNPS[Detratores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E166" s="291">
        <f>IF(OR($K$4="(todos)",$K$4=$A$22),IF($A$22="","",IF($B$4="Mensal",IF(COUNTIFS(TabelaNPS[Período],$A166,TabelaNPS[Curso],$A$22)&gt;0,SUMIFS(TabelaNPS[Respondentes],TabelaNPS[Período],$A166,TabelaNPS[Curso],$A$22),SUMIFS(TabelaNPS[Respondentes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Respondentes],TabelaNPS[Período],(IF($A166="","",IF(ISNUMBER(SEARCH("-SEM",$A166)),$A166,LEFT($A166,4)&amp;"-SEM"&amp;IF(VALUE(RIGHT($A166,2))&lt;=6,1,2)))),TabelaNPS[Curso],$A$22)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F166" s="291">
        <f>IF(OR($K$4="(todos)",$K$4=$A$22),IF($A$22="","",IF($B$4="Mensal",IF(COUNTIFS(TabelaNPS[Período],$A166,TabelaNPS[Curso],$A$22)&gt;0,SUMIFS(TabelaNPS[Promotores (9-10)],TabelaNPS[Período],$A166,TabelaNPS[Curso],$A$22),SUMIFS(TabelaNPS[Promotores (9-10)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Promotores (9-10)],TabelaNPS[Período],(IF($A166="","",IF(ISNUMBER(SEARCH("-SEM",$A166)),$A166,LEFT($A166,4)&amp;"-SEM"&amp;IF(VALUE(RIGHT($A166,2))&lt;=6,1,2)))),TabelaNPS[Curso],$A$22),SUMIFS(TabelaNPS[Promotores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G166" s="291">
        <f>IF(OR($K$4="(todos)",$K$4=$A$22),IF($A$22="","",IF($B$4="Mensal",IF(COUNTIFS(TabelaNPS[Período],$A166,TabelaNPS[Curso],$A$22)&gt;0,SUMIFS(TabelaNPS[Detratores (0-6)],TabelaNPS[Período],$A166,TabelaNPS[Curso],$A$22),SUMIFS(TabelaNPS[Detratores (0-6)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Detratores (0-6)],TabelaNPS[Período],(IF($A166="","",IF(ISNUMBER(SEARCH("-SEM",$A166)),$A166,LEFT($A166,4)&amp;"-SEM"&amp;IF(VALUE(RIGHT($A166,2))&lt;=6,1,2)))),TabelaNPS[Curso],$A$22),SUMIFS(TabelaNPS[Detratores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H166" s="291">
        <f>IF(OR($K$4="(todos)",$K$4=$A$23),IF($A$23="","",IF($B$4="Mensal",IF(COUNTIFS(TabelaNPS[Período],$A166,TabelaNPS[Curso],$A$23)&gt;0,SUMIFS(TabelaNPS[Respondentes],TabelaNPS[Período],$A166,TabelaNPS[Curso],$A$23),SUMIFS(TabelaNPS[Respondentes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Respondentes],TabelaNPS[Período],(IF($A166="","",IF(ISNUMBER(SEARCH("-SEM",$A166)),$A166,LEFT($A166,4)&amp;"-SEM"&amp;IF(VALUE(RIGHT($A166,2))&lt;=6,1,2)))),TabelaNPS[Curso],$A$23)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I166" s="291">
        <f>IF(OR($K$4="(todos)",$K$4=$A$23),IF($A$23="","",IF($B$4="Mensal",IF(COUNTIFS(TabelaNPS[Período],$A166,TabelaNPS[Curso],$A$23)&gt;0,SUMIFS(TabelaNPS[Promotores (9-10)],TabelaNPS[Período],$A166,TabelaNPS[Curso],$A$23),SUMIFS(TabelaNPS[Promotores (9-10)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Promotores (9-10)],TabelaNPS[Período],(IF($A166="","",IF(ISNUMBER(SEARCH("-SEM",$A166)),$A166,LEFT($A166,4)&amp;"-SEM"&amp;IF(VALUE(RIGHT($A166,2))&lt;=6,1,2)))),TabelaNPS[Curso],$A$23),SUMIFS(TabelaNPS[Promotores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J166" s="291">
        <f>IF(OR($K$4="(todos)",$K$4=$A$23),IF($A$23="","",IF($B$4="Mensal",IF(COUNTIFS(TabelaNPS[Período],$A166,TabelaNPS[Curso],$A$23)&gt;0,SUMIFS(TabelaNPS[Detratores (0-6)],TabelaNPS[Período],$A166,TabelaNPS[Curso],$A$23),SUMIFS(TabelaNPS[Detratores (0-6)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Detratores (0-6)],TabelaNPS[Período],(IF($A166="","",IF(ISNUMBER(SEARCH("-SEM",$A166)),$A166,LEFT($A166,4)&amp;"-SEM"&amp;IF(VALUE(RIGHT($A166,2))&lt;=6,1,2)))),TabelaNPS[Curso],$A$23),SUMIFS(TabelaNPS[Detratores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K166" s="291">
        <f>IF(OR($K$4="(todos)",$K$4=$A$24),IF($A$24="","",IF($B$4="Mensal",IF(COUNTIFS(TabelaNPS[Período],$A166,TabelaNPS[Curso],$A$24)&gt;0,SUMIFS(TabelaNPS[Respondentes],TabelaNPS[Período],$A166,TabelaNPS[Curso],$A$24),SUMIFS(TabelaNPS[Respondentes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Respondentes],TabelaNPS[Período],(IF($A166="","",IF(ISNUMBER(SEARCH("-SEM",$A166)),$A166,LEFT($A166,4)&amp;"-SEM"&amp;IF(VALUE(RIGHT($A166,2))&lt;=6,1,2)))),TabelaNPS[Curso],$A$24)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  <c r="AL166" s="291">
        <f>IF(OR($K$4="(todos)",$K$4=$A$24),IF($A$24="","",IF($B$4="Mensal",IF(COUNTIFS(TabelaNPS[Período],$A166,TabelaNPS[Curso],$A$24)&gt;0,SUMIFS(TabelaNPS[Promotores (9-10)],TabelaNPS[Período],$A166,TabelaNPS[Curso],$A$24),SUMIFS(TabelaNPS[Promotores (9-10)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Promotores (9-10)],TabelaNPS[Período],(IF($A166="","",IF(ISNUMBER(SEARCH("-SEM",$A166)),$A166,LEFT($A166,4)&amp;"-SEM"&amp;IF(VALUE(RIGHT($A166,2))&lt;=6,1,2)))),TabelaNPS[Curso],$A$24),SUMIFS(TabelaNPS[Promotores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  <c r="AM166" s="291">
        <f>IF(OR($K$4="(todos)",$K$4=$A$24),IF($A$24="","",IF($B$4="Mensal",IF(COUNTIFS(TabelaNPS[Período],$A166,TabelaNPS[Curso],$A$24)&gt;0,SUMIFS(TabelaNPS[Detratores (0-6)],TabelaNPS[Período],$A166,TabelaNPS[Curso],$A$24),SUMIFS(TabelaNPS[Detratores (0-6)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Detratores (0-6)],TabelaNPS[Período],(IF($A166="","",IF(ISNUMBER(SEARCH("-SEM",$A166)),$A166,LEFT($A166,4)&amp;"-SEM"&amp;IF(VALUE(RIGHT($A166,2))&lt;=6,1,2)))),TabelaNPS[Curso],$A$24),SUMIFS(TabelaNPS[Detratores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  <c r="AN166" s="291">
        <f>IF(OR($K$4="(todos)",$K$4=$A$25),IF($A$25="","",IF($B$4="Mensal",IF(COUNTIFS(TabelaNPS[Período],$A166,TabelaNPS[Curso],$A$25)&gt;0,SUMIFS(TabelaNPS[Respondentes],TabelaNPS[Período],$A166,TabelaNPS[Curso],$A$25),SUMIFS(TabelaNPS[Respondentes],TabelaNPS[Período],(IF($A166="","",IF(ISNUMBER(SEARCH("-SEM",$A166)),$A166,LEFT($A166,4)&amp;"-SEM"&amp;IF(VALUE(RIGHT($A166,2))&lt;=6,1,2)))),TabelaNPS[Curso],$A$25)),IF(COUNTIFS(TabelaNPS[Período],(IF($A166="","",IF(ISNUMBER(SEARCH("-SEM",$A166)),$A166,LEFT($A166,4)&amp;"-SEM"&amp;IF(VALUE(RIGHT($A166,2))&lt;=6,1,2)))),TabelaNPS[Curso],$A$25)&gt;0,SUMIFS(TabelaNPS[Respondentes],TabelaNPS[Período],(IF($A166="","",IF(ISNUMBER(SEARCH("-SEM",$A166)),$A166,LEFT($A166,4)&amp;"-SEM"&amp;IF(VALUE(RIGHT($A166,2))&lt;=6,1,2)))),TabelaNPS[Curso],$A$25)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$25)))),0)</f>
        <v/>
      </c>
      <c r="AO166" s="291">
        <f>IF(OR($K$4="(todos)",$K$4=$A$25),IF($A$25="","",IF($B$4="Mensal",IF(COUNTIFS(TabelaNPS[Período],$A166,TabelaNPS[Curso],$A$25)&gt;0,SUMIFS(TabelaNPS[Promotores (9-10)],TabelaNPS[Período],$A166,TabelaNPS[Curso],$A$25),SUMIFS(TabelaNPS[Promotores (9-10)],TabelaNPS[Período],(IF($A166="","",IF(ISNUMBER(SEARCH("-SEM",$A166)),$A166,LEFT($A166,4)&amp;"-SEM"&amp;IF(VALUE(RIGHT($A166,2))&lt;=6,1,2)))),TabelaNPS[Curso],$A$25)),IF(COUNTIFS(TabelaNPS[Período],(IF($A166="","",IF(ISNUMBER(SEARCH("-SEM",$A166)),$A166,LEFT($A166,4)&amp;"-SEM"&amp;IF(VALUE(RIGHT($A166,2))&lt;=6,1,2)))),TabelaNPS[Curso],$A$25)&gt;0,SUMIFS(TabelaNPS[Promotores (9-10)],TabelaNPS[Período],(IF($A166="","",IF(ISNUMBER(SEARCH("-SEM",$A166)),$A166,LEFT($A166,4)&amp;"-SEM"&amp;IF(VALUE(RIGHT($A166,2))&lt;=6,1,2)))),TabelaNPS[Curso],$A$25),SUMIFS(TabelaNPS[Promotores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$25)))),0)</f>
        <v/>
      </c>
      <c r="AP166" s="291">
        <f>IF(OR($K$4="(todos)",$K$4=$A$25),IF($A$25="","",IF($B$4="Mensal",IF(COUNTIFS(TabelaNPS[Período],$A166,TabelaNPS[Curso],$A$25)&gt;0,SUMIFS(TabelaNPS[Detratores (0-6)],TabelaNPS[Período],$A166,TabelaNPS[Curso],$A$25),SUMIFS(TabelaNPS[Detratores (0-6)],TabelaNPS[Período],(IF($A166="","",IF(ISNUMBER(SEARCH("-SEM",$A166)),$A166,LEFT($A166,4)&amp;"-SEM"&amp;IF(VALUE(RIGHT($A166,2))&lt;=6,1,2)))),TabelaNPS[Curso],$A$25)),IF(COUNTIFS(TabelaNPS[Período],(IF($A166="","",IF(ISNUMBER(SEARCH("-SEM",$A166)),$A166,LEFT($A166,4)&amp;"-SEM"&amp;IF(VALUE(RIGHT($A166,2))&lt;=6,1,2)))),TabelaNPS[Curso],$A$25)&gt;0,SUMIFS(TabelaNPS[Detratores (0-6)],TabelaNPS[Período],(IF($A166="","",IF(ISNUMBER(SEARCH("-SEM",$A166)),$A166,LEFT($A166,4)&amp;"-SEM"&amp;IF(VALUE(RIGHT($A166,2))&lt;=6,1,2)))),TabelaNPS[Curso],$A$25),SUMIFS(TabelaNPS[Detratores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$25)))),0)</f>
        <v/>
      </c>
    </row>
    <row r="167" ht="15" customHeight="1" s="131">
      <c r="A167" s="340">
        <f>IF(A166="","",IF($B$4="Mensal",IF(MATCH(A166,LST_MESES,0)&gt;=MATCH(PARAMETROS!$E$9,LST_MESES,0),"",INDEX(LST_MESES,MATCH(A166,LST_MESES,0)+1)),IF(MATCH(A166,LST_SEMESTRES,0)&gt;=MATCH(PARAMETROS!$E$9,LST_SEMESTRES,0),"",INDEX(LST_SEMESTRES,MATCH(A166,LST_SEMESTRES,0)+1))))</f>
        <v/>
      </c>
      <c r="B167" s="359">
        <f>IF($A167="","",IFERROR((SUM(Q167,T167,W167,Z167,AC167,AF167,AI167,AL167,AO167)-SUM(R167,U167,X167,AA167,AD167,AG167,AJ167,AM167,AP167))/SUM(P167,S167,V167,Y167,AB167,AE167,AH167,AK167,AN167)*100,""))</f>
        <v/>
      </c>
      <c r="C167" s="348">
        <f>IFERROR(SUMPRODUCT(--(TabelaAvaliacaoDocente[Período]=(IF($A167="","",IF(ISNUMBER(SEARCH("-SEM",$A167)),$A167,LEFT($A167,4)&amp;"-SEM"&amp;IF(VALUE(RIGHT($A167,2)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167="","",IF(ISNUMBER(SEARCH("-SEM",$A167)),$A167,LEFT($A167,4)&amp;"-SEM"&amp;IF(VALUE(RIGHT($A167,2))&lt;=6,1,2))))),--((($K$4="(todos)")+(TabelaAvaliacaoDocente[Curso]=$K$4))&gt;0),--((($N$4="(todas)")+(TabelaAvaliacaoDocente[Disciplina]=$N$4))&gt;0),TabelaAvaliacaoDocente[Respondentes]),"")</f>
        <v/>
      </c>
      <c r="D167" s="349">
        <f>IF($A167="","",IFERROR((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/((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+(SUMIFS(TabelaResultadosAcademicos[Re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)*100,""))</f>
        <v/>
      </c>
      <c r="E167" s="348">
        <f>IFERROR((SUMIFS(TabelaResultadosAcademicos[Soma das nota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/(SUMIFS(TabelaResultadosAcademicos[Quantidade de nota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,"")</f>
        <v/>
      </c>
      <c r="F167" s="350">
        <f>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G167" s="350">
        <f>SUMIFS(TabelaResultadosAcademicos[Reprovados por nota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H167" s="350">
        <f>SUMIFS(TabelaResultadosAcademicos[Reprovados por falta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I167" s="346">
        <f>IF($A167="","",IFERROR(IF((SUMPRODUCT(MAX((METAS!$A$5:$A$404="DTNH-01")*(METAS!$B$5:$B$404=IF($K$4="(todos)","TOTAL",$K$4))*(METAS!$D$5:$D$404&lt;=(IF($A167="",0,IF(ISNUMBER(SEARCH("-SEM",$A167)),VALUE(LEFT($A167,4)&amp;IF(RIGHT($A167,1)="1","01","07")),VALUE(SUBSTITUTE($A167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167="",0,IF(ISNUMBER(SEARCH("-SEM",$A167)),VALUE(LEFT($A167,4)&amp;IF(RIGHT($A167,1)="1","01","07")),VALUE(SUBSTITUTE($A167,"-",""))))))*METAS!$D$5:$D$404))))*METAS!$E$5:$E$404),IF((SUMPRODUCT(MAX((METAS!$A$5:$A$404="DTNH-01")*(METAS!$B$5:$B$404="TOTAL")*(METAS!$D$5:$D$404&lt;=(IF($A167="",0,IF(ISNUMBER(SEARCH("-SEM",$A167)),VALUE(LEFT($A167,4)&amp;IF(RIGHT($A167,1)="1","01","07")),VALUE(SUBSTITUTE($A167,"-",""))))))*METAS!$D$5:$D$404)))&gt;0,SUMPRODUCT((METAS!$A$5:$A$404="DTNH-01")*(METAS!$B$5:$B$404="TOTAL")*(METAS!$D$5:$D$404=(SUMPRODUCT(MAX((METAS!$A$5:$A$404="DTNH-01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J167" s="351">
        <f>IF($A167="","",IFERROR(IF((SUMPRODUCT(MAX((METAS!$A$5:$A$404="DTNH-02")*(METAS!$B$5:$B$404=$N$6)*(METAS!$D$5:$D$404&lt;=(IF($A167="",0,IF(ISNUMBER(SEARCH("-SEM",$A167)),VALUE(LEFT($A167,4)&amp;IF(RIGHT($A167,1)="1","01","07")),VALUE(SUBSTITUTE($A167,"-",""))))))*METAS!$D$5:$D$404)))&gt;0,SUMPRODUCT((METAS!$A$5:$A$404="DTNH-02")*(METAS!$B$5:$B$404=$N$6)*(METAS!$D$5:$D$404=(SUMPRODUCT(MAX((METAS!$A$5:$A$404="DTNH-02")*(METAS!$B$5:$B$404=$N$6)*(METAS!$D$5:$D$404&lt;=(IF($A167="",0,IF(ISNUMBER(SEARCH("-SEM",$A167)),VALUE(LEFT($A167,4)&amp;IF(RIGHT($A167,1)="1","01","07")),VALUE(SUBSTITUTE($A167,"-",""))))))*METAS!$D$5:$D$404))))*METAS!$E$5:$E$404),IF((SUMPRODUCT(MAX((METAS!$A$5:$A$404="DTNH-02")*(METAS!$B$5:$B$404="TOTAL")*(METAS!$D$5:$D$404&lt;=(IF($A167="",0,IF(ISNUMBER(SEARCH("-SEM",$A167)),VALUE(LEFT($A167,4)&amp;IF(RIGHT($A167,1)="1","01","07")),VALUE(SUBSTITUTE($A167,"-",""))))))*METAS!$D$5:$D$404)))&gt;0,SUMPRODUCT((METAS!$A$5:$A$404="DTNH-02")*(METAS!$B$5:$B$404="TOTAL")*(METAS!$D$5:$D$404=(SUMPRODUCT(MAX((METAS!$A$5:$A$404="DTNH-02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K167" s="354">
        <f>IF($A167="","",IFERROR(IF((SUMPRODUCT(MAX((METAS!$A$5:$A$404="DTNH-03")*(METAS!$B$5:$B$404=$N$6)*(METAS!$D$5:$D$404&lt;=(IF($A167="",0,IF(ISNUMBER(SEARCH("-SEM",$A167)),VALUE(LEFT($A167,4)&amp;IF(RIGHT($A167,1)="1","01","07")),VALUE(SUBSTITUTE($A167,"-",""))))))*METAS!$D$5:$D$404)))&gt;0,SUMPRODUCT((METAS!$A$5:$A$404="DTNH-03")*(METAS!$B$5:$B$404=$N$6)*(METAS!$D$5:$D$404=(SUMPRODUCT(MAX((METAS!$A$5:$A$404="DTNH-03")*(METAS!$B$5:$B$404=$N$6)*(METAS!$D$5:$D$404&lt;=(IF($A167="",0,IF(ISNUMBER(SEARCH("-SEM",$A167)),VALUE(LEFT($A167,4)&amp;IF(RIGHT($A167,1)="1","01","07")),VALUE(SUBSTITUTE($A167,"-",""))))))*METAS!$D$5:$D$404))))*METAS!$E$5:$E$404),IF((SUMPRODUCT(MAX((METAS!$A$5:$A$404="DTNH-03")*(METAS!$B$5:$B$404="TOTAL")*(METAS!$D$5:$D$404&lt;=(IF($A167="",0,IF(ISNUMBER(SEARCH("-SEM",$A167)),VALUE(LEFT($A167,4)&amp;IF(RIGHT($A167,1)="1","01","07")),VALUE(SUBSTITUTE($A167,"-",""))))))*METAS!$D$5:$D$404)))&gt;0,SUMPRODUCT((METAS!$A$5:$A$404="DTNH-03")*(METAS!$B$5:$B$404="TOTAL")*(METAS!$D$5:$D$404=(SUMPRODUCT(MAX((METAS!$A$5:$A$404="DTNH-03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P167" s="291">
        <f>IF(OR($K$4="(todos)",$K$4=$A$17),IF($A$17="","",IF($B$4="Mensal",IF(COUNTIFS(TabelaNPS[Período],$A167,TabelaNPS[Curso],$A$17)&gt;0,SUMIFS(TabelaNPS[Respondentes],TabelaNPS[Período],$A167,TabelaNPS[Curso],$A$17),SUMIFS(TabelaNPS[Respondentes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Respondentes],TabelaNPS[Período],(IF($A167="","",IF(ISNUMBER(SEARCH("-SEM",$A167)),$A167,LEFT($A167,4)&amp;"-SEM"&amp;IF(VALUE(RIGHT($A167,2))&lt;=6,1,2)))),TabelaNPS[Curso],$A$17)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Q167" s="291">
        <f>IF(OR($K$4="(todos)",$K$4=$A$17),IF($A$17="","",IF($B$4="Mensal",IF(COUNTIFS(TabelaNPS[Período],$A167,TabelaNPS[Curso],$A$17)&gt;0,SUMIFS(TabelaNPS[Promotores (9-10)],TabelaNPS[Período],$A167,TabelaNPS[Curso],$A$17),SUMIFS(TabelaNPS[Promotores (9-10)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Promotores (9-10)],TabelaNPS[Período],(IF($A167="","",IF(ISNUMBER(SEARCH("-SEM",$A167)),$A167,LEFT($A167,4)&amp;"-SEM"&amp;IF(VALUE(RIGHT($A167,2))&lt;=6,1,2)))),TabelaNPS[Curso],$A$17),SUMIFS(TabelaNPS[Promotores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R167" s="291">
        <f>IF(OR($K$4="(todos)",$K$4=$A$17),IF($A$17="","",IF($B$4="Mensal",IF(COUNTIFS(TabelaNPS[Período],$A167,TabelaNPS[Curso],$A$17)&gt;0,SUMIFS(TabelaNPS[Detratores (0-6)],TabelaNPS[Período],$A167,TabelaNPS[Curso],$A$17),SUMIFS(TabelaNPS[Detratores (0-6)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Detratores (0-6)],TabelaNPS[Período],(IF($A167="","",IF(ISNUMBER(SEARCH("-SEM",$A167)),$A167,LEFT($A167,4)&amp;"-SEM"&amp;IF(VALUE(RIGHT($A167,2))&lt;=6,1,2)))),TabelaNPS[Curso],$A$17),SUMIFS(TabelaNPS[Detratores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S167" s="291">
        <f>IF(OR($K$4="(todos)",$K$4=$A$18),IF($A$18="","",IF($B$4="Mensal",IF(COUNTIFS(TabelaNPS[Período],$A167,TabelaNPS[Curso],$A$18)&gt;0,SUMIFS(TabelaNPS[Respondentes],TabelaNPS[Período],$A167,TabelaNPS[Curso],$A$18),SUMIFS(TabelaNPS[Respondentes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Respondentes],TabelaNPS[Período],(IF($A167="","",IF(ISNUMBER(SEARCH("-SEM",$A167)),$A167,LEFT($A167,4)&amp;"-SEM"&amp;IF(VALUE(RIGHT($A167,2))&lt;=6,1,2)))),TabelaNPS[Curso],$A$18)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T167" s="291">
        <f>IF(OR($K$4="(todos)",$K$4=$A$18),IF($A$18="","",IF($B$4="Mensal",IF(COUNTIFS(TabelaNPS[Período],$A167,TabelaNPS[Curso],$A$18)&gt;0,SUMIFS(TabelaNPS[Promotores (9-10)],TabelaNPS[Período],$A167,TabelaNPS[Curso],$A$18),SUMIFS(TabelaNPS[Promotores (9-10)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Promotores (9-10)],TabelaNPS[Período],(IF($A167="","",IF(ISNUMBER(SEARCH("-SEM",$A167)),$A167,LEFT($A167,4)&amp;"-SEM"&amp;IF(VALUE(RIGHT($A167,2))&lt;=6,1,2)))),TabelaNPS[Curso],$A$18),SUMIFS(TabelaNPS[Promotores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U167" s="291">
        <f>IF(OR($K$4="(todos)",$K$4=$A$18),IF($A$18="","",IF($B$4="Mensal",IF(COUNTIFS(TabelaNPS[Período],$A167,TabelaNPS[Curso],$A$18)&gt;0,SUMIFS(TabelaNPS[Detratores (0-6)],TabelaNPS[Período],$A167,TabelaNPS[Curso],$A$18),SUMIFS(TabelaNPS[Detratores (0-6)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Detratores (0-6)],TabelaNPS[Período],(IF($A167="","",IF(ISNUMBER(SEARCH("-SEM",$A167)),$A167,LEFT($A167,4)&amp;"-SEM"&amp;IF(VALUE(RIGHT($A167,2))&lt;=6,1,2)))),TabelaNPS[Curso],$A$18),SUMIFS(TabelaNPS[Detratores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V167" s="291">
        <f>IF(OR($K$4="(todos)",$K$4=$A$19),IF($A$19="","",IF($B$4="Mensal",IF(COUNTIFS(TabelaNPS[Período],$A167,TabelaNPS[Curso],$A$19)&gt;0,SUMIFS(TabelaNPS[Respondentes],TabelaNPS[Período],$A167,TabelaNPS[Curso],$A$19),SUMIFS(TabelaNPS[Respondentes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Respondentes],TabelaNPS[Período],(IF($A167="","",IF(ISNUMBER(SEARCH("-SEM",$A167)),$A167,LEFT($A167,4)&amp;"-SEM"&amp;IF(VALUE(RIGHT($A167,2))&lt;=6,1,2)))),TabelaNPS[Curso],$A$19)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W167" s="291">
        <f>IF(OR($K$4="(todos)",$K$4=$A$19),IF($A$19="","",IF($B$4="Mensal",IF(COUNTIFS(TabelaNPS[Período],$A167,TabelaNPS[Curso],$A$19)&gt;0,SUMIFS(TabelaNPS[Promotores (9-10)],TabelaNPS[Período],$A167,TabelaNPS[Curso],$A$19),SUMIFS(TabelaNPS[Promotores (9-10)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Promotores (9-10)],TabelaNPS[Período],(IF($A167="","",IF(ISNUMBER(SEARCH("-SEM",$A167)),$A167,LEFT($A167,4)&amp;"-SEM"&amp;IF(VALUE(RIGHT($A167,2))&lt;=6,1,2)))),TabelaNPS[Curso],$A$19),SUMIFS(TabelaNPS[Promotores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X167" s="291">
        <f>IF(OR($K$4="(todos)",$K$4=$A$19),IF($A$19="","",IF($B$4="Mensal",IF(COUNTIFS(TabelaNPS[Período],$A167,TabelaNPS[Curso],$A$19)&gt;0,SUMIFS(TabelaNPS[Detratores (0-6)],TabelaNPS[Período],$A167,TabelaNPS[Curso],$A$19),SUMIFS(TabelaNPS[Detratores (0-6)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Detratores (0-6)],TabelaNPS[Período],(IF($A167="","",IF(ISNUMBER(SEARCH("-SEM",$A167)),$A167,LEFT($A167,4)&amp;"-SEM"&amp;IF(VALUE(RIGHT($A167,2))&lt;=6,1,2)))),TabelaNPS[Curso],$A$19),SUMIFS(TabelaNPS[Detratores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Y167" s="291">
        <f>IF(OR($K$4="(todos)",$K$4=$A$20),IF($A$20="","",IF($B$4="Mensal",IF(COUNTIFS(TabelaNPS[Período],$A167,TabelaNPS[Curso],$A$20)&gt;0,SUMIFS(TabelaNPS[Respondentes],TabelaNPS[Período],$A167,TabelaNPS[Curso],$A$20),SUMIFS(TabelaNPS[Respondentes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Respondentes],TabelaNPS[Período],(IF($A167="","",IF(ISNUMBER(SEARCH("-SEM",$A167)),$A167,LEFT($A167,4)&amp;"-SEM"&amp;IF(VALUE(RIGHT($A167,2))&lt;=6,1,2)))),TabelaNPS[Curso],$A$20)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Z167" s="291">
        <f>IF(OR($K$4="(todos)",$K$4=$A$20),IF($A$20="","",IF($B$4="Mensal",IF(COUNTIFS(TabelaNPS[Período],$A167,TabelaNPS[Curso],$A$20)&gt;0,SUMIFS(TabelaNPS[Promotores (9-10)],TabelaNPS[Período],$A167,TabelaNPS[Curso],$A$20),SUMIFS(TabelaNPS[Promotores (9-10)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Promotores (9-10)],TabelaNPS[Período],(IF($A167="","",IF(ISNUMBER(SEARCH("-SEM",$A167)),$A167,LEFT($A167,4)&amp;"-SEM"&amp;IF(VALUE(RIGHT($A167,2))&lt;=6,1,2)))),TabelaNPS[Curso],$A$20),SUMIFS(TabelaNPS[Promotores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AA167" s="291">
        <f>IF(OR($K$4="(todos)",$K$4=$A$20),IF($A$20="","",IF($B$4="Mensal",IF(COUNTIFS(TabelaNPS[Período],$A167,TabelaNPS[Curso],$A$20)&gt;0,SUMIFS(TabelaNPS[Detratores (0-6)],TabelaNPS[Período],$A167,TabelaNPS[Curso],$A$20),SUMIFS(TabelaNPS[Detratores (0-6)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Detratores (0-6)],TabelaNPS[Período],(IF($A167="","",IF(ISNUMBER(SEARCH("-SEM",$A167)),$A167,LEFT($A167,4)&amp;"-SEM"&amp;IF(VALUE(RIGHT($A167,2))&lt;=6,1,2)))),TabelaNPS[Curso],$A$20),SUMIFS(TabelaNPS[Detratores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AB167" s="291">
        <f>IF(OR($K$4="(todos)",$K$4=$A$21),IF($A$21="","",IF($B$4="Mensal",IF(COUNTIFS(TabelaNPS[Período],$A167,TabelaNPS[Curso],$A$21)&gt;0,SUMIFS(TabelaNPS[Respondentes],TabelaNPS[Período],$A167,TabelaNPS[Curso],$A$21),SUMIFS(TabelaNPS[Respondentes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Respondentes],TabelaNPS[Período],(IF($A167="","",IF(ISNUMBER(SEARCH("-SEM",$A167)),$A167,LEFT($A167,4)&amp;"-SEM"&amp;IF(VALUE(RIGHT($A167,2))&lt;=6,1,2)))),TabelaNPS[Curso],$A$21)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C167" s="291">
        <f>IF(OR($K$4="(todos)",$K$4=$A$21),IF($A$21="","",IF($B$4="Mensal",IF(COUNTIFS(TabelaNPS[Período],$A167,TabelaNPS[Curso],$A$21)&gt;0,SUMIFS(TabelaNPS[Promotores (9-10)],TabelaNPS[Período],$A167,TabelaNPS[Curso],$A$21),SUMIFS(TabelaNPS[Promotores (9-10)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Promotores (9-10)],TabelaNPS[Período],(IF($A167="","",IF(ISNUMBER(SEARCH("-SEM",$A167)),$A167,LEFT($A167,4)&amp;"-SEM"&amp;IF(VALUE(RIGHT($A167,2))&lt;=6,1,2)))),TabelaNPS[Curso],$A$21),SUMIFS(TabelaNPS[Promotores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D167" s="291">
        <f>IF(OR($K$4="(todos)",$K$4=$A$21),IF($A$21="","",IF($B$4="Mensal",IF(COUNTIFS(TabelaNPS[Período],$A167,TabelaNPS[Curso],$A$21)&gt;0,SUMIFS(TabelaNPS[Detratores (0-6)],TabelaNPS[Período],$A167,TabelaNPS[Curso],$A$21),SUMIFS(TabelaNPS[Detratores (0-6)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Detratores (0-6)],TabelaNPS[Período],(IF($A167="","",IF(ISNUMBER(SEARCH("-SEM",$A167)),$A167,LEFT($A167,4)&amp;"-SEM"&amp;IF(VALUE(RIGHT($A167,2))&lt;=6,1,2)))),TabelaNPS[Curso],$A$21),SUMIFS(TabelaNPS[Detratores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E167" s="291">
        <f>IF(OR($K$4="(todos)",$K$4=$A$22),IF($A$22="","",IF($B$4="Mensal",IF(COUNTIFS(TabelaNPS[Período],$A167,TabelaNPS[Curso],$A$22)&gt;0,SUMIFS(TabelaNPS[Respondentes],TabelaNPS[Período],$A167,TabelaNPS[Curso],$A$22),SUMIFS(TabelaNPS[Respondentes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Respondentes],TabelaNPS[Período],(IF($A167="","",IF(ISNUMBER(SEARCH("-SEM",$A167)),$A167,LEFT($A167,4)&amp;"-SEM"&amp;IF(VALUE(RIGHT($A167,2))&lt;=6,1,2)))),TabelaNPS[Curso],$A$22)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F167" s="291">
        <f>IF(OR($K$4="(todos)",$K$4=$A$22),IF($A$22="","",IF($B$4="Mensal",IF(COUNTIFS(TabelaNPS[Período],$A167,TabelaNPS[Curso],$A$22)&gt;0,SUMIFS(TabelaNPS[Promotores (9-10)],TabelaNPS[Período],$A167,TabelaNPS[Curso],$A$22),SUMIFS(TabelaNPS[Promotores (9-10)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Promotores (9-10)],TabelaNPS[Período],(IF($A167="","",IF(ISNUMBER(SEARCH("-SEM",$A167)),$A167,LEFT($A167,4)&amp;"-SEM"&amp;IF(VALUE(RIGHT($A167,2))&lt;=6,1,2)))),TabelaNPS[Curso],$A$22),SUMIFS(TabelaNPS[Promotores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G167" s="291">
        <f>IF(OR($K$4="(todos)",$K$4=$A$22),IF($A$22="","",IF($B$4="Mensal",IF(COUNTIFS(TabelaNPS[Período],$A167,TabelaNPS[Curso],$A$22)&gt;0,SUMIFS(TabelaNPS[Detratores (0-6)],TabelaNPS[Período],$A167,TabelaNPS[Curso],$A$22),SUMIFS(TabelaNPS[Detratores (0-6)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Detratores (0-6)],TabelaNPS[Período],(IF($A167="","",IF(ISNUMBER(SEARCH("-SEM",$A167)),$A167,LEFT($A167,4)&amp;"-SEM"&amp;IF(VALUE(RIGHT($A167,2))&lt;=6,1,2)))),TabelaNPS[Curso],$A$22),SUMIFS(TabelaNPS[Detratores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H167" s="291">
        <f>IF(OR($K$4="(todos)",$K$4=$A$23),IF($A$23="","",IF($B$4="Mensal",IF(COUNTIFS(TabelaNPS[Período],$A167,TabelaNPS[Curso],$A$23)&gt;0,SUMIFS(TabelaNPS[Respondentes],TabelaNPS[Período],$A167,TabelaNPS[Curso],$A$23),SUMIFS(TabelaNPS[Respondentes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Respondentes],TabelaNPS[Período],(IF($A167="","",IF(ISNUMBER(SEARCH("-SEM",$A167)),$A167,LEFT($A167,4)&amp;"-SEM"&amp;IF(VALUE(RIGHT($A167,2))&lt;=6,1,2)))),TabelaNPS[Curso],$A$23)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I167" s="291">
        <f>IF(OR($K$4="(todos)",$K$4=$A$23),IF($A$23="","",IF($B$4="Mensal",IF(COUNTIFS(TabelaNPS[Período],$A167,TabelaNPS[Curso],$A$23)&gt;0,SUMIFS(TabelaNPS[Promotores (9-10)],TabelaNPS[Período],$A167,TabelaNPS[Curso],$A$23),SUMIFS(TabelaNPS[Promotores (9-10)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Promotores (9-10)],TabelaNPS[Período],(IF($A167="","",IF(ISNUMBER(SEARCH("-SEM",$A167)),$A167,LEFT($A167,4)&amp;"-SEM"&amp;IF(VALUE(RIGHT($A167,2))&lt;=6,1,2)))),TabelaNPS[Curso],$A$23),SUMIFS(TabelaNPS[Promotores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J167" s="291">
        <f>IF(OR($K$4="(todos)",$K$4=$A$23),IF($A$23="","",IF($B$4="Mensal",IF(COUNTIFS(TabelaNPS[Período],$A167,TabelaNPS[Curso],$A$23)&gt;0,SUMIFS(TabelaNPS[Detratores (0-6)],TabelaNPS[Período],$A167,TabelaNPS[Curso],$A$23),SUMIFS(TabelaNPS[Detratores (0-6)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Detratores (0-6)],TabelaNPS[Período],(IF($A167="","",IF(ISNUMBER(SEARCH("-SEM",$A167)),$A167,LEFT($A167,4)&amp;"-SEM"&amp;IF(VALUE(RIGHT($A167,2))&lt;=6,1,2)))),TabelaNPS[Curso],$A$23),SUMIFS(TabelaNPS[Detratores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K167" s="291">
        <f>IF(OR($K$4="(todos)",$K$4=$A$24),IF($A$24="","",IF($B$4="Mensal",IF(COUNTIFS(TabelaNPS[Período],$A167,TabelaNPS[Curso],$A$24)&gt;0,SUMIFS(TabelaNPS[Respondentes],TabelaNPS[Período],$A167,TabelaNPS[Curso],$A$24),SUMIFS(TabelaNPS[Respondentes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Respondentes],TabelaNPS[Período],(IF($A167="","",IF(ISNUMBER(SEARCH("-SEM",$A167)),$A167,LEFT($A167,4)&amp;"-SEM"&amp;IF(VALUE(RIGHT($A167,2))&lt;=6,1,2)))),TabelaNPS[Curso],$A$24)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  <c r="AL167" s="291">
        <f>IF(OR($K$4="(todos)",$K$4=$A$24),IF($A$24="","",IF($B$4="Mensal",IF(COUNTIFS(TabelaNPS[Período],$A167,TabelaNPS[Curso],$A$24)&gt;0,SUMIFS(TabelaNPS[Promotores (9-10)],TabelaNPS[Período],$A167,TabelaNPS[Curso],$A$24),SUMIFS(TabelaNPS[Promotores (9-10)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Promotores (9-10)],TabelaNPS[Período],(IF($A167="","",IF(ISNUMBER(SEARCH("-SEM",$A167)),$A167,LEFT($A167,4)&amp;"-SEM"&amp;IF(VALUE(RIGHT($A167,2))&lt;=6,1,2)))),TabelaNPS[Curso],$A$24),SUMIFS(TabelaNPS[Promotores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  <c r="AM167" s="291">
        <f>IF(OR($K$4="(todos)",$K$4=$A$24),IF($A$24="","",IF($B$4="Mensal",IF(COUNTIFS(TabelaNPS[Período],$A167,TabelaNPS[Curso],$A$24)&gt;0,SUMIFS(TabelaNPS[Detratores (0-6)],TabelaNPS[Período],$A167,TabelaNPS[Curso],$A$24),SUMIFS(TabelaNPS[Detratores (0-6)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Detratores (0-6)],TabelaNPS[Período],(IF($A167="","",IF(ISNUMBER(SEARCH("-SEM",$A167)),$A167,LEFT($A167,4)&amp;"-SEM"&amp;IF(VALUE(RIGHT($A167,2))&lt;=6,1,2)))),TabelaNPS[Curso],$A$24),SUMIFS(TabelaNPS[Detratores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  <c r="AN167" s="291">
        <f>IF(OR($K$4="(todos)",$K$4=$A$25),IF($A$25="","",IF($B$4="Mensal",IF(COUNTIFS(TabelaNPS[Período],$A167,TabelaNPS[Curso],$A$25)&gt;0,SUMIFS(TabelaNPS[Respondentes],TabelaNPS[Período],$A167,TabelaNPS[Curso],$A$25),SUMIFS(TabelaNPS[Respondentes],TabelaNPS[Período],(IF($A167="","",IF(ISNUMBER(SEARCH("-SEM",$A167)),$A167,LEFT($A167,4)&amp;"-SEM"&amp;IF(VALUE(RIGHT($A167,2))&lt;=6,1,2)))),TabelaNPS[Curso],$A$25)),IF(COUNTIFS(TabelaNPS[Período],(IF($A167="","",IF(ISNUMBER(SEARCH("-SEM",$A167)),$A167,LEFT($A167,4)&amp;"-SEM"&amp;IF(VALUE(RIGHT($A167,2))&lt;=6,1,2)))),TabelaNPS[Curso],$A$25)&gt;0,SUMIFS(TabelaNPS[Respondentes],TabelaNPS[Período],(IF($A167="","",IF(ISNUMBER(SEARCH("-SEM",$A167)),$A167,LEFT($A167,4)&amp;"-SEM"&amp;IF(VALUE(RIGHT($A167,2))&lt;=6,1,2)))),TabelaNPS[Curso],$A$25)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$25)))),0)</f>
        <v/>
      </c>
      <c r="AO167" s="291">
        <f>IF(OR($K$4="(todos)",$K$4=$A$25),IF($A$25="","",IF($B$4="Mensal",IF(COUNTIFS(TabelaNPS[Período],$A167,TabelaNPS[Curso],$A$25)&gt;0,SUMIFS(TabelaNPS[Promotores (9-10)],TabelaNPS[Período],$A167,TabelaNPS[Curso],$A$25),SUMIFS(TabelaNPS[Promotores (9-10)],TabelaNPS[Período],(IF($A167="","",IF(ISNUMBER(SEARCH("-SEM",$A167)),$A167,LEFT($A167,4)&amp;"-SEM"&amp;IF(VALUE(RIGHT($A167,2))&lt;=6,1,2)))),TabelaNPS[Curso],$A$25)),IF(COUNTIFS(TabelaNPS[Período],(IF($A167="","",IF(ISNUMBER(SEARCH("-SEM",$A167)),$A167,LEFT($A167,4)&amp;"-SEM"&amp;IF(VALUE(RIGHT($A167,2))&lt;=6,1,2)))),TabelaNPS[Curso],$A$25)&gt;0,SUMIFS(TabelaNPS[Promotores (9-10)],TabelaNPS[Período],(IF($A167="","",IF(ISNUMBER(SEARCH("-SEM",$A167)),$A167,LEFT($A167,4)&amp;"-SEM"&amp;IF(VALUE(RIGHT($A167,2))&lt;=6,1,2)))),TabelaNPS[Curso],$A$25),SUMIFS(TabelaNPS[Promotores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$25)))),0)</f>
        <v/>
      </c>
      <c r="AP167" s="291">
        <f>IF(OR($K$4="(todos)",$K$4=$A$25),IF($A$25="","",IF($B$4="Mensal",IF(COUNTIFS(TabelaNPS[Período],$A167,TabelaNPS[Curso],$A$25)&gt;0,SUMIFS(TabelaNPS[Detratores (0-6)],TabelaNPS[Período],$A167,TabelaNPS[Curso],$A$25),SUMIFS(TabelaNPS[Detratores (0-6)],TabelaNPS[Período],(IF($A167="","",IF(ISNUMBER(SEARCH("-SEM",$A167)),$A167,LEFT($A167,4)&amp;"-SEM"&amp;IF(VALUE(RIGHT($A167,2))&lt;=6,1,2)))),TabelaNPS[Curso],$A$25)),IF(COUNTIFS(TabelaNPS[Período],(IF($A167="","",IF(ISNUMBER(SEARCH("-SEM",$A167)),$A167,LEFT($A167,4)&amp;"-SEM"&amp;IF(VALUE(RIGHT($A167,2))&lt;=6,1,2)))),TabelaNPS[Curso],$A$25)&gt;0,SUMIFS(TabelaNPS[Detratores (0-6)],TabelaNPS[Período],(IF($A167="","",IF(ISNUMBER(SEARCH("-SEM",$A167)),$A167,LEFT($A167,4)&amp;"-SEM"&amp;IF(VALUE(RIGHT($A167,2))&lt;=6,1,2)))),TabelaNPS[Curso],$A$25),SUMIFS(TabelaNPS[Detratores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$25)))),0)</f>
        <v/>
      </c>
    </row>
    <row r="168" ht="15" customHeight="1" s="131">
      <c r="A168" s="340">
        <f>IF(A167="","",IF($B$4="Mensal",IF(MATCH(A167,LST_MESES,0)&gt;=MATCH(PARAMETROS!$E$9,LST_MESES,0),"",INDEX(LST_MESES,MATCH(A167,LST_MESES,0)+1)),IF(MATCH(A167,LST_SEMESTRES,0)&gt;=MATCH(PARAMETROS!$E$9,LST_SEMESTRES,0),"",INDEX(LST_SEMESTRES,MATCH(A167,LST_SEMESTRES,0)+1))))</f>
        <v/>
      </c>
      <c r="B168" s="359">
        <f>IF($A168="","",IFERROR((SUM(Q168,T168,W168,Z168,AC168,AF168,AI168,AL168,AO168)-SUM(R168,U168,X168,AA168,AD168,AG168,AJ168,AM168,AP168))/SUM(P168,S168,V168,Y168,AB168,AE168,AH168,AK168,AN168)*100,""))</f>
        <v/>
      </c>
      <c r="C168" s="348">
        <f>IFERROR(SUMPRODUCT(--(TabelaAvaliacaoDocente[Período]=(IF($A168="","",IF(ISNUMBER(SEARCH("-SEM",$A168)),$A168,LEFT($A168,4)&amp;"-SEM"&amp;IF(VALUE(RIGHT($A168,2)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168="","",IF(ISNUMBER(SEARCH("-SEM",$A168)),$A168,LEFT($A168,4)&amp;"-SEM"&amp;IF(VALUE(RIGHT($A168,2))&lt;=6,1,2))))),--((($K$4="(todos)")+(TabelaAvaliacaoDocente[Curso]=$K$4))&gt;0),--((($N$4="(todas)")+(TabelaAvaliacaoDocente[Disciplina]=$N$4))&gt;0),TabelaAvaliacaoDocente[Respondentes]),"")</f>
        <v/>
      </c>
      <c r="D168" s="349">
        <f>IF($A168="","",IFERROR((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/((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+(SUMIFS(TabelaResultadosAcademicos[Re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)*100,""))</f>
        <v/>
      </c>
      <c r="E168" s="348">
        <f>IFERROR((SUMIFS(TabelaResultadosAcademicos[Soma das nota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/(SUMIFS(TabelaResultadosAcademicos[Quantidade de nota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,"")</f>
        <v/>
      </c>
      <c r="F168" s="350">
        <f>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G168" s="350">
        <f>SUMIFS(TabelaResultadosAcademicos[Reprovados por nota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H168" s="350">
        <f>SUMIFS(TabelaResultadosAcademicos[Reprovados por falta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I168" s="346">
        <f>IF($A168="","",IFERROR(IF((SUMPRODUCT(MAX((METAS!$A$5:$A$404="DTNH-01")*(METAS!$B$5:$B$404=IF($K$4="(todos)","TOTAL",$K$4))*(METAS!$D$5:$D$404&lt;=(IF($A168="",0,IF(ISNUMBER(SEARCH("-SEM",$A168)),VALUE(LEFT($A168,4)&amp;IF(RIGHT($A168,1)="1","01","07")),VALUE(SUBSTITUTE($A168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168="",0,IF(ISNUMBER(SEARCH("-SEM",$A168)),VALUE(LEFT($A168,4)&amp;IF(RIGHT($A168,1)="1","01","07")),VALUE(SUBSTITUTE($A168,"-",""))))))*METAS!$D$5:$D$404))))*METAS!$E$5:$E$404),IF((SUMPRODUCT(MAX((METAS!$A$5:$A$404="DTNH-01")*(METAS!$B$5:$B$404="TOTAL")*(METAS!$D$5:$D$404&lt;=(IF($A168="",0,IF(ISNUMBER(SEARCH("-SEM",$A168)),VALUE(LEFT($A168,4)&amp;IF(RIGHT($A168,1)="1","01","07")),VALUE(SUBSTITUTE($A168,"-",""))))))*METAS!$D$5:$D$404)))&gt;0,SUMPRODUCT((METAS!$A$5:$A$404="DTNH-01")*(METAS!$B$5:$B$404="TOTAL")*(METAS!$D$5:$D$404=(SUMPRODUCT(MAX((METAS!$A$5:$A$404="DTNH-01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J168" s="351">
        <f>IF($A168="","",IFERROR(IF((SUMPRODUCT(MAX((METAS!$A$5:$A$404="DTNH-02")*(METAS!$B$5:$B$404=$N$6)*(METAS!$D$5:$D$404&lt;=(IF($A168="",0,IF(ISNUMBER(SEARCH("-SEM",$A168)),VALUE(LEFT($A168,4)&amp;IF(RIGHT($A168,1)="1","01","07")),VALUE(SUBSTITUTE($A168,"-",""))))))*METAS!$D$5:$D$404)))&gt;0,SUMPRODUCT((METAS!$A$5:$A$404="DTNH-02")*(METAS!$B$5:$B$404=$N$6)*(METAS!$D$5:$D$404=(SUMPRODUCT(MAX((METAS!$A$5:$A$404="DTNH-02")*(METAS!$B$5:$B$404=$N$6)*(METAS!$D$5:$D$404&lt;=(IF($A168="",0,IF(ISNUMBER(SEARCH("-SEM",$A168)),VALUE(LEFT($A168,4)&amp;IF(RIGHT($A168,1)="1","01","07")),VALUE(SUBSTITUTE($A168,"-",""))))))*METAS!$D$5:$D$404))))*METAS!$E$5:$E$404),IF((SUMPRODUCT(MAX((METAS!$A$5:$A$404="DTNH-02")*(METAS!$B$5:$B$404="TOTAL")*(METAS!$D$5:$D$404&lt;=(IF($A168="",0,IF(ISNUMBER(SEARCH("-SEM",$A168)),VALUE(LEFT($A168,4)&amp;IF(RIGHT($A168,1)="1","01","07")),VALUE(SUBSTITUTE($A168,"-",""))))))*METAS!$D$5:$D$404)))&gt;0,SUMPRODUCT((METAS!$A$5:$A$404="DTNH-02")*(METAS!$B$5:$B$404="TOTAL")*(METAS!$D$5:$D$404=(SUMPRODUCT(MAX((METAS!$A$5:$A$404="DTNH-02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K168" s="354">
        <f>IF($A168="","",IFERROR(IF((SUMPRODUCT(MAX((METAS!$A$5:$A$404="DTNH-03")*(METAS!$B$5:$B$404=$N$6)*(METAS!$D$5:$D$404&lt;=(IF($A168="",0,IF(ISNUMBER(SEARCH("-SEM",$A168)),VALUE(LEFT($A168,4)&amp;IF(RIGHT($A168,1)="1","01","07")),VALUE(SUBSTITUTE($A168,"-",""))))))*METAS!$D$5:$D$404)))&gt;0,SUMPRODUCT((METAS!$A$5:$A$404="DTNH-03")*(METAS!$B$5:$B$404=$N$6)*(METAS!$D$5:$D$404=(SUMPRODUCT(MAX((METAS!$A$5:$A$404="DTNH-03")*(METAS!$B$5:$B$404=$N$6)*(METAS!$D$5:$D$404&lt;=(IF($A168="",0,IF(ISNUMBER(SEARCH("-SEM",$A168)),VALUE(LEFT($A168,4)&amp;IF(RIGHT($A168,1)="1","01","07")),VALUE(SUBSTITUTE($A168,"-",""))))))*METAS!$D$5:$D$404))))*METAS!$E$5:$E$404),IF((SUMPRODUCT(MAX((METAS!$A$5:$A$404="DTNH-03")*(METAS!$B$5:$B$404="TOTAL")*(METAS!$D$5:$D$404&lt;=(IF($A168="",0,IF(ISNUMBER(SEARCH("-SEM",$A168)),VALUE(LEFT($A168,4)&amp;IF(RIGHT($A168,1)="1","01","07")),VALUE(SUBSTITUTE($A168,"-",""))))))*METAS!$D$5:$D$404)))&gt;0,SUMPRODUCT((METAS!$A$5:$A$404="DTNH-03")*(METAS!$B$5:$B$404="TOTAL")*(METAS!$D$5:$D$404=(SUMPRODUCT(MAX((METAS!$A$5:$A$404="DTNH-03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P168" s="291">
        <f>IF(OR($K$4="(todos)",$K$4=$A$17),IF($A$17="","",IF($B$4="Mensal",IF(COUNTIFS(TabelaNPS[Período],$A168,TabelaNPS[Curso],$A$17)&gt;0,SUMIFS(TabelaNPS[Respondentes],TabelaNPS[Período],$A168,TabelaNPS[Curso],$A$17),SUMIFS(TabelaNPS[Respondentes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Respondentes],TabelaNPS[Período],(IF($A168="","",IF(ISNUMBER(SEARCH("-SEM",$A168)),$A168,LEFT($A168,4)&amp;"-SEM"&amp;IF(VALUE(RIGHT($A168,2))&lt;=6,1,2)))),TabelaNPS[Curso],$A$17)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Q168" s="291">
        <f>IF(OR($K$4="(todos)",$K$4=$A$17),IF($A$17="","",IF($B$4="Mensal",IF(COUNTIFS(TabelaNPS[Período],$A168,TabelaNPS[Curso],$A$17)&gt;0,SUMIFS(TabelaNPS[Promotores (9-10)],TabelaNPS[Período],$A168,TabelaNPS[Curso],$A$17),SUMIFS(TabelaNPS[Promotores (9-10)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Promotores (9-10)],TabelaNPS[Período],(IF($A168="","",IF(ISNUMBER(SEARCH("-SEM",$A168)),$A168,LEFT($A168,4)&amp;"-SEM"&amp;IF(VALUE(RIGHT($A168,2))&lt;=6,1,2)))),TabelaNPS[Curso],$A$17),SUMIFS(TabelaNPS[Promotores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R168" s="291">
        <f>IF(OR($K$4="(todos)",$K$4=$A$17),IF($A$17="","",IF($B$4="Mensal",IF(COUNTIFS(TabelaNPS[Período],$A168,TabelaNPS[Curso],$A$17)&gt;0,SUMIFS(TabelaNPS[Detratores (0-6)],TabelaNPS[Período],$A168,TabelaNPS[Curso],$A$17),SUMIFS(TabelaNPS[Detratores (0-6)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Detratores (0-6)],TabelaNPS[Período],(IF($A168="","",IF(ISNUMBER(SEARCH("-SEM",$A168)),$A168,LEFT($A168,4)&amp;"-SEM"&amp;IF(VALUE(RIGHT($A168,2))&lt;=6,1,2)))),TabelaNPS[Curso],$A$17),SUMIFS(TabelaNPS[Detratores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S168" s="291">
        <f>IF(OR($K$4="(todos)",$K$4=$A$18),IF($A$18="","",IF($B$4="Mensal",IF(COUNTIFS(TabelaNPS[Período],$A168,TabelaNPS[Curso],$A$18)&gt;0,SUMIFS(TabelaNPS[Respondentes],TabelaNPS[Período],$A168,TabelaNPS[Curso],$A$18),SUMIFS(TabelaNPS[Respondentes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Respondentes],TabelaNPS[Período],(IF($A168="","",IF(ISNUMBER(SEARCH("-SEM",$A168)),$A168,LEFT($A168,4)&amp;"-SEM"&amp;IF(VALUE(RIGHT($A168,2))&lt;=6,1,2)))),TabelaNPS[Curso],$A$18)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T168" s="291">
        <f>IF(OR($K$4="(todos)",$K$4=$A$18),IF($A$18="","",IF($B$4="Mensal",IF(COUNTIFS(TabelaNPS[Período],$A168,TabelaNPS[Curso],$A$18)&gt;0,SUMIFS(TabelaNPS[Promotores (9-10)],TabelaNPS[Período],$A168,TabelaNPS[Curso],$A$18),SUMIFS(TabelaNPS[Promotores (9-10)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Promotores (9-10)],TabelaNPS[Período],(IF($A168="","",IF(ISNUMBER(SEARCH("-SEM",$A168)),$A168,LEFT($A168,4)&amp;"-SEM"&amp;IF(VALUE(RIGHT($A168,2))&lt;=6,1,2)))),TabelaNPS[Curso],$A$18),SUMIFS(TabelaNPS[Promotores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U168" s="291">
        <f>IF(OR($K$4="(todos)",$K$4=$A$18),IF($A$18="","",IF($B$4="Mensal",IF(COUNTIFS(TabelaNPS[Período],$A168,TabelaNPS[Curso],$A$18)&gt;0,SUMIFS(TabelaNPS[Detratores (0-6)],TabelaNPS[Período],$A168,TabelaNPS[Curso],$A$18),SUMIFS(TabelaNPS[Detratores (0-6)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Detratores (0-6)],TabelaNPS[Período],(IF($A168="","",IF(ISNUMBER(SEARCH("-SEM",$A168)),$A168,LEFT($A168,4)&amp;"-SEM"&amp;IF(VALUE(RIGHT($A168,2))&lt;=6,1,2)))),TabelaNPS[Curso],$A$18),SUMIFS(TabelaNPS[Detratores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V168" s="291">
        <f>IF(OR($K$4="(todos)",$K$4=$A$19),IF($A$19="","",IF($B$4="Mensal",IF(COUNTIFS(TabelaNPS[Período],$A168,TabelaNPS[Curso],$A$19)&gt;0,SUMIFS(TabelaNPS[Respondentes],TabelaNPS[Período],$A168,TabelaNPS[Curso],$A$19),SUMIFS(TabelaNPS[Respondentes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Respondentes],TabelaNPS[Período],(IF($A168="","",IF(ISNUMBER(SEARCH("-SEM",$A168)),$A168,LEFT($A168,4)&amp;"-SEM"&amp;IF(VALUE(RIGHT($A168,2))&lt;=6,1,2)))),TabelaNPS[Curso],$A$19)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W168" s="291">
        <f>IF(OR($K$4="(todos)",$K$4=$A$19),IF($A$19="","",IF($B$4="Mensal",IF(COUNTIFS(TabelaNPS[Período],$A168,TabelaNPS[Curso],$A$19)&gt;0,SUMIFS(TabelaNPS[Promotores (9-10)],TabelaNPS[Período],$A168,TabelaNPS[Curso],$A$19),SUMIFS(TabelaNPS[Promotores (9-10)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Promotores (9-10)],TabelaNPS[Período],(IF($A168="","",IF(ISNUMBER(SEARCH("-SEM",$A168)),$A168,LEFT($A168,4)&amp;"-SEM"&amp;IF(VALUE(RIGHT($A168,2))&lt;=6,1,2)))),TabelaNPS[Curso],$A$19),SUMIFS(TabelaNPS[Promotores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X168" s="291">
        <f>IF(OR($K$4="(todos)",$K$4=$A$19),IF($A$19="","",IF($B$4="Mensal",IF(COUNTIFS(TabelaNPS[Período],$A168,TabelaNPS[Curso],$A$19)&gt;0,SUMIFS(TabelaNPS[Detratores (0-6)],TabelaNPS[Período],$A168,TabelaNPS[Curso],$A$19),SUMIFS(TabelaNPS[Detratores (0-6)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Detratores (0-6)],TabelaNPS[Período],(IF($A168="","",IF(ISNUMBER(SEARCH("-SEM",$A168)),$A168,LEFT($A168,4)&amp;"-SEM"&amp;IF(VALUE(RIGHT($A168,2))&lt;=6,1,2)))),TabelaNPS[Curso],$A$19),SUMIFS(TabelaNPS[Detratores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Y168" s="291">
        <f>IF(OR($K$4="(todos)",$K$4=$A$20),IF($A$20="","",IF($B$4="Mensal",IF(COUNTIFS(TabelaNPS[Período],$A168,TabelaNPS[Curso],$A$20)&gt;0,SUMIFS(TabelaNPS[Respondentes],TabelaNPS[Período],$A168,TabelaNPS[Curso],$A$20),SUMIFS(TabelaNPS[Respondentes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Respondentes],TabelaNPS[Período],(IF($A168="","",IF(ISNUMBER(SEARCH("-SEM",$A168)),$A168,LEFT($A168,4)&amp;"-SEM"&amp;IF(VALUE(RIGHT($A168,2))&lt;=6,1,2)))),TabelaNPS[Curso],$A$20)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Z168" s="291">
        <f>IF(OR($K$4="(todos)",$K$4=$A$20),IF($A$20="","",IF($B$4="Mensal",IF(COUNTIFS(TabelaNPS[Período],$A168,TabelaNPS[Curso],$A$20)&gt;0,SUMIFS(TabelaNPS[Promotores (9-10)],TabelaNPS[Período],$A168,TabelaNPS[Curso],$A$20),SUMIFS(TabelaNPS[Promotores (9-10)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Promotores (9-10)],TabelaNPS[Período],(IF($A168="","",IF(ISNUMBER(SEARCH("-SEM",$A168)),$A168,LEFT($A168,4)&amp;"-SEM"&amp;IF(VALUE(RIGHT($A168,2))&lt;=6,1,2)))),TabelaNPS[Curso],$A$20),SUMIFS(TabelaNPS[Promotores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AA168" s="291">
        <f>IF(OR($K$4="(todos)",$K$4=$A$20),IF($A$20="","",IF($B$4="Mensal",IF(COUNTIFS(TabelaNPS[Período],$A168,TabelaNPS[Curso],$A$20)&gt;0,SUMIFS(TabelaNPS[Detratores (0-6)],TabelaNPS[Período],$A168,TabelaNPS[Curso],$A$20),SUMIFS(TabelaNPS[Detratores (0-6)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Detratores (0-6)],TabelaNPS[Período],(IF($A168="","",IF(ISNUMBER(SEARCH("-SEM",$A168)),$A168,LEFT($A168,4)&amp;"-SEM"&amp;IF(VALUE(RIGHT($A168,2))&lt;=6,1,2)))),TabelaNPS[Curso],$A$20),SUMIFS(TabelaNPS[Detratores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AB168" s="291">
        <f>IF(OR($K$4="(todos)",$K$4=$A$21),IF($A$21="","",IF($B$4="Mensal",IF(COUNTIFS(TabelaNPS[Período],$A168,TabelaNPS[Curso],$A$21)&gt;0,SUMIFS(TabelaNPS[Respondentes],TabelaNPS[Período],$A168,TabelaNPS[Curso],$A$21),SUMIFS(TabelaNPS[Respondentes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Respondentes],TabelaNPS[Período],(IF($A168="","",IF(ISNUMBER(SEARCH("-SEM",$A168)),$A168,LEFT($A168,4)&amp;"-SEM"&amp;IF(VALUE(RIGHT($A168,2))&lt;=6,1,2)))),TabelaNPS[Curso],$A$21)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C168" s="291">
        <f>IF(OR($K$4="(todos)",$K$4=$A$21),IF($A$21="","",IF($B$4="Mensal",IF(COUNTIFS(TabelaNPS[Período],$A168,TabelaNPS[Curso],$A$21)&gt;0,SUMIFS(TabelaNPS[Promotores (9-10)],TabelaNPS[Período],$A168,TabelaNPS[Curso],$A$21),SUMIFS(TabelaNPS[Promotores (9-10)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Promotores (9-10)],TabelaNPS[Período],(IF($A168="","",IF(ISNUMBER(SEARCH("-SEM",$A168)),$A168,LEFT($A168,4)&amp;"-SEM"&amp;IF(VALUE(RIGHT($A168,2))&lt;=6,1,2)))),TabelaNPS[Curso],$A$21),SUMIFS(TabelaNPS[Promotores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D168" s="291">
        <f>IF(OR($K$4="(todos)",$K$4=$A$21),IF($A$21="","",IF($B$4="Mensal",IF(COUNTIFS(TabelaNPS[Período],$A168,TabelaNPS[Curso],$A$21)&gt;0,SUMIFS(TabelaNPS[Detratores (0-6)],TabelaNPS[Período],$A168,TabelaNPS[Curso],$A$21),SUMIFS(TabelaNPS[Detratores (0-6)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Detratores (0-6)],TabelaNPS[Período],(IF($A168="","",IF(ISNUMBER(SEARCH("-SEM",$A168)),$A168,LEFT($A168,4)&amp;"-SEM"&amp;IF(VALUE(RIGHT($A168,2))&lt;=6,1,2)))),TabelaNPS[Curso],$A$21),SUMIFS(TabelaNPS[Detratores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E168" s="291">
        <f>IF(OR($K$4="(todos)",$K$4=$A$22),IF($A$22="","",IF($B$4="Mensal",IF(COUNTIFS(TabelaNPS[Período],$A168,TabelaNPS[Curso],$A$22)&gt;0,SUMIFS(TabelaNPS[Respondentes],TabelaNPS[Período],$A168,TabelaNPS[Curso],$A$22),SUMIFS(TabelaNPS[Respondentes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Respondentes],TabelaNPS[Período],(IF($A168="","",IF(ISNUMBER(SEARCH("-SEM",$A168)),$A168,LEFT($A168,4)&amp;"-SEM"&amp;IF(VALUE(RIGHT($A168,2))&lt;=6,1,2)))),TabelaNPS[Curso],$A$22)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F168" s="291">
        <f>IF(OR($K$4="(todos)",$K$4=$A$22),IF($A$22="","",IF($B$4="Mensal",IF(COUNTIFS(TabelaNPS[Período],$A168,TabelaNPS[Curso],$A$22)&gt;0,SUMIFS(TabelaNPS[Promotores (9-10)],TabelaNPS[Período],$A168,TabelaNPS[Curso],$A$22),SUMIFS(TabelaNPS[Promotores (9-10)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Promotores (9-10)],TabelaNPS[Período],(IF($A168="","",IF(ISNUMBER(SEARCH("-SEM",$A168)),$A168,LEFT($A168,4)&amp;"-SEM"&amp;IF(VALUE(RIGHT($A168,2))&lt;=6,1,2)))),TabelaNPS[Curso],$A$22),SUMIFS(TabelaNPS[Promotores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G168" s="291">
        <f>IF(OR($K$4="(todos)",$K$4=$A$22),IF($A$22="","",IF($B$4="Mensal",IF(COUNTIFS(TabelaNPS[Período],$A168,TabelaNPS[Curso],$A$22)&gt;0,SUMIFS(TabelaNPS[Detratores (0-6)],TabelaNPS[Período],$A168,TabelaNPS[Curso],$A$22),SUMIFS(TabelaNPS[Detratores (0-6)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Detratores (0-6)],TabelaNPS[Período],(IF($A168="","",IF(ISNUMBER(SEARCH("-SEM",$A168)),$A168,LEFT($A168,4)&amp;"-SEM"&amp;IF(VALUE(RIGHT($A168,2))&lt;=6,1,2)))),TabelaNPS[Curso],$A$22),SUMIFS(TabelaNPS[Detratores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H168" s="291">
        <f>IF(OR($K$4="(todos)",$K$4=$A$23),IF($A$23="","",IF($B$4="Mensal",IF(COUNTIFS(TabelaNPS[Período],$A168,TabelaNPS[Curso],$A$23)&gt;0,SUMIFS(TabelaNPS[Respondentes],TabelaNPS[Período],$A168,TabelaNPS[Curso],$A$23),SUMIFS(TabelaNPS[Respondentes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Respondentes],TabelaNPS[Período],(IF($A168="","",IF(ISNUMBER(SEARCH("-SEM",$A168)),$A168,LEFT($A168,4)&amp;"-SEM"&amp;IF(VALUE(RIGHT($A168,2))&lt;=6,1,2)))),TabelaNPS[Curso],$A$23)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I168" s="291">
        <f>IF(OR($K$4="(todos)",$K$4=$A$23),IF($A$23="","",IF($B$4="Mensal",IF(COUNTIFS(TabelaNPS[Período],$A168,TabelaNPS[Curso],$A$23)&gt;0,SUMIFS(TabelaNPS[Promotores (9-10)],TabelaNPS[Período],$A168,TabelaNPS[Curso],$A$23),SUMIFS(TabelaNPS[Promotores (9-10)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Promotores (9-10)],TabelaNPS[Período],(IF($A168="","",IF(ISNUMBER(SEARCH("-SEM",$A168)),$A168,LEFT($A168,4)&amp;"-SEM"&amp;IF(VALUE(RIGHT($A168,2))&lt;=6,1,2)))),TabelaNPS[Curso],$A$23),SUMIFS(TabelaNPS[Promotores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J168" s="291">
        <f>IF(OR($K$4="(todos)",$K$4=$A$23),IF($A$23="","",IF($B$4="Mensal",IF(COUNTIFS(TabelaNPS[Período],$A168,TabelaNPS[Curso],$A$23)&gt;0,SUMIFS(TabelaNPS[Detratores (0-6)],TabelaNPS[Período],$A168,TabelaNPS[Curso],$A$23),SUMIFS(TabelaNPS[Detratores (0-6)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Detratores (0-6)],TabelaNPS[Período],(IF($A168="","",IF(ISNUMBER(SEARCH("-SEM",$A168)),$A168,LEFT($A168,4)&amp;"-SEM"&amp;IF(VALUE(RIGHT($A168,2))&lt;=6,1,2)))),TabelaNPS[Curso],$A$23),SUMIFS(TabelaNPS[Detratores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K168" s="291">
        <f>IF(OR($K$4="(todos)",$K$4=$A$24),IF($A$24="","",IF($B$4="Mensal",IF(COUNTIFS(TabelaNPS[Período],$A168,TabelaNPS[Curso],$A$24)&gt;0,SUMIFS(TabelaNPS[Respondentes],TabelaNPS[Período],$A168,TabelaNPS[Curso],$A$24),SUMIFS(TabelaNPS[Respondentes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Respondentes],TabelaNPS[Período],(IF($A168="","",IF(ISNUMBER(SEARCH("-SEM",$A168)),$A168,LEFT($A168,4)&amp;"-SEM"&amp;IF(VALUE(RIGHT($A168,2))&lt;=6,1,2)))),TabelaNPS[Curso],$A$24)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  <c r="AL168" s="291">
        <f>IF(OR($K$4="(todos)",$K$4=$A$24),IF($A$24="","",IF($B$4="Mensal",IF(COUNTIFS(TabelaNPS[Período],$A168,TabelaNPS[Curso],$A$24)&gt;0,SUMIFS(TabelaNPS[Promotores (9-10)],TabelaNPS[Período],$A168,TabelaNPS[Curso],$A$24),SUMIFS(TabelaNPS[Promotores (9-10)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Promotores (9-10)],TabelaNPS[Período],(IF($A168="","",IF(ISNUMBER(SEARCH("-SEM",$A168)),$A168,LEFT($A168,4)&amp;"-SEM"&amp;IF(VALUE(RIGHT($A168,2))&lt;=6,1,2)))),TabelaNPS[Curso],$A$24),SUMIFS(TabelaNPS[Promotores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  <c r="AM168" s="291">
        <f>IF(OR($K$4="(todos)",$K$4=$A$24),IF($A$24="","",IF($B$4="Mensal",IF(COUNTIFS(TabelaNPS[Período],$A168,TabelaNPS[Curso],$A$24)&gt;0,SUMIFS(TabelaNPS[Detratores (0-6)],TabelaNPS[Período],$A168,TabelaNPS[Curso],$A$24),SUMIFS(TabelaNPS[Detratores (0-6)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Detratores (0-6)],TabelaNPS[Período],(IF($A168="","",IF(ISNUMBER(SEARCH("-SEM",$A168)),$A168,LEFT($A168,4)&amp;"-SEM"&amp;IF(VALUE(RIGHT($A168,2))&lt;=6,1,2)))),TabelaNPS[Curso],$A$24),SUMIFS(TabelaNPS[Detratores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  <c r="AN168" s="291">
        <f>IF(OR($K$4="(todos)",$K$4=$A$25),IF($A$25="","",IF($B$4="Mensal",IF(COUNTIFS(TabelaNPS[Período],$A168,TabelaNPS[Curso],$A$25)&gt;0,SUMIFS(TabelaNPS[Respondentes],TabelaNPS[Período],$A168,TabelaNPS[Curso],$A$25),SUMIFS(TabelaNPS[Respondentes],TabelaNPS[Período],(IF($A168="","",IF(ISNUMBER(SEARCH("-SEM",$A168)),$A168,LEFT($A168,4)&amp;"-SEM"&amp;IF(VALUE(RIGHT($A168,2))&lt;=6,1,2)))),TabelaNPS[Curso],$A$25)),IF(COUNTIFS(TabelaNPS[Período],(IF($A168="","",IF(ISNUMBER(SEARCH("-SEM",$A168)),$A168,LEFT($A168,4)&amp;"-SEM"&amp;IF(VALUE(RIGHT($A168,2))&lt;=6,1,2)))),TabelaNPS[Curso],$A$25)&gt;0,SUMIFS(TabelaNPS[Respondentes],TabelaNPS[Período],(IF($A168="","",IF(ISNUMBER(SEARCH("-SEM",$A168)),$A168,LEFT($A168,4)&amp;"-SEM"&amp;IF(VALUE(RIGHT($A168,2))&lt;=6,1,2)))),TabelaNPS[Curso],$A$25)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$25)))),0)</f>
        <v/>
      </c>
      <c r="AO168" s="291">
        <f>IF(OR($K$4="(todos)",$K$4=$A$25),IF($A$25="","",IF($B$4="Mensal",IF(COUNTIFS(TabelaNPS[Período],$A168,TabelaNPS[Curso],$A$25)&gt;0,SUMIFS(TabelaNPS[Promotores (9-10)],TabelaNPS[Período],$A168,TabelaNPS[Curso],$A$25),SUMIFS(TabelaNPS[Promotores (9-10)],TabelaNPS[Período],(IF($A168="","",IF(ISNUMBER(SEARCH("-SEM",$A168)),$A168,LEFT($A168,4)&amp;"-SEM"&amp;IF(VALUE(RIGHT($A168,2))&lt;=6,1,2)))),TabelaNPS[Curso],$A$25)),IF(COUNTIFS(TabelaNPS[Período],(IF($A168="","",IF(ISNUMBER(SEARCH("-SEM",$A168)),$A168,LEFT($A168,4)&amp;"-SEM"&amp;IF(VALUE(RIGHT($A168,2))&lt;=6,1,2)))),TabelaNPS[Curso],$A$25)&gt;0,SUMIFS(TabelaNPS[Promotores (9-10)],TabelaNPS[Período],(IF($A168="","",IF(ISNUMBER(SEARCH("-SEM",$A168)),$A168,LEFT($A168,4)&amp;"-SEM"&amp;IF(VALUE(RIGHT($A168,2))&lt;=6,1,2)))),TabelaNPS[Curso],$A$25),SUMIFS(TabelaNPS[Promotores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$25)))),0)</f>
        <v/>
      </c>
      <c r="AP168" s="291">
        <f>IF(OR($K$4="(todos)",$K$4=$A$25),IF($A$25="","",IF($B$4="Mensal",IF(COUNTIFS(TabelaNPS[Período],$A168,TabelaNPS[Curso],$A$25)&gt;0,SUMIFS(TabelaNPS[Detratores (0-6)],TabelaNPS[Período],$A168,TabelaNPS[Curso],$A$25),SUMIFS(TabelaNPS[Detratores (0-6)],TabelaNPS[Período],(IF($A168="","",IF(ISNUMBER(SEARCH("-SEM",$A168)),$A168,LEFT($A168,4)&amp;"-SEM"&amp;IF(VALUE(RIGHT($A168,2))&lt;=6,1,2)))),TabelaNPS[Curso],$A$25)),IF(COUNTIFS(TabelaNPS[Período],(IF($A168="","",IF(ISNUMBER(SEARCH("-SEM",$A168)),$A168,LEFT($A168,4)&amp;"-SEM"&amp;IF(VALUE(RIGHT($A168,2))&lt;=6,1,2)))),TabelaNPS[Curso],$A$25)&gt;0,SUMIFS(TabelaNPS[Detratores (0-6)],TabelaNPS[Período],(IF($A168="","",IF(ISNUMBER(SEARCH("-SEM",$A168)),$A168,LEFT($A168,4)&amp;"-SEM"&amp;IF(VALUE(RIGHT($A168,2))&lt;=6,1,2)))),TabelaNPS[Curso],$A$25),SUMIFS(TabelaNPS[Detratores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$25)))),0)</f>
        <v/>
      </c>
    </row>
    <row r="169" ht="15" customHeight="1" s="131">
      <c r="A169" s="340">
        <f>IF(A168="","",IF($B$4="Mensal",IF(MATCH(A168,LST_MESES,0)&gt;=MATCH(PARAMETROS!$E$9,LST_MESES,0),"",INDEX(LST_MESES,MATCH(A168,LST_MESES,0)+1)),IF(MATCH(A168,LST_SEMESTRES,0)&gt;=MATCH(PARAMETROS!$E$9,LST_SEMESTRES,0),"",INDEX(LST_SEMESTRES,MATCH(A168,LST_SEMESTRES,0)+1))))</f>
        <v/>
      </c>
      <c r="B169" s="359">
        <f>IF($A169="","",IFERROR((SUM(Q169,T169,W169,Z169,AC169,AF169,AI169,AL169,AO169)-SUM(R169,U169,X169,AA169,AD169,AG169,AJ169,AM169,AP169))/SUM(P169,S169,V169,Y169,AB169,AE169,AH169,AK169,AN169)*100,""))</f>
        <v/>
      </c>
      <c r="C169" s="348">
        <f>IFERROR(SUMPRODUCT(--(TabelaAvaliacaoDocente[Período]=(IF($A169="","",IF(ISNUMBER(SEARCH("-SEM",$A169)),$A169,LEFT($A169,4)&amp;"-SEM"&amp;IF(VALUE(RIGHT($A169,2)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169="","",IF(ISNUMBER(SEARCH("-SEM",$A169)),$A169,LEFT($A169,4)&amp;"-SEM"&amp;IF(VALUE(RIGHT($A169,2))&lt;=6,1,2))))),--((($K$4="(todos)")+(TabelaAvaliacaoDocente[Curso]=$K$4))&gt;0),--((($N$4="(todas)")+(TabelaAvaliacaoDocente[Disciplina]=$N$4))&gt;0),TabelaAvaliacaoDocente[Respondentes]),"")</f>
        <v/>
      </c>
      <c r="D169" s="349">
        <f>IF($A169="","",IFERROR((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/((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+(SUMIFS(TabelaResultadosAcademicos[Re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)*100,""))</f>
        <v/>
      </c>
      <c r="E169" s="348">
        <f>IFERROR((SUMIFS(TabelaResultadosAcademicos[Soma das nota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/(SUMIFS(TabelaResultadosAcademicos[Quantidade de nota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,"")</f>
        <v/>
      </c>
      <c r="F169" s="350">
        <f>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G169" s="350">
        <f>SUMIFS(TabelaResultadosAcademicos[Reprovados por nota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H169" s="350">
        <f>SUMIFS(TabelaResultadosAcademicos[Reprovados por falta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I169" s="346">
        <f>IF($A169="","",IFERROR(IF((SUMPRODUCT(MAX((METAS!$A$5:$A$404="DTNH-01")*(METAS!$B$5:$B$404=IF($K$4="(todos)","TOTAL",$K$4))*(METAS!$D$5:$D$404&lt;=(IF($A169="",0,IF(ISNUMBER(SEARCH("-SEM",$A169)),VALUE(LEFT($A169,4)&amp;IF(RIGHT($A169,1)="1","01","07")),VALUE(SUBSTITUTE($A169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169="",0,IF(ISNUMBER(SEARCH("-SEM",$A169)),VALUE(LEFT($A169,4)&amp;IF(RIGHT($A169,1)="1","01","07")),VALUE(SUBSTITUTE($A169,"-",""))))))*METAS!$D$5:$D$404))))*METAS!$E$5:$E$404),IF((SUMPRODUCT(MAX((METAS!$A$5:$A$404="DTNH-01")*(METAS!$B$5:$B$404="TOTAL")*(METAS!$D$5:$D$404&lt;=(IF($A169="",0,IF(ISNUMBER(SEARCH("-SEM",$A169)),VALUE(LEFT($A169,4)&amp;IF(RIGHT($A169,1)="1","01","07")),VALUE(SUBSTITUTE($A169,"-",""))))))*METAS!$D$5:$D$404)))&gt;0,SUMPRODUCT((METAS!$A$5:$A$404="DTNH-01")*(METAS!$B$5:$B$404="TOTAL")*(METAS!$D$5:$D$404=(SUMPRODUCT(MAX((METAS!$A$5:$A$404="DTNH-01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J169" s="351">
        <f>IF($A169="","",IFERROR(IF((SUMPRODUCT(MAX((METAS!$A$5:$A$404="DTNH-02")*(METAS!$B$5:$B$404=$N$6)*(METAS!$D$5:$D$404&lt;=(IF($A169="",0,IF(ISNUMBER(SEARCH("-SEM",$A169)),VALUE(LEFT($A169,4)&amp;IF(RIGHT($A169,1)="1","01","07")),VALUE(SUBSTITUTE($A169,"-",""))))))*METAS!$D$5:$D$404)))&gt;0,SUMPRODUCT((METAS!$A$5:$A$404="DTNH-02")*(METAS!$B$5:$B$404=$N$6)*(METAS!$D$5:$D$404=(SUMPRODUCT(MAX((METAS!$A$5:$A$404="DTNH-02")*(METAS!$B$5:$B$404=$N$6)*(METAS!$D$5:$D$404&lt;=(IF($A169="",0,IF(ISNUMBER(SEARCH("-SEM",$A169)),VALUE(LEFT($A169,4)&amp;IF(RIGHT($A169,1)="1","01","07")),VALUE(SUBSTITUTE($A169,"-",""))))))*METAS!$D$5:$D$404))))*METAS!$E$5:$E$404),IF((SUMPRODUCT(MAX((METAS!$A$5:$A$404="DTNH-02")*(METAS!$B$5:$B$404="TOTAL")*(METAS!$D$5:$D$404&lt;=(IF($A169="",0,IF(ISNUMBER(SEARCH("-SEM",$A169)),VALUE(LEFT($A169,4)&amp;IF(RIGHT($A169,1)="1","01","07")),VALUE(SUBSTITUTE($A169,"-",""))))))*METAS!$D$5:$D$404)))&gt;0,SUMPRODUCT((METAS!$A$5:$A$404="DTNH-02")*(METAS!$B$5:$B$404="TOTAL")*(METAS!$D$5:$D$404=(SUMPRODUCT(MAX((METAS!$A$5:$A$404="DTNH-02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K169" s="354">
        <f>IF($A169="","",IFERROR(IF((SUMPRODUCT(MAX((METAS!$A$5:$A$404="DTNH-03")*(METAS!$B$5:$B$404=$N$6)*(METAS!$D$5:$D$404&lt;=(IF($A169="",0,IF(ISNUMBER(SEARCH("-SEM",$A169)),VALUE(LEFT($A169,4)&amp;IF(RIGHT($A169,1)="1","01","07")),VALUE(SUBSTITUTE($A169,"-",""))))))*METAS!$D$5:$D$404)))&gt;0,SUMPRODUCT((METAS!$A$5:$A$404="DTNH-03")*(METAS!$B$5:$B$404=$N$6)*(METAS!$D$5:$D$404=(SUMPRODUCT(MAX((METAS!$A$5:$A$404="DTNH-03")*(METAS!$B$5:$B$404=$N$6)*(METAS!$D$5:$D$404&lt;=(IF($A169="",0,IF(ISNUMBER(SEARCH("-SEM",$A169)),VALUE(LEFT($A169,4)&amp;IF(RIGHT($A169,1)="1","01","07")),VALUE(SUBSTITUTE($A169,"-",""))))))*METAS!$D$5:$D$404))))*METAS!$E$5:$E$404),IF((SUMPRODUCT(MAX((METAS!$A$5:$A$404="DTNH-03")*(METAS!$B$5:$B$404="TOTAL")*(METAS!$D$5:$D$404&lt;=(IF($A169="",0,IF(ISNUMBER(SEARCH("-SEM",$A169)),VALUE(LEFT($A169,4)&amp;IF(RIGHT($A169,1)="1","01","07")),VALUE(SUBSTITUTE($A169,"-",""))))))*METAS!$D$5:$D$404)))&gt;0,SUMPRODUCT((METAS!$A$5:$A$404="DTNH-03")*(METAS!$B$5:$B$404="TOTAL")*(METAS!$D$5:$D$404=(SUMPRODUCT(MAX((METAS!$A$5:$A$404="DTNH-03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P169" s="291">
        <f>IF(OR($K$4="(todos)",$K$4=$A$17),IF($A$17="","",IF($B$4="Mensal",IF(COUNTIFS(TabelaNPS[Período],$A169,TabelaNPS[Curso],$A$17)&gt;0,SUMIFS(TabelaNPS[Respondentes],TabelaNPS[Período],$A169,TabelaNPS[Curso],$A$17),SUMIFS(TabelaNPS[Respondentes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Respondentes],TabelaNPS[Período],(IF($A169="","",IF(ISNUMBER(SEARCH("-SEM",$A169)),$A169,LEFT($A169,4)&amp;"-SEM"&amp;IF(VALUE(RIGHT($A169,2))&lt;=6,1,2)))),TabelaNPS[Curso],$A$17)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Q169" s="291">
        <f>IF(OR($K$4="(todos)",$K$4=$A$17),IF($A$17="","",IF($B$4="Mensal",IF(COUNTIFS(TabelaNPS[Período],$A169,TabelaNPS[Curso],$A$17)&gt;0,SUMIFS(TabelaNPS[Promotores (9-10)],TabelaNPS[Período],$A169,TabelaNPS[Curso],$A$17),SUMIFS(TabelaNPS[Promotores (9-10)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Promotores (9-10)],TabelaNPS[Período],(IF($A169="","",IF(ISNUMBER(SEARCH("-SEM",$A169)),$A169,LEFT($A169,4)&amp;"-SEM"&amp;IF(VALUE(RIGHT($A169,2))&lt;=6,1,2)))),TabelaNPS[Curso],$A$17),SUMIFS(TabelaNPS[Promotores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R169" s="291">
        <f>IF(OR($K$4="(todos)",$K$4=$A$17),IF($A$17="","",IF($B$4="Mensal",IF(COUNTIFS(TabelaNPS[Período],$A169,TabelaNPS[Curso],$A$17)&gt;0,SUMIFS(TabelaNPS[Detratores (0-6)],TabelaNPS[Período],$A169,TabelaNPS[Curso],$A$17),SUMIFS(TabelaNPS[Detratores (0-6)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Detratores (0-6)],TabelaNPS[Período],(IF($A169="","",IF(ISNUMBER(SEARCH("-SEM",$A169)),$A169,LEFT($A169,4)&amp;"-SEM"&amp;IF(VALUE(RIGHT($A169,2))&lt;=6,1,2)))),TabelaNPS[Curso],$A$17),SUMIFS(TabelaNPS[Detratores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S169" s="291">
        <f>IF(OR($K$4="(todos)",$K$4=$A$18),IF($A$18="","",IF($B$4="Mensal",IF(COUNTIFS(TabelaNPS[Período],$A169,TabelaNPS[Curso],$A$18)&gt;0,SUMIFS(TabelaNPS[Respondentes],TabelaNPS[Período],$A169,TabelaNPS[Curso],$A$18),SUMIFS(TabelaNPS[Respondentes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Respondentes],TabelaNPS[Período],(IF($A169="","",IF(ISNUMBER(SEARCH("-SEM",$A169)),$A169,LEFT($A169,4)&amp;"-SEM"&amp;IF(VALUE(RIGHT($A169,2))&lt;=6,1,2)))),TabelaNPS[Curso],$A$18)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T169" s="291">
        <f>IF(OR($K$4="(todos)",$K$4=$A$18),IF($A$18="","",IF($B$4="Mensal",IF(COUNTIFS(TabelaNPS[Período],$A169,TabelaNPS[Curso],$A$18)&gt;0,SUMIFS(TabelaNPS[Promotores (9-10)],TabelaNPS[Período],$A169,TabelaNPS[Curso],$A$18),SUMIFS(TabelaNPS[Promotores (9-10)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Promotores (9-10)],TabelaNPS[Período],(IF($A169="","",IF(ISNUMBER(SEARCH("-SEM",$A169)),$A169,LEFT($A169,4)&amp;"-SEM"&amp;IF(VALUE(RIGHT($A169,2))&lt;=6,1,2)))),TabelaNPS[Curso],$A$18),SUMIFS(TabelaNPS[Promotores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U169" s="291">
        <f>IF(OR($K$4="(todos)",$K$4=$A$18),IF($A$18="","",IF($B$4="Mensal",IF(COUNTIFS(TabelaNPS[Período],$A169,TabelaNPS[Curso],$A$18)&gt;0,SUMIFS(TabelaNPS[Detratores (0-6)],TabelaNPS[Período],$A169,TabelaNPS[Curso],$A$18),SUMIFS(TabelaNPS[Detratores (0-6)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Detratores (0-6)],TabelaNPS[Período],(IF($A169="","",IF(ISNUMBER(SEARCH("-SEM",$A169)),$A169,LEFT($A169,4)&amp;"-SEM"&amp;IF(VALUE(RIGHT($A169,2))&lt;=6,1,2)))),TabelaNPS[Curso],$A$18),SUMIFS(TabelaNPS[Detratores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V169" s="291">
        <f>IF(OR($K$4="(todos)",$K$4=$A$19),IF($A$19="","",IF($B$4="Mensal",IF(COUNTIFS(TabelaNPS[Período],$A169,TabelaNPS[Curso],$A$19)&gt;0,SUMIFS(TabelaNPS[Respondentes],TabelaNPS[Período],$A169,TabelaNPS[Curso],$A$19),SUMIFS(TabelaNPS[Respondentes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Respondentes],TabelaNPS[Período],(IF($A169="","",IF(ISNUMBER(SEARCH("-SEM",$A169)),$A169,LEFT($A169,4)&amp;"-SEM"&amp;IF(VALUE(RIGHT($A169,2))&lt;=6,1,2)))),TabelaNPS[Curso],$A$19)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W169" s="291">
        <f>IF(OR($K$4="(todos)",$K$4=$A$19),IF($A$19="","",IF($B$4="Mensal",IF(COUNTIFS(TabelaNPS[Período],$A169,TabelaNPS[Curso],$A$19)&gt;0,SUMIFS(TabelaNPS[Promotores (9-10)],TabelaNPS[Período],$A169,TabelaNPS[Curso],$A$19),SUMIFS(TabelaNPS[Promotores (9-10)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Promotores (9-10)],TabelaNPS[Período],(IF($A169="","",IF(ISNUMBER(SEARCH("-SEM",$A169)),$A169,LEFT($A169,4)&amp;"-SEM"&amp;IF(VALUE(RIGHT($A169,2))&lt;=6,1,2)))),TabelaNPS[Curso],$A$19),SUMIFS(TabelaNPS[Promotores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X169" s="291">
        <f>IF(OR($K$4="(todos)",$K$4=$A$19),IF($A$19="","",IF($B$4="Mensal",IF(COUNTIFS(TabelaNPS[Período],$A169,TabelaNPS[Curso],$A$19)&gt;0,SUMIFS(TabelaNPS[Detratores (0-6)],TabelaNPS[Período],$A169,TabelaNPS[Curso],$A$19),SUMIFS(TabelaNPS[Detratores (0-6)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Detratores (0-6)],TabelaNPS[Período],(IF($A169="","",IF(ISNUMBER(SEARCH("-SEM",$A169)),$A169,LEFT($A169,4)&amp;"-SEM"&amp;IF(VALUE(RIGHT($A169,2))&lt;=6,1,2)))),TabelaNPS[Curso],$A$19),SUMIFS(TabelaNPS[Detratores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Y169" s="291">
        <f>IF(OR($K$4="(todos)",$K$4=$A$20),IF($A$20="","",IF($B$4="Mensal",IF(COUNTIFS(TabelaNPS[Período],$A169,TabelaNPS[Curso],$A$20)&gt;0,SUMIFS(TabelaNPS[Respondentes],TabelaNPS[Período],$A169,TabelaNPS[Curso],$A$20),SUMIFS(TabelaNPS[Respondentes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Respondentes],TabelaNPS[Período],(IF($A169="","",IF(ISNUMBER(SEARCH("-SEM",$A169)),$A169,LEFT($A169,4)&amp;"-SEM"&amp;IF(VALUE(RIGHT($A169,2))&lt;=6,1,2)))),TabelaNPS[Curso],$A$20)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Z169" s="291">
        <f>IF(OR($K$4="(todos)",$K$4=$A$20),IF($A$20="","",IF($B$4="Mensal",IF(COUNTIFS(TabelaNPS[Período],$A169,TabelaNPS[Curso],$A$20)&gt;0,SUMIFS(TabelaNPS[Promotores (9-10)],TabelaNPS[Período],$A169,TabelaNPS[Curso],$A$20),SUMIFS(TabelaNPS[Promotores (9-10)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Promotores (9-10)],TabelaNPS[Período],(IF($A169="","",IF(ISNUMBER(SEARCH("-SEM",$A169)),$A169,LEFT($A169,4)&amp;"-SEM"&amp;IF(VALUE(RIGHT($A169,2))&lt;=6,1,2)))),TabelaNPS[Curso],$A$20),SUMIFS(TabelaNPS[Promotores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AA169" s="291">
        <f>IF(OR($K$4="(todos)",$K$4=$A$20),IF($A$20="","",IF($B$4="Mensal",IF(COUNTIFS(TabelaNPS[Período],$A169,TabelaNPS[Curso],$A$20)&gt;0,SUMIFS(TabelaNPS[Detratores (0-6)],TabelaNPS[Período],$A169,TabelaNPS[Curso],$A$20),SUMIFS(TabelaNPS[Detratores (0-6)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Detratores (0-6)],TabelaNPS[Período],(IF($A169="","",IF(ISNUMBER(SEARCH("-SEM",$A169)),$A169,LEFT($A169,4)&amp;"-SEM"&amp;IF(VALUE(RIGHT($A169,2))&lt;=6,1,2)))),TabelaNPS[Curso],$A$20),SUMIFS(TabelaNPS[Detratores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AB169" s="291">
        <f>IF(OR($K$4="(todos)",$K$4=$A$21),IF($A$21="","",IF($B$4="Mensal",IF(COUNTIFS(TabelaNPS[Período],$A169,TabelaNPS[Curso],$A$21)&gt;0,SUMIFS(TabelaNPS[Respondentes],TabelaNPS[Período],$A169,TabelaNPS[Curso],$A$21),SUMIFS(TabelaNPS[Respondentes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Respondentes],TabelaNPS[Período],(IF($A169="","",IF(ISNUMBER(SEARCH("-SEM",$A169)),$A169,LEFT($A169,4)&amp;"-SEM"&amp;IF(VALUE(RIGHT($A169,2))&lt;=6,1,2)))),TabelaNPS[Curso],$A$21)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C169" s="291">
        <f>IF(OR($K$4="(todos)",$K$4=$A$21),IF($A$21="","",IF($B$4="Mensal",IF(COUNTIFS(TabelaNPS[Período],$A169,TabelaNPS[Curso],$A$21)&gt;0,SUMIFS(TabelaNPS[Promotores (9-10)],TabelaNPS[Período],$A169,TabelaNPS[Curso],$A$21),SUMIFS(TabelaNPS[Promotores (9-10)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Promotores (9-10)],TabelaNPS[Período],(IF($A169="","",IF(ISNUMBER(SEARCH("-SEM",$A169)),$A169,LEFT($A169,4)&amp;"-SEM"&amp;IF(VALUE(RIGHT($A169,2))&lt;=6,1,2)))),TabelaNPS[Curso],$A$21),SUMIFS(TabelaNPS[Promotores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D169" s="291">
        <f>IF(OR($K$4="(todos)",$K$4=$A$21),IF($A$21="","",IF($B$4="Mensal",IF(COUNTIFS(TabelaNPS[Período],$A169,TabelaNPS[Curso],$A$21)&gt;0,SUMIFS(TabelaNPS[Detratores (0-6)],TabelaNPS[Período],$A169,TabelaNPS[Curso],$A$21),SUMIFS(TabelaNPS[Detratores (0-6)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Detratores (0-6)],TabelaNPS[Período],(IF($A169="","",IF(ISNUMBER(SEARCH("-SEM",$A169)),$A169,LEFT($A169,4)&amp;"-SEM"&amp;IF(VALUE(RIGHT($A169,2))&lt;=6,1,2)))),TabelaNPS[Curso],$A$21),SUMIFS(TabelaNPS[Detratores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E169" s="291">
        <f>IF(OR($K$4="(todos)",$K$4=$A$22),IF($A$22="","",IF($B$4="Mensal",IF(COUNTIFS(TabelaNPS[Período],$A169,TabelaNPS[Curso],$A$22)&gt;0,SUMIFS(TabelaNPS[Respondentes],TabelaNPS[Período],$A169,TabelaNPS[Curso],$A$22),SUMIFS(TabelaNPS[Respondentes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Respondentes],TabelaNPS[Período],(IF($A169="","",IF(ISNUMBER(SEARCH("-SEM",$A169)),$A169,LEFT($A169,4)&amp;"-SEM"&amp;IF(VALUE(RIGHT($A169,2))&lt;=6,1,2)))),TabelaNPS[Curso],$A$22)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F169" s="291">
        <f>IF(OR($K$4="(todos)",$K$4=$A$22),IF($A$22="","",IF($B$4="Mensal",IF(COUNTIFS(TabelaNPS[Período],$A169,TabelaNPS[Curso],$A$22)&gt;0,SUMIFS(TabelaNPS[Promotores (9-10)],TabelaNPS[Período],$A169,TabelaNPS[Curso],$A$22),SUMIFS(TabelaNPS[Promotores (9-10)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Promotores (9-10)],TabelaNPS[Período],(IF($A169="","",IF(ISNUMBER(SEARCH("-SEM",$A169)),$A169,LEFT($A169,4)&amp;"-SEM"&amp;IF(VALUE(RIGHT($A169,2))&lt;=6,1,2)))),TabelaNPS[Curso],$A$22),SUMIFS(TabelaNPS[Promotores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G169" s="291">
        <f>IF(OR($K$4="(todos)",$K$4=$A$22),IF($A$22="","",IF($B$4="Mensal",IF(COUNTIFS(TabelaNPS[Período],$A169,TabelaNPS[Curso],$A$22)&gt;0,SUMIFS(TabelaNPS[Detratores (0-6)],TabelaNPS[Período],$A169,TabelaNPS[Curso],$A$22),SUMIFS(TabelaNPS[Detratores (0-6)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Detratores (0-6)],TabelaNPS[Período],(IF($A169="","",IF(ISNUMBER(SEARCH("-SEM",$A169)),$A169,LEFT($A169,4)&amp;"-SEM"&amp;IF(VALUE(RIGHT($A169,2))&lt;=6,1,2)))),TabelaNPS[Curso],$A$22),SUMIFS(TabelaNPS[Detratores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H169" s="291">
        <f>IF(OR($K$4="(todos)",$K$4=$A$23),IF($A$23="","",IF($B$4="Mensal",IF(COUNTIFS(TabelaNPS[Período],$A169,TabelaNPS[Curso],$A$23)&gt;0,SUMIFS(TabelaNPS[Respondentes],TabelaNPS[Período],$A169,TabelaNPS[Curso],$A$23),SUMIFS(TabelaNPS[Respondentes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Respondentes],TabelaNPS[Período],(IF($A169="","",IF(ISNUMBER(SEARCH("-SEM",$A169)),$A169,LEFT($A169,4)&amp;"-SEM"&amp;IF(VALUE(RIGHT($A169,2))&lt;=6,1,2)))),TabelaNPS[Curso],$A$23)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I169" s="291">
        <f>IF(OR($K$4="(todos)",$K$4=$A$23),IF($A$23="","",IF($B$4="Mensal",IF(COUNTIFS(TabelaNPS[Período],$A169,TabelaNPS[Curso],$A$23)&gt;0,SUMIFS(TabelaNPS[Promotores (9-10)],TabelaNPS[Período],$A169,TabelaNPS[Curso],$A$23),SUMIFS(TabelaNPS[Promotores (9-10)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Promotores (9-10)],TabelaNPS[Período],(IF($A169="","",IF(ISNUMBER(SEARCH("-SEM",$A169)),$A169,LEFT($A169,4)&amp;"-SEM"&amp;IF(VALUE(RIGHT($A169,2))&lt;=6,1,2)))),TabelaNPS[Curso],$A$23),SUMIFS(TabelaNPS[Promotores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J169" s="291">
        <f>IF(OR($K$4="(todos)",$K$4=$A$23),IF($A$23="","",IF($B$4="Mensal",IF(COUNTIFS(TabelaNPS[Período],$A169,TabelaNPS[Curso],$A$23)&gt;0,SUMIFS(TabelaNPS[Detratores (0-6)],TabelaNPS[Período],$A169,TabelaNPS[Curso],$A$23),SUMIFS(TabelaNPS[Detratores (0-6)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Detratores (0-6)],TabelaNPS[Período],(IF($A169="","",IF(ISNUMBER(SEARCH("-SEM",$A169)),$A169,LEFT($A169,4)&amp;"-SEM"&amp;IF(VALUE(RIGHT($A169,2))&lt;=6,1,2)))),TabelaNPS[Curso],$A$23),SUMIFS(TabelaNPS[Detratores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K169" s="291">
        <f>IF(OR($K$4="(todos)",$K$4=$A$24),IF($A$24="","",IF($B$4="Mensal",IF(COUNTIFS(TabelaNPS[Período],$A169,TabelaNPS[Curso],$A$24)&gt;0,SUMIFS(TabelaNPS[Respondentes],TabelaNPS[Período],$A169,TabelaNPS[Curso],$A$24),SUMIFS(TabelaNPS[Respondentes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Respondentes],TabelaNPS[Período],(IF($A169="","",IF(ISNUMBER(SEARCH("-SEM",$A169)),$A169,LEFT($A169,4)&amp;"-SEM"&amp;IF(VALUE(RIGHT($A169,2))&lt;=6,1,2)))),TabelaNPS[Curso],$A$24)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  <c r="AL169" s="291">
        <f>IF(OR($K$4="(todos)",$K$4=$A$24),IF($A$24="","",IF($B$4="Mensal",IF(COUNTIFS(TabelaNPS[Período],$A169,TabelaNPS[Curso],$A$24)&gt;0,SUMIFS(TabelaNPS[Promotores (9-10)],TabelaNPS[Período],$A169,TabelaNPS[Curso],$A$24),SUMIFS(TabelaNPS[Promotores (9-10)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Promotores (9-10)],TabelaNPS[Período],(IF($A169="","",IF(ISNUMBER(SEARCH("-SEM",$A169)),$A169,LEFT($A169,4)&amp;"-SEM"&amp;IF(VALUE(RIGHT($A169,2))&lt;=6,1,2)))),TabelaNPS[Curso],$A$24),SUMIFS(TabelaNPS[Promotores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  <c r="AM169" s="291">
        <f>IF(OR($K$4="(todos)",$K$4=$A$24),IF($A$24="","",IF($B$4="Mensal",IF(COUNTIFS(TabelaNPS[Período],$A169,TabelaNPS[Curso],$A$24)&gt;0,SUMIFS(TabelaNPS[Detratores (0-6)],TabelaNPS[Período],$A169,TabelaNPS[Curso],$A$24),SUMIFS(TabelaNPS[Detratores (0-6)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Detratores (0-6)],TabelaNPS[Período],(IF($A169="","",IF(ISNUMBER(SEARCH("-SEM",$A169)),$A169,LEFT($A169,4)&amp;"-SEM"&amp;IF(VALUE(RIGHT($A169,2))&lt;=6,1,2)))),TabelaNPS[Curso],$A$24),SUMIFS(TabelaNPS[Detratores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  <c r="AN169" s="291">
        <f>IF(OR($K$4="(todos)",$K$4=$A$25),IF($A$25="","",IF($B$4="Mensal",IF(COUNTIFS(TabelaNPS[Período],$A169,TabelaNPS[Curso],$A$25)&gt;0,SUMIFS(TabelaNPS[Respondentes],TabelaNPS[Período],$A169,TabelaNPS[Curso],$A$25),SUMIFS(TabelaNPS[Respondentes],TabelaNPS[Período],(IF($A169="","",IF(ISNUMBER(SEARCH("-SEM",$A169)),$A169,LEFT($A169,4)&amp;"-SEM"&amp;IF(VALUE(RIGHT($A169,2))&lt;=6,1,2)))),TabelaNPS[Curso],$A$25)),IF(COUNTIFS(TabelaNPS[Período],(IF($A169="","",IF(ISNUMBER(SEARCH("-SEM",$A169)),$A169,LEFT($A169,4)&amp;"-SEM"&amp;IF(VALUE(RIGHT($A169,2))&lt;=6,1,2)))),TabelaNPS[Curso],$A$25)&gt;0,SUMIFS(TabelaNPS[Respondentes],TabelaNPS[Período],(IF($A169="","",IF(ISNUMBER(SEARCH("-SEM",$A169)),$A169,LEFT($A169,4)&amp;"-SEM"&amp;IF(VALUE(RIGHT($A169,2))&lt;=6,1,2)))),TabelaNPS[Curso],$A$25)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$25)))),0)</f>
        <v/>
      </c>
      <c r="AO169" s="291">
        <f>IF(OR($K$4="(todos)",$K$4=$A$25),IF($A$25="","",IF($B$4="Mensal",IF(COUNTIFS(TabelaNPS[Período],$A169,TabelaNPS[Curso],$A$25)&gt;0,SUMIFS(TabelaNPS[Promotores (9-10)],TabelaNPS[Período],$A169,TabelaNPS[Curso],$A$25),SUMIFS(TabelaNPS[Promotores (9-10)],TabelaNPS[Período],(IF($A169="","",IF(ISNUMBER(SEARCH("-SEM",$A169)),$A169,LEFT($A169,4)&amp;"-SEM"&amp;IF(VALUE(RIGHT($A169,2))&lt;=6,1,2)))),TabelaNPS[Curso],$A$25)),IF(COUNTIFS(TabelaNPS[Período],(IF($A169="","",IF(ISNUMBER(SEARCH("-SEM",$A169)),$A169,LEFT($A169,4)&amp;"-SEM"&amp;IF(VALUE(RIGHT($A169,2))&lt;=6,1,2)))),TabelaNPS[Curso],$A$25)&gt;0,SUMIFS(TabelaNPS[Promotores (9-10)],TabelaNPS[Período],(IF($A169="","",IF(ISNUMBER(SEARCH("-SEM",$A169)),$A169,LEFT($A169,4)&amp;"-SEM"&amp;IF(VALUE(RIGHT($A169,2))&lt;=6,1,2)))),TabelaNPS[Curso],$A$25),SUMIFS(TabelaNPS[Promotores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$25)))),0)</f>
        <v/>
      </c>
      <c r="AP169" s="291">
        <f>IF(OR($K$4="(todos)",$K$4=$A$25),IF($A$25="","",IF($B$4="Mensal",IF(COUNTIFS(TabelaNPS[Período],$A169,TabelaNPS[Curso],$A$25)&gt;0,SUMIFS(TabelaNPS[Detratores (0-6)],TabelaNPS[Período],$A169,TabelaNPS[Curso],$A$25),SUMIFS(TabelaNPS[Detratores (0-6)],TabelaNPS[Período],(IF($A169="","",IF(ISNUMBER(SEARCH("-SEM",$A169)),$A169,LEFT($A169,4)&amp;"-SEM"&amp;IF(VALUE(RIGHT($A169,2))&lt;=6,1,2)))),TabelaNPS[Curso],$A$25)),IF(COUNTIFS(TabelaNPS[Período],(IF($A169="","",IF(ISNUMBER(SEARCH("-SEM",$A169)),$A169,LEFT($A169,4)&amp;"-SEM"&amp;IF(VALUE(RIGHT($A169,2))&lt;=6,1,2)))),TabelaNPS[Curso],$A$25)&gt;0,SUMIFS(TabelaNPS[Detratores (0-6)],TabelaNPS[Período],(IF($A169="","",IF(ISNUMBER(SEARCH("-SEM",$A169)),$A169,LEFT($A169,4)&amp;"-SEM"&amp;IF(VALUE(RIGHT($A169,2))&lt;=6,1,2)))),TabelaNPS[Curso],$A$25),SUMIFS(TabelaNPS[Detratores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$25)))),0)</f>
        <v/>
      </c>
    </row>
    <row r="170" ht="15" customHeight="1" s="131">
      <c r="A170" s="340">
        <f>IF(A169="","",IF($B$4="Mensal",IF(MATCH(A169,LST_MESES,0)&gt;=MATCH(PARAMETROS!$E$9,LST_MESES,0),"",INDEX(LST_MESES,MATCH(A169,LST_MESES,0)+1)),IF(MATCH(A169,LST_SEMESTRES,0)&gt;=MATCH(PARAMETROS!$E$9,LST_SEMESTRES,0),"",INDEX(LST_SEMESTRES,MATCH(A169,LST_SEMESTRES,0)+1))))</f>
        <v/>
      </c>
      <c r="B170" s="359">
        <f>IF($A170="","",IFERROR((SUM(Q170,T170,W170,Z170,AC170,AF170,AI170,AL170,AO170)-SUM(R170,U170,X170,AA170,AD170,AG170,AJ170,AM170,AP170))/SUM(P170,S170,V170,Y170,AB170,AE170,AH170,AK170,AN170)*100,""))</f>
        <v/>
      </c>
      <c r="C170" s="348">
        <f>IFERROR(SUMPRODUCT(--(TabelaAvaliacaoDocente[Período]=(IF($A170="","",IF(ISNUMBER(SEARCH("-SEM",$A170)),$A170,LEFT($A170,4)&amp;"-SEM"&amp;IF(VALUE(RIGHT($A170,2)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170="","",IF(ISNUMBER(SEARCH("-SEM",$A170)),$A170,LEFT($A170,4)&amp;"-SEM"&amp;IF(VALUE(RIGHT($A170,2))&lt;=6,1,2))))),--((($K$4="(todos)")+(TabelaAvaliacaoDocente[Curso]=$K$4))&gt;0),--((($N$4="(todas)")+(TabelaAvaliacaoDocente[Disciplina]=$N$4))&gt;0),TabelaAvaliacaoDocente[Respondentes]),"")</f>
        <v/>
      </c>
      <c r="D170" s="349">
        <f>IF($A170="","",IFERROR((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/((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+(SUMIFS(TabelaResultadosAcademicos[Re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)*100,""))</f>
        <v/>
      </c>
      <c r="E170" s="348">
        <f>IFERROR((SUMIFS(TabelaResultadosAcademicos[Soma das nota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/(SUMIFS(TabelaResultadosAcademicos[Quantidade de nota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,"")</f>
        <v/>
      </c>
      <c r="F170" s="350">
        <f>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G170" s="350">
        <f>SUMIFS(TabelaResultadosAcademicos[Reprovados por nota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H170" s="350">
        <f>SUMIFS(TabelaResultadosAcademicos[Reprovados por falta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I170" s="346">
        <f>IF($A170="","",IFERROR(IF((SUMPRODUCT(MAX((METAS!$A$5:$A$404="DTNH-01")*(METAS!$B$5:$B$404=IF($K$4="(todos)","TOTAL",$K$4))*(METAS!$D$5:$D$404&lt;=(IF($A170="",0,IF(ISNUMBER(SEARCH("-SEM",$A170)),VALUE(LEFT($A170,4)&amp;IF(RIGHT($A170,1)="1","01","07")),VALUE(SUBSTITUTE($A170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170="",0,IF(ISNUMBER(SEARCH("-SEM",$A170)),VALUE(LEFT($A170,4)&amp;IF(RIGHT($A170,1)="1","01","07")),VALUE(SUBSTITUTE($A170,"-",""))))))*METAS!$D$5:$D$404))))*METAS!$E$5:$E$404),IF((SUMPRODUCT(MAX((METAS!$A$5:$A$404="DTNH-01")*(METAS!$B$5:$B$404="TOTAL")*(METAS!$D$5:$D$404&lt;=(IF($A170="",0,IF(ISNUMBER(SEARCH("-SEM",$A170)),VALUE(LEFT($A170,4)&amp;IF(RIGHT($A170,1)="1","01","07")),VALUE(SUBSTITUTE($A170,"-",""))))))*METAS!$D$5:$D$404)))&gt;0,SUMPRODUCT((METAS!$A$5:$A$404="DTNH-01")*(METAS!$B$5:$B$404="TOTAL")*(METAS!$D$5:$D$404=(SUMPRODUCT(MAX((METAS!$A$5:$A$404="DTNH-01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J170" s="351">
        <f>IF($A170="","",IFERROR(IF((SUMPRODUCT(MAX((METAS!$A$5:$A$404="DTNH-02")*(METAS!$B$5:$B$404=$N$6)*(METAS!$D$5:$D$404&lt;=(IF($A170="",0,IF(ISNUMBER(SEARCH("-SEM",$A170)),VALUE(LEFT($A170,4)&amp;IF(RIGHT($A170,1)="1","01","07")),VALUE(SUBSTITUTE($A170,"-",""))))))*METAS!$D$5:$D$404)))&gt;0,SUMPRODUCT((METAS!$A$5:$A$404="DTNH-02")*(METAS!$B$5:$B$404=$N$6)*(METAS!$D$5:$D$404=(SUMPRODUCT(MAX((METAS!$A$5:$A$404="DTNH-02")*(METAS!$B$5:$B$404=$N$6)*(METAS!$D$5:$D$404&lt;=(IF($A170="",0,IF(ISNUMBER(SEARCH("-SEM",$A170)),VALUE(LEFT($A170,4)&amp;IF(RIGHT($A170,1)="1","01","07")),VALUE(SUBSTITUTE($A170,"-",""))))))*METAS!$D$5:$D$404))))*METAS!$E$5:$E$404),IF((SUMPRODUCT(MAX((METAS!$A$5:$A$404="DTNH-02")*(METAS!$B$5:$B$404="TOTAL")*(METAS!$D$5:$D$404&lt;=(IF($A170="",0,IF(ISNUMBER(SEARCH("-SEM",$A170)),VALUE(LEFT($A170,4)&amp;IF(RIGHT($A170,1)="1","01","07")),VALUE(SUBSTITUTE($A170,"-",""))))))*METAS!$D$5:$D$404)))&gt;0,SUMPRODUCT((METAS!$A$5:$A$404="DTNH-02")*(METAS!$B$5:$B$404="TOTAL")*(METAS!$D$5:$D$404=(SUMPRODUCT(MAX((METAS!$A$5:$A$404="DTNH-02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K170" s="354">
        <f>IF($A170="","",IFERROR(IF((SUMPRODUCT(MAX((METAS!$A$5:$A$404="DTNH-03")*(METAS!$B$5:$B$404=$N$6)*(METAS!$D$5:$D$404&lt;=(IF($A170="",0,IF(ISNUMBER(SEARCH("-SEM",$A170)),VALUE(LEFT($A170,4)&amp;IF(RIGHT($A170,1)="1","01","07")),VALUE(SUBSTITUTE($A170,"-",""))))))*METAS!$D$5:$D$404)))&gt;0,SUMPRODUCT((METAS!$A$5:$A$404="DTNH-03")*(METAS!$B$5:$B$404=$N$6)*(METAS!$D$5:$D$404=(SUMPRODUCT(MAX((METAS!$A$5:$A$404="DTNH-03")*(METAS!$B$5:$B$404=$N$6)*(METAS!$D$5:$D$404&lt;=(IF($A170="",0,IF(ISNUMBER(SEARCH("-SEM",$A170)),VALUE(LEFT($A170,4)&amp;IF(RIGHT($A170,1)="1","01","07")),VALUE(SUBSTITUTE($A170,"-",""))))))*METAS!$D$5:$D$404))))*METAS!$E$5:$E$404),IF((SUMPRODUCT(MAX((METAS!$A$5:$A$404="DTNH-03")*(METAS!$B$5:$B$404="TOTAL")*(METAS!$D$5:$D$404&lt;=(IF($A170="",0,IF(ISNUMBER(SEARCH("-SEM",$A170)),VALUE(LEFT($A170,4)&amp;IF(RIGHT($A170,1)="1","01","07")),VALUE(SUBSTITUTE($A170,"-",""))))))*METAS!$D$5:$D$404)))&gt;0,SUMPRODUCT((METAS!$A$5:$A$404="DTNH-03")*(METAS!$B$5:$B$404="TOTAL")*(METAS!$D$5:$D$404=(SUMPRODUCT(MAX((METAS!$A$5:$A$404="DTNH-03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P170" s="291">
        <f>IF(OR($K$4="(todos)",$K$4=$A$17),IF($A$17="","",IF($B$4="Mensal",IF(COUNTIFS(TabelaNPS[Período],$A170,TabelaNPS[Curso],$A$17)&gt;0,SUMIFS(TabelaNPS[Respondentes],TabelaNPS[Período],$A170,TabelaNPS[Curso],$A$17),SUMIFS(TabelaNPS[Respondentes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Respondentes],TabelaNPS[Período],(IF($A170="","",IF(ISNUMBER(SEARCH("-SEM",$A170)),$A170,LEFT($A170,4)&amp;"-SEM"&amp;IF(VALUE(RIGHT($A170,2))&lt;=6,1,2)))),TabelaNPS[Curso],$A$17)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Q170" s="291">
        <f>IF(OR($K$4="(todos)",$K$4=$A$17),IF($A$17="","",IF($B$4="Mensal",IF(COUNTIFS(TabelaNPS[Período],$A170,TabelaNPS[Curso],$A$17)&gt;0,SUMIFS(TabelaNPS[Promotores (9-10)],TabelaNPS[Período],$A170,TabelaNPS[Curso],$A$17),SUMIFS(TabelaNPS[Promotores (9-10)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Promotores (9-10)],TabelaNPS[Período],(IF($A170="","",IF(ISNUMBER(SEARCH("-SEM",$A170)),$A170,LEFT($A170,4)&amp;"-SEM"&amp;IF(VALUE(RIGHT($A170,2))&lt;=6,1,2)))),TabelaNPS[Curso],$A$17),SUMIFS(TabelaNPS[Promotores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R170" s="291">
        <f>IF(OR($K$4="(todos)",$K$4=$A$17),IF($A$17="","",IF($B$4="Mensal",IF(COUNTIFS(TabelaNPS[Período],$A170,TabelaNPS[Curso],$A$17)&gt;0,SUMIFS(TabelaNPS[Detratores (0-6)],TabelaNPS[Período],$A170,TabelaNPS[Curso],$A$17),SUMIFS(TabelaNPS[Detratores (0-6)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Detratores (0-6)],TabelaNPS[Período],(IF($A170="","",IF(ISNUMBER(SEARCH("-SEM",$A170)),$A170,LEFT($A170,4)&amp;"-SEM"&amp;IF(VALUE(RIGHT($A170,2))&lt;=6,1,2)))),TabelaNPS[Curso],$A$17),SUMIFS(TabelaNPS[Detratores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S170" s="291">
        <f>IF(OR($K$4="(todos)",$K$4=$A$18),IF($A$18="","",IF($B$4="Mensal",IF(COUNTIFS(TabelaNPS[Período],$A170,TabelaNPS[Curso],$A$18)&gt;0,SUMIFS(TabelaNPS[Respondentes],TabelaNPS[Período],$A170,TabelaNPS[Curso],$A$18),SUMIFS(TabelaNPS[Respondentes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Respondentes],TabelaNPS[Período],(IF($A170="","",IF(ISNUMBER(SEARCH("-SEM",$A170)),$A170,LEFT($A170,4)&amp;"-SEM"&amp;IF(VALUE(RIGHT($A170,2))&lt;=6,1,2)))),TabelaNPS[Curso],$A$18)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T170" s="291">
        <f>IF(OR($K$4="(todos)",$K$4=$A$18),IF($A$18="","",IF($B$4="Mensal",IF(COUNTIFS(TabelaNPS[Período],$A170,TabelaNPS[Curso],$A$18)&gt;0,SUMIFS(TabelaNPS[Promotores (9-10)],TabelaNPS[Período],$A170,TabelaNPS[Curso],$A$18),SUMIFS(TabelaNPS[Promotores (9-10)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Promotores (9-10)],TabelaNPS[Período],(IF($A170="","",IF(ISNUMBER(SEARCH("-SEM",$A170)),$A170,LEFT($A170,4)&amp;"-SEM"&amp;IF(VALUE(RIGHT($A170,2))&lt;=6,1,2)))),TabelaNPS[Curso],$A$18),SUMIFS(TabelaNPS[Promotores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U170" s="291">
        <f>IF(OR($K$4="(todos)",$K$4=$A$18),IF($A$18="","",IF($B$4="Mensal",IF(COUNTIFS(TabelaNPS[Período],$A170,TabelaNPS[Curso],$A$18)&gt;0,SUMIFS(TabelaNPS[Detratores (0-6)],TabelaNPS[Período],$A170,TabelaNPS[Curso],$A$18),SUMIFS(TabelaNPS[Detratores (0-6)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Detratores (0-6)],TabelaNPS[Período],(IF($A170="","",IF(ISNUMBER(SEARCH("-SEM",$A170)),$A170,LEFT($A170,4)&amp;"-SEM"&amp;IF(VALUE(RIGHT($A170,2))&lt;=6,1,2)))),TabelaNPS[Curso],$A$18),SUMIFS(TabelaNPS[Detratores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V170" s="291">
        <f>IF(OR($K$4="(todos)",$K$4=$A$19),IF($A$19="","",IF($B$4="Mensal",IF(COUNTIFS(TabelaNPS[Período],$A170,TabelaNPS[Curso],$A$19)&gt;0,SUMIFS(TabelaNPS[Respondentes],TabelaNPS[Período],$A170,TabelaNPS[Curso],$A$19),SUMIFS(TabelaNPS[Respondentes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Respondentes],TabelaNPS[Período],(IF($A170="","",IF(ISNUMBER(SEARCH("-SEM",$A170)),$A170,LEFT($A170,4)&amp;"-SEM"&amp;IF(VALUE(RIGHT($A170,2))&lt;=6,1,2)))),TabelaNPS[Curso],$A$19)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W170" s="291">
        <f>IF(OR($K$4="(todos)",$K$4=$A$19),IF($A$19="","",IF($B$4="Mensal",IF(COUNTIFS(TabelaNPS[Período],$A170,TabelaNPS[Curso],$A$19)&gt;0,SUMIFS(TabelaNPS[Promotores (9-10)],TabelaNPS[Período],$A170,TabelaNPS[Curso],$A$19),SUMIFS(TabelaNPS[Promotores (9-10)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Promotores (9-10)],TabelaNPS[Período],(IF($A170="","",IF(ISNUMBER(SEARCH("-SEM",$A170)),$A170,LEFT($A170,4)&amp;"-SEM"&amp;IF(VALUE(RIGHT($A170,2))&lt;=6,1,2)))),TabelaNPS[Curso],$A$19),SUMIFS(TabelaNPS[Promotores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X170" s="291">
        <f>IF(OR($K$4="(todos)",$K$4=$A$19),IF($A$19="","",IF($B$4="Mensal",IF(COUNTIFS(TabelaNPS[Período],$A170,TabelaNPS[Curso],$A$19)&gt;0,SUMIFS(TabelaNPS[Detratores (0-6)],TabelaNPS[Período],$A170,TabelaNPS[Curso],$A$19),SUMIFS(TabelaNPS[Detratores (0-6)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Detratores (0-6)],TabelaNPS[Período],(IF($A170="","",IF(ISNUMBER(SEARCH("-SEM",$A170)),$A170,LEFT($A170,4)&amp;"-SEM"&amp;IF(VALUE(RIGHT($A170,2))&lt;=6,1,2)))),TabelaNPS[Curso],$A$19),SUMIFS(TabelaNPS[Detratores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Y170" s="291">
        <f>IF(OR($K$4="(todos)",$K$4=$A$20),IF($A$20="","",IF($B$4="Mensal",IF(COUNTIFS(TabelaNPS[Período],$A170,TabelaNPS[Curso],$A$20)&gt;0,SUMIFS(TabelaNPS[Respondentes],TabelaNPS[Período],$A170,TabelaNPS[Curso],$A$20),SUMIFS(TabelaNPS[Respondentes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Respondentes],TabelaNPS[Período],(IF($A170="","",IF(ISNUMBER(SEARCH("-SEM",$A170)),$A170,LEFT($A170,4)&amp;"-SEM"&amp;IF(VALUE(RIGHT($A170,2))&lt;=6,1,2)))),TabelaNPS[Curso],$A$20)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Z170" s="291">
        <f>IF(OR($K$4="(todos)",$K$4=$A$20),IF($A$20="","",IF($B$4="Mensal",IF(COUNTIFS(TabelaNPS[Período],$A170,TabelaNPS[Curso],$A$20)&gt;0,SUMIFS(TabelaNPS[Promotores (9-10)],TabelaNPS[Período],$A170,TabelaNPS[Curso],$A$20),SUMIFS(TabelaNPS[Promotores (9-10)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Promotores (9-10)],TabelaNPS[Período],(IF($A170="","",IF(ISNUMBER(SEARCH("-SEM",$A170)),$A170,LEFT($A170,4)&amp;"-SEM"&amp;IF(VALUE(RIGHT($A170,2))&lt;=6,1,2)))),TabelaNPS[Curso],$A$20),SUMIFS(TabelaNPS[Promotores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AA170" s="291">
        <f>IF(OR($K$4="(todos)",$K$4=$A$20),IF($A$20="","",IF($B$4="Mensal",IF(COUNTIFS(TabelaNPS[Período],$A170,TabelaNPS[Curso],$A$20)&gt;0,SUMIFS(TabelaNPS[Detratores (0-6)],TabelaNPS[Período],$A170,TabelaNPS[Curso],$A$20),SUMIFS(TabelaNPS[Detratores (0-6)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Detratores (0-6)],TabelaNPS[Período],(IF($A170="","",IF(ISNUMBER(SEARCH("-SEM",$A170)),$A170,LEFT($A170,4)&amp;"-SEM"&amp;IF(VALUE(RIGHT($A170,2))&lt;=6,1,2)))),TabelaNPS[Curso],$A$20),SUMIFS(TabelaNPS[Detratores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AB170" s="291">
        <f>IF(OR($K$4="(todos)",$K$4=$A$21),IF($A$21="","",IF($B$4="Mensal",IF(COUNTIFS(TabelaNPS[Período],$A170,TabelaNPS[Curso],$A$21)&gt;0,SUMIFS(TabelaNPS[Respondentes],TabelaNPS[Período],$A170,TabelaNPS[Curso],$A$21),SUMIFS(TabelaNPS[Respondentes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Respondentes],TabelaNPS[Período],(IF($A170="","",IF(ISNUMBER(SEARCH("-SEM",$A170)),$A170,LEFT($A170,4)&amp;"-SEM"&amp;IF(VALUE(RIGHT($A170,2))&lt;=6,1,2)))),TabelaNPS[Curso],$A$21)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C170" s="291">
        <f>IF(OR($K$4="(todos)",$K$4=$A$21),IF($A$21="","",IF($B$4="Mensal",IF(COUNTIFS(TabelaNPS[Período],$A170,TabelaNPS[Curso],$A$21)&gt;0,SUMIFS(TabelaNPS[Promotores (9-10)],TabelaNPS[Período],$A170,TabelaNPS[Curso],$A$21),SUMIFS(TabelaNPS[Promotores (9-10)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Promotores (9-10)],TabelaNPS[Período],(IF($A170="","",IF(ISNUMBER(SEARCH("-SEM",$A170)),$A170,LEFT($A170,4)&amp;"-SEM"&amp;IF(VALUE(RIGHT($A170,2))&lt;=6,1,2)))),TabelaNPS[Curso],$A$21),SUMIFS(TabelaNPS[Promotores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D170" s="291">
        <f>IF(OR($K$4="(todos)",$K$4=$A$21),IF($A$21="","",IF($B$4="Mensal",IF(COUNTIFS(TabelaNPS[Período],$A170,TabelaNPS[Curso],$A$21)&gt;0,SUMIFS(TabelaNPS[Detratores (0-6)],TabelaNPS[Período],$A170,TabelaNPS[Curso],$A$21),SUMIFS(TabelaNPS[Detratores (0-6)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Detratores (0-6)],TabelaNPS[Período],(IF($A170="","",IF(ISNUMBER(SEARCH("-SEM",$A170)),$A170,LEFT($A170,4)&amp;"-SEM"&amp;IF(VALUE(RIGHT($A170,2))&lt;=6,1,2)))),TabelaNPS[Curso],$A$21),SUMIFS(TabelaNPS[Detratores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E170" s="291">
        <f>IF(OR($K$4="(todos)",$K$4=$A$22),IF($A$22="","",IF($B$4="Mensal",IF(COUNTIFS(TabelaNPS[Período],$A170,TabelaNPS[Curso],$A$22)&gt;0,SUMIFS(TabelaNPS[Respondentes],TabelaNPS[Período],$A170,TabelaNPS[Curso],$A$22),SUMIFS(TabelaNPS[Respondentes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Respondentes],TabelaNPS[Período],(IF($A170="","",IF(ISNUMBER(SEARCH("-SEM",$A170)),$A170,LEFT($A170,4)&amp;"-SEM"&amp;IF(VALUE(RIGHT($A170,2))&lt;=6,1,2)))),TabelaNPS[Curso],$A$22)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F170" s="291">
        <f>IF(OR($K$4="(todos)",$K$4=$A$22),IF($A$22="","",IF($B$4="Mensal",IF(COUNTIFS(TabelaNPS[Período],$A170,TabelaNPS[Curso],$A$22)&gt;0,SUMIFS(TabelaNPS[Promotores (9-10)],TabelaNPS[Período],$A170,TabelaNPS[Curso],$A$22),SUMIFS(TabelaNPS[Promotores (9-10)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Promotores (9-10)],TabelaNPS[Período],(IF($A170="","",IF(ISNUMBER(SEARCH("-SEM",$A170)),$A170,LEFT($A170,4)&amp;"-SEM"&amp;IF(VALUE(RIGHT($A170,2))&lt;=6,1,2)))),TabelaNPS[Curso],$A$22),SUMIFS(TabelaNPS[Promotores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G170" s="291">
        <f>IF(OR($K$4="(todos)",$K$4=$A$22),IF($A$22="","",IF($B$4="Mensal",IF(COUNTIFS(TabelaNPS[Período],$A170,TabelaNPS[Curso],$A$22)&gt;0,SUMIFS(TabelaNPS[Detratores (0-6)],TabelaNPS[Período],$A170,TabelaNPS[Curso],$A$22),SUMIFS(TabelaNPS[Detratores (0-6)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Detratores (0-6)],TabelaNPS[Período],(IF($A170="","",IF(ISNUMBER(SEARCH("-SEM",$A170)),$A170,LEFT($A170,4)&amp;"-SEM"&amp;IF(VALUE(RIGHT($A170,2))&lt;=6,1,2)))),TabelaNPS[Curso],$A$22),SUMIFS(TabelaNPS[Detratores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H170" s="291">
        <f>IF(OR($K$4="(todos)",$K$4=$A$23),IF($A$23="","",IF($B$4="Mensal",IF(COUNTIFS(TabelaNPS[Período],$A170,TabelaNPS[Curso],$A$23)&gt;0,SUMIFS(TabelaNPS[Respondentes],TabelaNPS[Período],$A170,TabelaNPS[Curso],$A$23),SUMIFS(TabelaNPS[Respondentes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Respondentes],TabelaNPS[Período],(IF($A170="","",IF(ISNUMBER(SEARCH("-SEM",$A170)),$A170,LEFT($A170,4)&amp;"-SEM"&amp;IF(VALUE(RIGHT($A170,2))&lt;=6,1,2)))),TabelaNPS[Curso],$A$23)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I170" s="291">
        <f>IF(OR($K$4="(todos)",$K$4=$A$23),IF($A$23="","",IF($B$4="Mensal",IF(COUNTIFS(TabelaNPS[Período],$A170,TabelaNPS[Curso],$A$23)&gt;0,SUMIFS(TabelaNPS[Promotores (9-10)],TabelaNPS[Período],$A170,TabelaNPS[Curso],$A$23),SUMIFS(TabelaNPS[Promotores (9-10)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Promotores (9-10)],TabelaNPS[Período],(IF($A170="","",IF(ISNUMBER(SEARCH("-SEM",$A170)),$A170,LEFT($A170,4)&amp;"-SEM"&amp;IF(VALUE(RIGHT($A170,2))&lt;=6,1,2)))),TabelaNPS[Curso],$A$23),SUMIFS(TabelaNPS[Promotores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J170" s="291">
        <f>IF(OR($K$4="(todos)",$K$4=$A$23),IF($A$23="","",IF($B$4="Mensal",IF(COUNTIFS(TabelaNPS[Período],$A170,TabelaNPS[Curso],$A$23)&gt;0,SUMIFS(TabelaNPS[Detratores (0-6)],TabelaNPS[Período],$A170,TabelaNPS[Curso],$A$23),SUMIFS(TabelaNPS[Detratores (0-6)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Detratores (0-6)],TabelaNPS[Período],(IF($A170="","",IF(ISNUMBER(SEARCH("-SEM",$A170)),$A170,LEFT($A170,4)&amp;"-SEM"&amp;IF(VALUE(RIGHT($A170,2))&lt;=6,1,2)))),TabelaNPS[Curso],$A$23),SUMIFS(TabelaNPS[Detratores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K170" s="291">
        <f>IF(OR($K$4="(todos)",$K$4=$A$24),IF($A$24="","",IF($B$4="Mensal",IF(COUNTIFS(TabelaNPS[Período],$A170,TabelaNPS[Curso],$A$24)&gt;0,SUMIFS(TabelaNPS[Respondentes],TabelaNPS[Período],$A170,TabelaNPS[Curso],$A$24),SUMIFS(TabelaNPS[Respondentes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Respondentes],TabelaNPS[Período],(IF($A170="","",IF(ISNUMBER(SEARCH("-SEM",$A170)),$A170,LEFT($A170,4)&amp;"-SEM"&amp;IF(VALUE(RIGHT($A170,2))&lt;=6,1,2)))),TabelaNPS[Curso],$A$24)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  <c r="AL170" s="291">
        <f>IF(OR($K$4="(todos)",$K$4=$A$24),IF($A$24="","",IF($B$4="Mensal",IF(COUNTIFS(TabelaNPS[Período],$A170,TabelaNPS[Curso],$A$24)&gt;0,SUMIFS(TabelaNPS[Promotores (9-10)],TabelaNPS[Período],$A170,TabelaNPS[Curso],$A$24),SUMIFS(TabelaNPS[Promotores (9-10)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Promotores (9-10)],TabelaNPS[Período],(IF($A170="","",IF(ISNUMBER(SEARCH("-SEM",$A170)),$A170,LEFT($A170,4)&amp;"-SEM"&amp;IF(VALUE(RIGHT($A170,2))&lt;=6,1,2)))),TabelaNPS[Curso],$A$24),SUMIFS(TabelaNPS[Promotores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  <c r="AM170" s="291">
        <f>IF(OR($K$4="(todos)",$K$4=$A$24),IF($A$24="","",IF($B$4="Mensal",IF(COUNTIFS(TabelaNPS[Período],$A170,TabelaNPS[Curso],$A$24)&gt;0,SUMIFS(TabelaNPS[Detratores (0-6)],TabelaNPS[Período],$A170,TabelaNPS[Curso],$A$24),SUMIFS(TabelaNPS[Detratores (0-6)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Detratores (0-6)],TabelaNPS[Período],(IF($A170="","",IF(ISNUMBER(SEARCH("-SEM",$A170)),$A170,LEFT($A170,4)&amp;"-SEM"&amp;IF(VALUE(RIGHT($A170,2))&lt;=6,1,2)))),TabelaNPS[Curso],$A$24),SUMIFS(TabelaNPS[Detratores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  <c r="AN170" s="291">
        <f>IF(OR($K$4="(todos)",$K$4=$A$25),IF($A$25="","",IF($B$4="Mensal",IF(COUNTIFS(TabelaNPS[Período],$A170,TabelaNPS[Curso],$A$25)&gt;0,SUMIFS(TabelaNPS[Respondentes],TabelaNPS[Período],$A170,TabelaNPS[Curso],$A$25),SUMIFS(TabelaNPS[Respondentes],TabelaNPS[Período],(IF($A170="","",IF(ISNUMBER(SEARCH("-SEM",$A170)),$A170,LEFT($A170,4)&amp;"-SEM"&amp;IF(VALUE(RIGHT($A170,2))&lt;=6,1,2)))),TabelaNPS[Curso],$A$25)),IF(COUNTIFS(TabelaNPS[Período],(IF($A170="","",IF(ISNUMBER(SEARCH("-SEM",$A170)),$A170,LEFT($A170,4)&amp;"-SEM"&amp;IF(VALUE(RIGHT($A170,2))&lt;=6,1,2)))),TabelaNPS[Curso],$A$25)&gt;0,SUMIFS(TabelaNPS[Respondentes],TabelaNPS[Período],(IF($A170="","",IF(ISNUMBER(SEARCH("-SEM",$A170)),$A170,LEFT($A170,4)&amp;"-SEM"&amp;IF(VALUE(RIGHT($A170,2))&lt;=6,1,2)))),TabelaNPS[Curso],$A$25)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$25)))),0)</f>
        <v/>
      </c>
      <c r="AO170" s="291">
        <f>IF(OR($K$4="(todos)",$K$4=$A$25),IF($A$25="","",IF($B$4="Mensal",IF(COUNTIFS(TabelaNPS[Período],$A170,TabelaNPS[Curso],$A$25)&gt;0,SUMIFS(TabelaNPS[Promotores (9-10)],TabelaNPS[Período],$A170,TabelaNPS[Curso],$A$25),SUMIFS(TabelaNPS[Promotores (9-10)],TabelaNPS[Período],(IF($A170="","",IF(ISNUMBER(SEARCH("-SEM",$A170)),$A170,LEFT($A170,4)&amp;"-SEM"&amp;IF(VALUE(RIGHT($A170,2))&lt;=6,1,2)))),TabelaNPS[Curso],$A$25)),IF(COUNTIFS(TabelaNPS[Período],(IF($A170="","",IF(ISNUMBER(SEARCH("-SEM",$A170)),$A170,LEFT($A170,4)&amp;"-SEM"&amp;IF(VALUE(RIGHT($A170,2))&lt;=6,1,2)))),TabelaNPS[Curso],$A$25)&gt;0,SUMIFS(TabelaNPS[Promotores (9-10)],TabelaNPS[Período],(IF($A170="","",IF(ISNUMBER(SEARCH("-SEM",$A170)),$A170,LEFT($A170,4)&amp;"-SEM"&amp;IF(VALUE(RIGHT($A170,2))&lt;=6,1,2)))),TabelaNPS[Curso],$A$25),SUMIFS(TabelaNPS[Promotores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$25)))),0)</f>
        <v/>
      </c>
      <c r="AP170" s="291">
        <f>IF(OR($K$4="(todos)",$K$4=$A$25),IF($A$25="","",IF($B$4="Mensal",IF(COUNTIFS(TabelaNPS[Período],$A170,TabelaNPS[Curso],$A$25)&gt;0,SUMIFS(TabelaNPS[Detratores (0-6)],TabelaNPS[Período],$A170,TabelaNPS[Curso],$A$25),SUMIFS(TabelaNPS[Detratores (0-6)],TabelaNPS[Período],(IF($A170="","",IF(ISNUMBER(SEARCH("-SEM",$A170)),$A170,LEFT($A170,4)&amp;"-SEM"&amp;IF(VALUE(RIGHT($A170,2))&lt;=6,1,2)))),TabelaNPS[Curso],$A$25)),IF(COUNTIFS(TabelaNPS[Período],(IF($A170="","",IF(ISNUMBER(SEARCH("-SEM",$A170)),$A170,LEFT($A170,4)&amp;"-SEM"&amp;IF(VALUE(RIGHT($A170,2))&lt;=6,1,2)))),TabelaNPS[Curso],$A$25)&gt;0,SUMIFS(TabelaNPS[Detratores (0-6)],TabelaNPS[Período],(IF($A170="","",IF(ISNUMBER(SEARCH("-SEM",$A170)),$A170,LEFT($A170,4)&amp;"-SEM"&amp;IF(VALUE(RIGHT($A170,2))&lt;=6,1,2)))),TabelaNPS[Curso],$A$25),SUMIFS(TabelaNPS[Detratores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$25)))),0)</f>
        <v/>
      </c>
    </row>
    <row r="171" ht="21.75" customHeight="1" s="131">
      <c r="A171" s="340">
        <f>IF(A170="","",IF($B$4="Mensal",IF(MATCH(A170,LST_MESES,0)&gt;=MATCH(PARAMETROS!$E$9,LST_MESES,0),"",INDEX(LST_MESES,MATCH(A170,LST_MESES,0)+1)),IF(MATCH(A170,LST_SEMESTRES,0)&gt;=MATCH(PARAMETROS!$E$9,LST_SEMESTRES,0),"",INDEX(LST_SEMESTRES,MATCH(A170,LST_SEMESTRES,0)+1))))</f>
        <v/>
      </c>
      <c r="B171" s="359">
        <f>IF($A171="","",IFERROR((SUM(Q171,T171,W171,Z171,AC171,AF171,AI171,AL171,AO171)-SUM(R171,U171,X171,AA171,AD171,AG171,AJ171,AM171,AP171))/SUM(P171,S171,V171,Y171,AB171,AE171,AH171,AK171,AN171)*100,""))</f>
        <v/>
      </c>
      <c r="C171" s="348">
        <f>IFERROR(SUMPRODUCT(--(TabelaAvaliacaoDocente[Período]=(IF($A171="","",IF(ISNUMBER(SEARCH("-SEM",$A171)),$A171,LEFT($A171,4)&amp;"-SEM"&amp;IF(VALUE(RIGHT($A171,2)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171="","",IF(ISNUMBER(SEARCH("-SEM",$A171)),$A171,LEFT($A171,4)&amp;"-SEM"&amp;IF(VALUE(RIGHT($A171,2))&lt;=6,1,2))))),--((($K$4="(todos)")+(TabelaAvaliacaoDocente[Curso]=$K$4))&gt;0),--((($N$4="(todas)")+(TabelaAvaliacaoDocente[Disciplina]=$N$4))&gt;0),TabelaAvaliacaoDocente[Respondentes]),"")</f>
        <v/>
      </c>
      <c r="D171" s="349">
        <f>IF($A171="","",IFERROR((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/((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+(SUMIFS(TabelaResultadosAcademicos[Re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)*100,""))</f>
        <v/>
      </c>
      <c r="E171" s="348">
        <f>IFERROR((SUMIFS(TabelaResultadosAcademicos[Soma das nota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/(SUMIFS(TabelaResultadosAcademicos[Quantidade de nota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,"")</f>
        <v/>
      </c>
      <c r="F171" s="350">
        <f>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G171" s="350">
        <f>SUMIFS(TabelaResultadosAcademicos[Reprovados por nota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H171" s="350">
        <f>SUMIFS(TabelaResultadosAcademicos[Reprovados por falta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I171" s="346">
        <f>IF($A171="","",IFERROR(IF((SUMPRODUCT(MAX((METAS!$A$5:$A$404="DTNH-01")*(METAS!$B$5:$B$404=IF($K$4="(todos)","TOTAL",$K$4))*(METAS!$D$5:$D$404&lt;=(IF($A171="",0,IF(ISNUMBER(SEARCH("-SEM",$A171)),VALUE(LEFT($A171,4)&amp;IF(RIGHT($A171,1)="1","01","07")),VALUE(SUBSTITUTE($A171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171="",0,IF(ISNUMBER(SEARCH("-SEM",$A171)),VALUE(LEFT($A171,4)&amp;IF(RIGHT($A171,1)="1","01","07")),VALUE(SUBSTITUTE($A171,"-",""))))))*METAS!$D$5:$D$404))))*METAS!$E$5:$E$404),IF((SUMPRODUCT(MAX((METAS!$A$5:$A$404="DTNH-01")*(METAS!$B$5:$B$404="TOTAL")*(METAS!$D$5:$D$404&lt;=(IF($A171="",0,IF(ISNUMBER(SEARCH("-SEM",$A171)),VALUE(LEFT($A171,4)&amp;IF(RIGHT($A171,1)="1","01","07")),VALUE(SUBSTITUTE($A171,"-",""))))))*METAS!$D$5:$D$404)))&gt;0,SUMPRODUCT((METAS!$A$5:$A$404="DTNH-01")*(METAS!$B$5:$B$404="TOTAL")*(METAS!$D$5:$D$404=(SUMPRODUCT(MAX((METAS!$A$5:$A$404="DTNH-01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J171" s="351">
        <f>IF($A171="","",IFERROR(IF((SUMPRODUCT(MAX((METAS!$A$5:$A$404="DTNH-02")*(METAS!$B$5:$B$404=$N$6)*(METAS!$D$5:$D$404&lt;=(IF($A171="",0,IF(ISNUMBER(SEARCH("-SEM",$A171)),VALUE(LEFT($A171,4)&amp;IF(RIGHT($A171,1)="1","01","07")),VALUE(SUBSTITUTE($A171,"-",""))))))*METAS!$D$5:$D$404)))&gt;0,SUMPRODUCT((METAS!$A$5:$A$404="DTNH-02")*(METAS!$B$5:$B$404=$N$6)*(METAS!$D$5:$D$404=(SUMPRODUCT(MAX((METAS!$A$5:$A$404="DTNH-02")*(METAS!$B$5:$B$404=$N$6)*(METAS!$D$5:$D$404&lt;=(IF($A171="",0,IF(ISNUMBER(SEARCH("-SEM",$A171)),VALUE(LEFT($A171,4)&amp;IF(RIGHT($A171,1)="1","01","07")),VALUE(SUBSTITUTE($A171,"-",""))))))*METAS!$D$5:$D$404))))*METAS!$E$5:$E$404),IF((SUMPRODUCT(MAX((METAS!$A$5:$A$404="DTNH-02")*(METAS!$B$5:$B$404="TOTAL")*(METAS!$D$5:$D$404&lt;=(IF($A171="",0,IF(ISNUMBER(SEARCH("-SEM",$A171)),VALUE(LEFT($A171,4)&amp;IF(RIGHT($A171,1)="1","01","07")),VALUE(SUBSTITUTE($A171,"-",""))))))*METAS!$D$5:$D$404)))&gt;0,SUMPRODUCT((METAS!$A$5:$A$404="DTNH-02")*(METAS!$B$5:$B$404="TOTAL")*(METAS!$D$5:$D$404=(SUMPRODUCT(MAX((METAS!$A$5:$A$404="DTNH-02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K171" s="354">
        <f>IF($A171="","",IFERROR(IF((SUMPRODUCT(MAX((METAS!$A$5:$A$404="DTNH-03")*(METAS!$B$5:$B$404=$N$6)*(METAS!$D$5:$D$404&lt;=(IF($A171="",0,IF(ISNUMBER(SEARCH("-SEM",$A171)),VALUE(LEFT($A171,4)&amp;IF(RIGHT($A171,1)="1","01","07")),VALUE(SUBSTITUTE($A171,"-",""))))))*METAS!$D$5:$D$404)))&gt;0,SUMPRODUCT((METAS!$A$5:$A$404="DTNH-03")*(METAS!$B$5:$B$404=$N$6)*(METAS!$D$5:$D$404=(SUMPRODUCT(MAX((METAS!$A$5:$A$404="DTNH-03")*(METAS!$B$5:$B$404=$N$6)*(METAS!$D$5:$D$404&lt;=(IF($A171="",0,IF(ISNUMBER(SEARCH("-SEM",$A171)),VALUE(LEFT($A171,4)&amp;IF(RIGHT($A171,1)="1","01","07")),VALUE(SUBSTITUTE($A171,"-",""))))))*METAS!$D$5:$D$404))))*METAS!$E$5:$E$404),IF((SUMPRODUCT(MAX((METAS!$A$5:$A$404="DTNH-03")*(METAS!$B$5:$B$404="TOTAL")*(METAS!$D$5:$D$404&lt;=(IF($A171="",0,IF(ISNUMBER(SEARCH("-SEM",$A171)),VALUE(LEFT($A171,4)&amp;IF(RIGHT($A171,1)="1","01","07")),VALUE(SUBSTITUTE($A171,"-",""))))))*METAS!$D$5:$D$404)))&gt;0,SUMPRODUCT((METAS!$A$5:$A$404="DTNH-03")*(METAS!$B$5:$B$404="TOTAL")*(METAS!$D$5:$D$404=(SUMPRODUCT(MAX((METAS!$A$5:$A$404="DTNH-03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P171" s="291">
        <f>IF(OR($K$4="(todos)",$K$4=$A$17),IF($A$17="","",IF($B$4="Mensal",IF(COUNTIFS(TabelaNPS[Período],$A171,TabelaNPS[Curso],$A$17)&gt;0,SUMIFS(TabelaNPS[Respondentes],TabelaNPS[Período],$A171,TabelaNPS[Curso],$A$17),SUMIFS(TabelaNPS[Respondentes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Respondentes],TabelaNPS[Período],(IF($A171="","",IF(ISNUMBER(SEARCH("-SEM",$A171)),$A171,LEFT($A171,4)&amp;"-SEM"&amp;IF(VALUE(RIGHT($A171,2))&lt;=6,1,2)))),TabelaNPS[Curso],$A$17)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Q171" s="291">
        <f>IF(OR($K$4="(todos)",$K$4=$A$17),IF($A$17="","",IF($B$4="Mensal",IF(COUNTIFS(TabelaNPS[Período],$A171,TabelaNPS[Curso],$A$17)&gt;0,SUMIFS(TabelaNPS[Promotores (9-10)],TabelaNPS[Período],$A171,TabelaNPS[Curso],$A$17),SUMIFS(TabelaNPS[Promotores (9-10)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Promotores (9-10)],TabelaNPS[Período],(IF($A171="","",IF(ISNUMBER(SEARCH("-SEM",$A171)),$A171,LEFT($A171,4)&amp;"-SEM"&amp;IF(VALUE(RIGHT($A171,2))&lt;=6,1,2)))),TabelaNPS[Curso],$A$17),SUMIFS(TabelaNPS[Promotores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R171" s="291">
        <f>IF(OR($K$4="(todos)",$K$4=$A$17),IF($A$17="","",IF($B$4="Mensal",IF(COUNTIFS(TabelaNPS[Período],$A171,TabelaNPS[Curso],$A$17)&gt;0,SUMIFS(TabelaNPS[Detratores (0-6)],TabelaNPS[Período],$A171,TabelaNPS[Curso],$A$17),SUMIFS(TabelaNPS[Detratores (0-6)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Detratores (0-6)],TabelaNPS[Período],(IF($A171="","",IF(ISNUMBER(SEARCH("-SEM",$A171)),$A171,LEFT($A171,4)&amp;"-SEM"&amp;IF(VALUE(RIGHT($A171,2))&lt;=6,1,2)))),TabelaNPS[Curso],$A$17),SUMIFS(TabelaNPS[Detratores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S171" s="291">
        <f>IF(OR($K$4="(todos)",$K$4=$A$18),IF($A$18="","",IF($B$4="Mensal",IF(COUNTIFS(TabelaNPS[Período],$A171,TabelaNPS[Curso],$A$18)&gt;0,SUMIFS(TabelaNPS[Respondentes],TabelaNPS[Período],$A171,TabelaNPS[Curso],$A$18),SUMIFS(TabelaNPS[Respondentes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Respondentes],TabelaNPS[Período],(IF($A171="","",IF(ISNUMBER(SEARCH("-SEM",$A171)),$A171,LEFT($A171,4)&amp;"-SEM"&amp;IF(VALUE(RIGHT($A171,2))&lt;=6,1,2)))),TabelaNPS[Curso],$A$18)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T171" s="291">
        <f>IF(OR($K$4="(todos)",$K$4=$A$18),IF($A$18="","",IF($B$4="Mensal",IF(COUNTIFS(TabelaNPS[Período],$A171,TabelaNPS[Curso],$A$18)&gt;0,SUMIFS(TabelaNPS[Promotores (9-10)],TabelaNPS[Período],$A171,TabelaNPS[Curso],$A$18),SUMIFS(TabelaNPS[Promotores (9-10)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Promotores (9-10)],TabelaNPS[Período],(IF($A171="","",IF(ISNUMBER(SEARCH("-SEM",$A171)),$A171,LEFT($A171,4)&amp;"-SEM"&amp;IF(VALUE(RIGHT($A171,2))&lt;=6,1,2)))),TabelaNPS[Curso],$A$18),SUMIFS(TabelaNPS[Promotores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U171" s="291">
        <f>IF(OR($K$4="(todos)",$K$4=$A$18),IF($A$18="","",IF($B$4="Mensal",IF(COUNTIFS(TabelaNPS[Período],$A171,TabelaNPS[Curso],$A$18)&gt;0,SUMIFS(TabelaNPS[Detratores (0-6)],TabelaNPS[Período],$A171,TabelaNPS[Curso],$A$18),SUMIFS(TabelaNPS[Detratores (0-6)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Detratores (0-6)],TabelaNPS[Período],(IF($A171="","",IF(ISNUMBER(SEARCH("-SEM",$A171)),$A171,LEFT($A171,4)&amp;"-SEM"&amp;IF(VALUE(RIGHT($A171,2))&lt;=6,1,2)))),TabelaNPS[Curso],$A$18),SUMIFS(TabelaNPS[Detratores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V171" s="291">
        <f>IF(OR($K$4="(todos)",$K$4=$A$19),IF($A$19="","",IF($B$4="Mensal",IF(COUNTIFS(TabelaNPS[Período],$A171,TabelaNPS[Curso],$A$19)&gt;0,SUMIFS(TabelaNPS[Respondentes],TabelaNPS[Período],$A171,TabelaNPS[Curso],$A$19),SUMIFS(TabelaNPS[Respondentes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Respondentes],TabelaNPS[Período],(IF($A171="","",IF(ISNUMBER(SEARCH("-SEM",$A171)),$A171,LEFT($A171,4)&amp;"-SEM"&amp;IF(VALUE(RIGHT($A171,2))&lt;=6,1,2)))),TabelaNPS[Curso],$A$19)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W171" s="291">
        <f>IF(OR($K$4="(todos)",$K$4=$A$19),IF($A$19="","",IF($B$4="Mensal",IF(COUNTIFS(TabelaNPS[Período],$A171,TabelaNPS[Curso],$A$19)&gt;0,SUMIFS(TabelaNPS[Promotores (9-10)],TabelaNPS[Período],$A171,TabelaNPS[Curso],$A$19),SUMIFS(TabelaNPS[Promotores (9-10)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Promotores (9-10)],TabelaNPS[Período],(IF($A171="","",IF(ISNUMBER(SEARCH("-SEM",$A171)),$A171,LEFT($A171,4)&amp;"-SEM"&amp;IF(VALUE(RIGHT($A171,2))&lt;=6,1,2)))),TabelaNPS[Curso],$A$19),SUMIFS(TabelaNPS[Promotores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X171" s="291">
        <f>IF(OR($K$4="(todos)",$K$4=$A$19),IF($A$19="","",IF($B$4="Mensal",IF(COUNTIFS(TabelaNPS[Período],$A171,TabelaNPS[Curso],$A$19)&gt;0,SUMIFS(TabelaNPS[Detratores (0-6)],TabelaNPS[Período],$A171,TabelaNPS[Curso],$A$19),SUMIFS(TabelaNPS[Detratores (0-6)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Detratores (0-6)],TabelaNPS[Período],(IF($A171="","",IF(ISNUMBER(SEARCH("-SEM",$A171)),$A171,LEFT($A171,4)&amp;"-SEM"&amp;IF(VALUE(RIGHT($A171,2))&lt;=6,1,2)))),TabelaNPS[Curso],$A$19),SUMIFS(TabelaNPS[Detratores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Y171" s="291">
        <f>IF(OR($K$4="(todos)",$K$4=$A$20),IF($A$20="","",IF($B$4="Mensal",IF(COUNTIFS(TabelaNPS[Período],$A171,TabelaNPS[Curso],$A$20)&gt;0,SUMIFS(TabelaNPS[Respondentes],TabelaNPS[Período],$A171,TabelaNPS[Curso],$A$20),SUMIFS(TabelaNPS[Respondentes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Respondentes],TabelaNPS[Período],(IF($A171="","",IF(ISNUMBER(SEARCH("-SEM",$A171)),$A171,LEFT($A171,4)&amp;"-SEM"&amp;IF(VALUE(RIGHT($A171,2))&lt;=6,1,2)))),TabelaNPS[Curso],$A$20)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Z171" s="291">
        <f>IF(OR($K$4="(todos)",$K$4=$A$20),IF($A$20="","",IF($B$4="Mensal",IF(COUNTIFS(TabelaNPS[Período],$A171,TabelaNPS[Curso],$A$20)&gt;0,SUMIFS(TabelaNPS[Promotores (9-10)],TabelaNPS[Período],$A171,TabelaNPS[Curso],$A$20),SUMIFS(TabelaNPS[Promotores (9-10)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Promotores (9-10)],TabelaNPS[Período],(IF($A171="","",IF(ISNUMBER(SEARCH("-SEM",$A171)),$A171,LEFT($A171,4)&amp;"-SEM"&amp;IF(VALUE(RIGHT($A171,2))&lt;=6,1,2)))),TabelaNPS[Curso],$A$20),SUMIFS(TabelaNPS[Promotores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AA171" s="291">
        <f>IF(OR($K$4="(todos)",$K$4=$A$20),IF($A$20="","",IF($B$4="Mensal",IF(COUNTIFS(TabelaNPS[Período],$A171,TabelaNPS[Curso],$A$20)&gt;0,SUMIFS(TabelaNPS[Detratores (0-6)],TabelaNPS[Período],$A171,TabelaNPS[Curso],$A$20),SUMIFS(TabelaNPS[Detratores (0-6)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Detratores (0-6)],TabelaNPS[Período],(IF($A171="","",IF(ISNUMBER(SEARCH("-SEM",$A171)),$A171,LEFT($A171,4)&amp;"-SEM"&amp;IF(VALUE(RIGHT($A171,2))&lt;=6,1,2)))),TabelaNPS[Curso],$A$20),SUMIFS(TabelaNPS[Detratores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AB171" s="291">
        <f>IF(OR($K$4="(todos)",$K$4=$A$21),IF($A$21="","",IF($B$4="Mensal",IF(COUNTIFS(TabelaNPS[Período],$A171,TabelaNPS[Curso],$A$21)&gt;0,SUMIFS(TabelaNPS[Respondentes],TabelaNPS[Período],$A171,TabelaNPS[Curso],$A$21),SUMIFS(TabelaNPS[Respondentes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Respondentes],TabelaNPS[Período],(IF($A171="","",IF(ISNUMBER(SEARCH("-SEM",$A171)),$A171,LEFT($A171,4)&amp;"-SEM"&amp;IF(VALUE(RIGHT($A171,2))&lt;=6,1,2)))),TabelaNPS[Curso],$A$21)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C171" s="291">
        <f>IF(OR($K$4="(todos)",$K$4=$A$21),IF($A$21="","",IF($B$4="Mensal",IF(COUNTIFS(TabelaNPS[Período],$A171,TabelaNPS[Curso],$A$21)&gt;0,SUMIFS(TabelaNPS[Promotores (9-10)],TabelaNPS[Período],$A171,TabelaNPS[Curso],$A$21),SUMIFS(TabelaNPS[Promotores (9-10)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Promotores (9-10)],TabelaNPS[Período],(IF($A171="","",IF(ISNUMBER(SEARCH("-SEM",$A171)),$A171,LEFT($A171,4)&amp;"-SEM"&amp;IF(VALUE(RIGHT($A171,2))&lt;=6,1,2)))),TabelaNPS[Curso],$A$21),SUMIFS(TabelaNPS[Promotores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D171" s="291">
        <f>IF(OR($K$4="(todos)",$K$4=$A$21),IF($A$21="","",IF($B$4="Mensal",IF(COUNTIFS(TabelaNPS[Período],$A171,TabelaNPS[Curso],$A$21)&gt;0,SUMIFS(TabelaNPS[Detratores (0-6)],TabelaNPS[Período],$A171,TabelaNPS[Curso],$A$21),SUMIFS(TabelaNPS[Detratores (0-6)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Detratores (0-6)],TabelaNPS[Período],(IF($A171="","",IF(ISNUMBER(SEARCH("-SEM",$A171)),$A171,LEFT($A171,4)&amp;"-SEM"&amp;IF(VALUE(RIGHT($A171,2))&lt;=6,1,2)))),TabelaNPS[Curso],$A$21),SUMIFS(TabelaNPS[Detratores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E171" s="291">
        <f>IF(OR($K$4="(todos)",$K$4=$A$22),IF($A$22="","",IF($B$4="Mensal",IF(COUNTIFS(TabelaNPS[Período],$A171,TabelaNPS[Curso],$A$22)&gt;0,SUMIFS(TabelaNPS[Respondentes],TabelaNPS[Período],$A171,TabelaNPS[Curso],$A$22),SUMIFS(TabelaNPS[Respondentes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Respondentes],TabelaNPS[Período],(IF($A171="","",IF(ISNUMBER(SEARCH("-SEM",$A171)),$A171,LEFT($A171,4)&amp;"-SEM"&amp;IF(VALUE(RIGHT($A171,2))&lt;=6,1,2)))),TabelaNPS[Curso],$A$22)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F171" s="291">
        <f>IF(OR($K$4="(todos)",$K$4=$A$22),IF($A$22="","",IF($B$4="Mensal",IF(COUNTIFS(TabelaNPS[Período],$A171,TabelaNPS[Curso],$A$22)&gt;0,SUMIFS(TabelaNPS[Promotores (9-10)],TabelaNPS[Período],$A171,TabelaNPS[Curso],$A$22),SUMIFS(TabelaNPS[Promotores (9-10)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Promotores (9-10)],TabelaNPS[Período],(IF($A171="","",IF(ISNUMBER(SEARCH("-SEM",$A171)),$A171,LEFT($A171,4)&amp;"-SEM"&amp;IF(VALUE(RIGHT($A171,2))&lt;=6,1,2)))),TabelaNPS[Curso],$A$22),SUMIFS(TabelaNPS[Promotores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G171" s="291">
        <f>IF(OR($K$4="(todos)",$K$4=$A$22),IF($A$22="","",IF($B$4="Mensal",IF(COUNTIFS(TabelaNPS[Período],$A171,TabelaNPS[Curso],$A$22)&gt;0,SUMIFS(TabelaNPS[Detratores (0-6)],TabelaNPS[Período],$A171,TabelaNPS[Curso],$A$22),SUMIFS(TabelaNPS[Detratores (0-6)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Detratores (0-6)],TabelaNPS[Período],(IF($A171="","",IF(ISNUMBER(SEARCH("-SEM",$A171)),$A171,LEFT($A171,4)&amp;"-SEM"&amp;IF(VALUE(RIGHT($A171,2))&lt;=6,1,2)))),TabelaNPS[Curso],$A$22),SUMIFS(TabelaNPS[Detratores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H171" s="291">
        <f>IF(OR($K$4="(todos)",$K$4=$A$23),IF($A$23="","",IF($B$4="Mensal",IF(COUNTIFS(TabelaNPS[Período],$A171,TabelaNPS[Curso],$A$23)&gt;0,SUMIFS(TabelaNPS[Respondentes],TabelaNPS[Período],$A171,TabelaNPS[Curso],$A$23),SUMIFS(TabelaNPS[Respondentes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Respondentes],TabelaNPS[Período],(IF($A171="","",IF(ISNUMBER(SEARCH("-SEM",$A171)),$A171,LEFT($A171,4)&amp;"-SEM"&amp;IF(VALUE(RIGHT($A171,2))&lt;=6,1,2)))),TabelaNPS[Curso],$A$23)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I171" s="291">
        <f>IF(OR($K$4="(todos)",$K$4=$A$23),IF($A$23="","",IF($B$4="Mensal",IF(COUNTIFS(TabelaNPS[Período],$A171,TabelaNPS[Curso],$A$23)&gt;0,SUMIFS(TabelaNPS[Promotores (9-10)],TabelaNPS[Período],$A171,TabelaNPS[Curso],$A$23),SUMIFS(TabelaNPS[Promotores (9-10)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Promotores (9-10)],TabelaNPS[Período],(IF($A171="","",IF(ISNUMBER(SEARCH("-SEM",$A171)),$A171,LEFT($A171,4)&amp;"-SEM"&amp;IF(VALUE(RIGHT($A171,2))&lt;=6,1,2)))),TabelaNPS[Curso],$A$23),SUMIFS(TabelaNPS[Promotores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J171" s="291">
        <f>IF(OR($K$4="(todos)",$K$4=$A$23),IF($A$23="","",IF($B$4="Mensal",IF(COUNTIFS(TabelaNPS[Período],$A171,TabelaNPS[Curso],$A$23)&gt;0,SUMIFS(TabelaNPS[Detratores (0-6)],TabelaNPS[Período],$A171,TabelaNPS[Curso],$A$23),SUMIFS(TabelaNPS[Detratores (0-6)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Detratores (0-6)],TabelaNPS[Período],(IF($A171="","",IF(ISNUMBER(SEARCH("-SEM",$A171)),$A171,LEFT($A171,4)&amp;"-SEM"&amp;IF(VALUE(RIGHT($A171,2))&lt;=6,1,2)))),TabelaNPS[Curso],$A$23),SUMIFS(TabelaNPS[Detratores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K171" s="291">
        <f>IF(OR($K$4="(todos)",$K$4=$A$24),IF($A$24="","",IF($B$4="Mensal",IF(COUNTIFS(TabelaNPS[Período],$A171,TabelaNPS[Curso],$A$24)&gt;0,SUMIFS(TabelaNPS[Respondentes],TabelaNPS[Período],$A171,TabelaNPS[Curso],$A$24),SUMIFS(TabelaNPS[Respondentes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Respondentes],TabelaNPS[Período],(IF($A171="","",IF(ISNUMBER(SEARCH("-SEM",$A171)),$A171,LEFT($A171,4)&amp;"-SEM"&amp;IF(VALUE(RIGHT($A171,2))&lt;=6,1,2)))),TabelaNPS[Curso],$A$24)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  <c r="AL171" s="291">
        <f>IF(OR($K$4="(todos)",$K$4=$A$24),IF($A$24="","",IF($B$4="Mensal",IF(COUNTIFS(TabelaNPS[Período],$A171,TabelaNPS[Curso],$A$24)&gt;0,SUMIFS(TabelaNPS[Promotores (9-10)],TabelaNPS[Período],$A171,TabelaNPS[Curso],$A$24),SUMIFS(TabelaNPS[Promotores (9-10)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Promotores (9-10)],TabelaNPS[Período],(IF($A171="","",IF(ISNUMBER(SEARCH("-SEM",$A171)),$A171,LEFT($A171,4)&amp;"-SEM"&amp;IF(VALUE(RIGHT($A171,2))&lt;=6,1,2)))),TabelaNPS[Curso],$A$24),SUMIFS(TabelaNPS[Promotores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  <c r="AM171" s="291">
        <f>IF(OR($K$4="(todos)",$K$4=$A$24),IF($A$24="","",IF($B$4="Mensal",IF(COUNTIFS(TabelaNPS[Período],$A171,TabelaNPS[Curso],$A$24)&gt;0,SUMIFS(TabelaNPS[Detratores (0-6)],TabelaNPS[Período],$A171,TabelaNPS[Curso],$A$24),SUMIFS(TabelaNPS[Detratores (0-6)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Detratores (0-6)],TabelaNPS[Período],(IF($A171="","",IF(ISNUMBER(SEARCH("-SEM",$A171)),$A171,LEFT($A171,4)&amp;"-SEM"&amp;IF(VALUE(RIGHT($A171,2))&lt;=6,1,2)))),TabelaNPS[Curso],$A$24),SUMIFS(TabelaNPS[Detratores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  <c r="AN171" s="291">
        <f>IF(OR($K$4="(todos)",$K$4=$A$25),IF($A$25="","",IF($B$4="Mensal",IF(COUNTIFS(TabelaNPS[Período],$A171,TabelaNPS[Curso],$A$25)&gt;0,SUMIFS(TabelaNPS[Respondentes],TabelaNPS[Período],$A171,TabelaNPS[Curso],$A$25),SUMIFS(TabelaNPS[Respondentes],TabelaNPS[Período],(IF($A171="","",IF(ISNUMBER(SEARCH("-SEM",$A171)),$A171,LEFT($A171,4)&amp;"-SEM"&amp;IF(VALUE(RIGHT($A171,2))&lt;=6,1,2)))),TabelaNPS[Curso],$A$25)),IF(COUNTIFS(TabelaNPS[Período],(IF($A171="","",IF(ISNUMBER(SEARCH("-SEM",$A171)),$A171,LEFT($A171,4)&amp;"-SEM"&amp;IF(VALUE(RIGHT($A171,2))&lt;=6,1,2)))),TabelaNPS[Curso],$A$25)&gt;0,SUMIFS(TabelaNPS[Respondentes],TabelaNPS[Período],(IF($A171="","",IF(ISNUMBER(SEARCH("-SEM",$A171)),$A171,LEFT($A171,4)&amp;"-SEM"&amp;IF(VALUE(RIGHT($A171,2))&lt;=6,1,2)))),TabelaNPS[Curso],$A$25)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$25)))),0)</f>
        <v/>
      </c>
      <c r="AO171" s="291">
        <f>IF(OR($K$4="(todos)",$K$4=$A$25),IF($A$25="","",IF($B$4="Mensal",IF(COUNTIFS(TabelaNPS[Período],$A171,TabelaNPS[Curso],$A$25)&gt;0,SUMIFS(TabelaNPS[Promotores (9-10)],TabelaNPS[Período],$A171,TabelaNPS[Curso],$A$25),SUMIFS(TabelaNPS[Promotores (9-10)],TabelaNPS[Período],(IF($A171="","",IF(ISNUMBER(SEARCH("-SEM",$A171)),$A171,LEFT($A171,4)&amp;"-SEM"&amp;IF(VALUE(RIGHT($A171,2))&lt;=6,1,2)))),TabelaNPS[Curso],$A$25)),IF(COUNTIFS(TabelaNPS[Período],(IF($A171="","",IF(ISNUMBER(SEARCH("-SEM",$A171)),$A171,LEFT($A171,4)&amp;"-SEM"&amp;IF(VALUE(RIGHT($A171,2))&lt;=6,1,2)))),TabelaNPS[Curso],$A$25)&gt;0,SUMIFS(TabelaNPS[Promotores (9-10)],TabelaNPS[Período],(IF($A171="","",IF(ISNUMBER(SEARCH("-SEM",$A171)),$A171,LEFT($A171,4)&amp;"-SEM"&amp;IF(VALUE(RIGHT($A171,2))&lt;=6,1,2)))),TabelaNPS[Curso],$A$25),SUMIFS(TabelaNPS[Promotores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$25)))),0)</f>
        <v/>
      </c>
      <c r="AP171" s="291">
        <f>IF(OR($K$4="(todos)",$K$4=$A$25),IF($A$25="","",IF($B$4="Mensal",IF(COUNTIFS(TabelaNPS[Período],$A171,TabelaNPS[Curso],$A$25)&gt;0,SUMIFS(TabelaNPS[Detratores (0-6)],TabelaNPS[Período],$A171,TabelaNPS[Curso],$A$25),SUMIFS(TabelaNPS[Detratores (0-6)],TabelaNPS[Período],(IF($A171="","",IF(ISNUMBER(SEARCH("-SEM",$A171)),$A171,LEFT($A171,4)&amp;"-SEM"&amp;IF(VALUE(RIGHT($A171,2))&lt;=6,1,2)))),TabelaNPS[Curso],$A$25)),IF(COUNTIFS(TabelaNPS[Período],(IF($A171="","",IF(ISNUMBER(SEARCH("-SEM",$A171)),$A171,LEFT($A171,4)&amp;"-SEM"&amp;IF(VALUE(RIGHT($A171,2))&lt;=6,1,2)))),TabelaNPS[Curso],$A$25)&gt;0,SUMIFS(TabelaNPS[Detratores (0-6)],TabelaNPS[Período],(IF($A171="","",IF(ISNUMBER(SEARCH("-SEM",$A171)),$A171,LEFT($A171,4)&amp;"-SEM"&amp;IF(VALUE(RIGHT($A171,2))&lt;=6,1,2)))),TabelaNPS[Curso],$A$25),SUMIFS(TabelaNPS[Detratores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$25)))),0)</f>
        <v/>
      </c>
    </row>
    <row r="172">
      <c r="A172" s="343">
        <f>IF(A171="","",IF($B$4="Mensal",IF(MATCH(A171,LST_MESES,0)&gt;=MATCH(PARAMETROS!$E$9,LST_MESES,0),"",INDEX(LST_MESES,MATCH(A171,LST_MESES,0)+1)),IF(MATCH(A171,LST_SEMESTRES,0)&gt;=MATCH(PARAMETROS!$E$9,LST_SEMESTRES,0),"",INDEX(LST_SEMESTRES,MATCH(A171,LST_SEMESTRES,0)+1))))</f>
        <v/>
      </c>
      <c r="B172" s="353">
        <f>IF($A172="","",IFERROR((SUM(Q172,T172,W172,Z172,AC172,AF172,AI172,AL172,AO172)-SUM(R172,U172,X172,AA172,AD172,AG172,AJ172,AM172,AP172))/SUM(P172,S172,V172,Y172,AB172,AE172,AH172,AK172,AN172)*100,""))</f>
        <v/>
      </c>
      <c r="C172" s="351">
        <f>IFERROR(SUMPRODUCT(--(TabelaAvaliacaoDocente[Período]=(IF($A172="","",IF(ISNUMBER(SEARCH("-SEM",$A172)),$A172,LEFT($A172,4)&amp;"-SEM"&amp;IF(VALUE(RIGHT($A172,2)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172="","",IF(ISNUMBER(SEARCH("-SEM",$A172)),$A172,LEFT($A172,4)&amp;"-SEM"&amp;IF(VALUE(RIGHT($A172,2))&lt;=6,1,2))))),--((($K$4="(todos)")+(TabelaAvaliacaoDocente[Curso]=$K$4))&gt;0),--((($N$4="(todas)")+(TabelaAvaliacaoDocente[Disciplina]=$N$4))&gt;0),TabelaAvaliacaoDocente[Respondentes]),"")</f>
        <v/>
      </c>
      <c r="D172" s="354">
        <f>IF($A172="","",IFERROR((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/((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+(SUMIFS(TabelaResultadosAcademicos[Re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)*100,""))</f>
        <v/>
      </c>
      <c r="E172" s="351">
        <f>IFERROR((SUMIFS(TabelaResultadosAcademicos[Soma das nota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/(SUMIFS(TabelaResultadosAcademicos[Quantidade de nota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,"")</f>
        <v/>
      </c>
      <c r="F172" s="347">
        <f>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G172" s="347">
        <f>SUMIFS(TabelaResultadosAcademicos[Reprovados por nota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H172" s="347">
        <f>SUMIFS(TabelaResultadosAcademicos[Reprovados por falta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I172" s="353">
        <f>IF($A172="","",IFERROR(IF((SUMPRODUCT(MAX((METAS!$A$5:$A$404="DTNH-01")*(METAS!$B$5:$B$404=IF($K$4="(todos)","TOTAL",$K$4))*(METAS!$D$5:$D$404&lt;=(IF($A172="",0,IF(ISNUMBER(SEARCH("-SEM",$A172)),VALUE(LEFT($A172,4)&amp;IF(RIGHT($A172,1)="1","01","07")),VALUE(SUBSTITUTE($A172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172="",0,IF(ISNUMBER(SEARCH("-SEM",$A172)),VALUE(LEFT($A172,4)&amp;IF(RIGHT($A172,1)="1","01","07")),VALUE(SUBSTITUTE($A172,"-",""))))))*METAS!$D$5:$D$404))))*METAS!$E$5:$E$404),IF((SUMPRODUCT(MAX((METAS!$A$5:$A$404="DTNH-01")*(METAS!$B$5:$B$404="TOTAL")*(METAS!$D$5:$D$404&lt;=(IF($A172="",0,IF(ISNUMBER(SEARCH("-SEM",$A172)),VALUE(LEFT($A172,4)&amp;IF(RIGHT($A172,1)="1","01","07")),VALUE(SUBSTITUTE($A172,"-",""))))))*METAS!$D$5:$D$404)))&gt;0,SUMPRODUCT((METAS!$A$5:$A$404="DTNH-01")*(METAS!$B$5:$B$404="TOTAL")*(METAS!$D$5:$D$404=(SUMPRODUCT(MAX((METAS!$A$5:$A$404="DTNH-01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J172" s="351">
        <f>IF($A172="","",IFERROR(IF((SUMPRODUCT(MAX((METAS!$A$5:$A$404="DTNH-02")*(METAS!$B$5:$B$404=$N$6)*(METAS!$D$5:$D$404&lt;=(IF($A172="",0,IF(ISNUMBER(SEARCH("-SEM",$A172)),VALUE(LEFT($A172,4)&amp;IF(RIGHT($A172,1)="1","01","07")),VALUE(SUBSTITUTE($A172,"-",""))))))*METAS!$D$5:$D$404)))&gt;0,SUMPRODUCT((METAS!$A$5:$A$404="DTNH-02")*(METAS!$B$5:$B$404=$N$6)*(METAS!$D$5:$D$404=(SUMPRODUCT(MAX((METAS!$A$5:$A$404="DTNH-02")*(METAS!$B$5:$B$404=$N$6)*(METAS!$D$5:$D$404&lt;=(IF($A172="",0,IF(ISNUMBER(SEARCH("-SEM",$A172)),VALUE(LEFT($A172,4)&amp;IF(RIGHT($A172,1)="1","01","07")),VALUE(SUBSTITUTE($A172,"-",""))))))*METAS!$D$5:$D$404))))*METAS!$E$5:$E$404),IF((SUMPRODUCT(MAX((METAS!$A$5:$A$404="DTNH-02")*(METAS!$B$5:$B$404="TOTAL")*(METAS!$D$5:$D$404&lt;=(IF($A172="",0,IF(ISNUMBER(SEARCH("-SEM",$A172)),VALUE(LEFT($A172,4)&amp;IF(RIGHT($A172,1)="1","01","07")),VALUE(SUBSTITUTE($A172,"-",""))))))*METAS!$D$5:$D$404)))&gt;0,SUMPRODUCT((METAS!$A$5:$A$404="DTNH-02")*(METAS!$B$5:$B$404="TOTAL")*(METAS!$D$5:$D$404=(SUMPRODUCT(MAX((METAS!$A$5:$A$404="DTNH-02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K172" s="354">
        <f>IF($A172="","",IFERROR(IF((SUMPRODUCT(MAX((METAS!$A$5:$A$404="DTNH-03")*(METAS!$B$5:$B$404=$N$6)*(METAS!$D$5:$D$404&lt;=(IF($A172="",0,IF(ISNUMBER(SEARCH("-SEM",$A172)),VALUE(LEFT($A172,4)&amp;IF(RIGHT($A172,1)="1","01","07")),VALUE(SUBSTITUTE($A172,"-",""))))))*METAS!$D$5:$D$404)))&gt;0,SUMPRODUCT((METAS!$A$5:$A$404="DTNH-03")*(METAS!$B$5:$B$404=$N$6)*(METAS!$D$5:$D$404=(SUMPRODUCT(MAX((METAS!$A$5:$A$404="DTNH-03")*(METAS!$B$5:$B$404=$N$6)*(METAS!$D$5:$D$404&lt;=(IF($A172="",0,IF(ISNUMBER(SEARCH("-SEM",$A172)),VALUE(LEFT($A172,4)&amp;IF(RIGHT($A172,1)="1","01","07")),VALUE(SUBSTITUTE($A172,"-",""))))))*METAS!$D$5:$D$404))))*METAS!$E$5:$E$404),IF((SUMPRODUCT(MAX((METAS!$A$5:$A$404="DTNH-03")*(METAS!$B$5:$B$404="TOTAL")*(METAS!$D$5:$D$404&lt;=(IF($A172="",0,IF(ISNUMBER(SEARCH("-SEM",$A172)),VALUE(LEFT($A172,4)&amp;IF(RIGHT($A172,1)="1","01","07")),VALUE(SUBSTITUTE($A172,"-",""))))))*METAS!$D$5:$D$404)))&gt;0,SUMPRODUCT((METAS!$A$5:$A$404="DTNH-03")*(METAS!$B$5:$B$404="TOTAL")*(METAS!$D$5:$D$404=(SUMPRODUCT(MAX((METAS!$A$5:$A$404="DTNH-03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P172" s="291">
        <f>IF(OR($K$4="(todos)",$K$4=$A$17),IF($A$17="","",IF($B$4="Mensal",IF(COUNTIFS(TabelaNPS[Período],$A172,TabelaNPS[Curso],$A$17)&gt;0,SUMIFS(TabelaNPS[Respondentes],TabelaNPS[Período],$A172,TabelaNPS[Curso],$A$17),SUMIFS(TabelaNPS[Respondentes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Respondentes],TabelaNPS[Período],(IF($A172="","",IF(ISNUMBER(SEARCH("-SEM",$A172)),$A172,LEFT($A172,4)&amp;"-SEM"&amp;IF(VALUE(RIGHT($A172,2))&lt;=6,1,2)))),TabelaNPS[Curso],$A$17)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Q172" s="291">
        <f>IF(OR($K$4="(todos)",$K$4=$A$17),IF($A$17="","",IF($B$4="Mensal",IF(COUNTIFS(TabelaNPS[Período],$A172,TabelaNPS[Curso],$A$17)&gt;0,SUMIFS(TabelaNPS[Promotores (9-10)],TabelaNPS[Período],$A172,TabelaNPS[Curso],$A$17),SUMIFS(TabelaNPS[Promotores (9-10)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Promotores (9-10)],TabelaNPS[Período],(IF($A172="","",IF(ISNUMBER(SEARCH("-SEM",$A172)),$A172,LEFT($A172,4)&amp;"-SEM"&amp;IF(VALUE(RIGHT($A172,2))&lt;=6,1,2)))),TabelaNPS[Curso],$A$17),SUMIFS(TabelaNPS[Promotores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R172" s="291">
        <f>IF(OR($K$4="(todos)",$K$4=$A$17),IF($A$17="","",IF($B$4="Mensal",IF(COUNTIFS(TabelaNPS[Período],$A172,TabelaNPS[Curso],$A$17)&gt;0,SUMIFS(TabelaNPS[Detratores (0-6)],TabelaNPS[Período],$A172,TabelaNPS[Curso],$A$17),SUMIFS(TabelaNPS[Detratores (0-6)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Detratores (0-6)],TabelaNPS[Período],(IF($A172="","",IF(ISNUMBER(SEARCH("-SEM",$A172)),$A172,LEFT($A172,4)&amp;"-SEM"&amp;IF(VALUE(RIGHT($A172,2))&lt;=6,1,2)))),TabelaNPS[Curso],$A$17),SUMIFS(TabelaNPS[Detratores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S172" s="291">
        <f>IF(OR($K$4="(todos)",$K$4=$A$18),IF($A$18="","",IF($B$4="Mensal",IF(COUNTIFS(TabelaNPS[Período],$A172,TabelaNPS[Curso],$A$18)&gt;0,SUMIFS(TabelaNPS[Respondentes],TabelaNPS[Período],$A172,TabelaNPS[Curso],$A$18),SUMIFS(TabelaNPS[Respondentes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Respondentes],TabelaNPS[Período],(IF($A172="","",IF(ISNUMBER(SEARCH("-SEM",$A172)),$A172,LEFT($A172,4)&amp;"-SEM"&amp;IF(VALUE(RIGHT($A172,2))&lt;=6,1,2)))),TabelaNPS[Curso],$A$18)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T172" s="291">
        <f>IF(OR($K$4="(todos)",$K$4=$A$18),IF($A$18="","",IF($B$4="Mensal",IF(COUNTIFS(TabelaNPS[Período],$A172,TabelaNPS[Curso],$A$18)&gt;0,SUMIFS(TabelaNPS[Promotores (9-10)],TabelaNPS[Período],$A172,TabelaNPS[Curso],$A$18),SUMIFS(TabelaNPS[Promotores (9-10)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Promotores (9-10)],TabelaNPS[Período],(IF($A172="","",IF(ISNUMBER(SEARCH("-SEM",$A172)),$A172,LEFT($A172,4)&amp;"-SEM"&amp;IF(VALUE(RIGHT($A172,2))&lt;=6,1,2)))),TabelaNPS[Curso],$A$18),SUMIFS(TabelaNPS[Promotores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U172" s="291">
        <f>IF(OR($K$4="(todos)",$K$4=$A$18),IF($A$18="","",IF($B$4="Mensal",IF(COUNTIFS(TabelaNPS[Período],$A172,TabelaNPS[Curso],$A$18)&gt;0,SUMIFS(TabelaNPS[Detratores (0-6)],TabelaNPS[Período],$A172,TabelaNPS[Curso],$A$18),SUMIFS(TabelaNPS[Detratores (0-6)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Detratores (0-6)],TabelaNPS[Período],(IF($A172="","",IF(ISNUMBER(SEARCH("-SEM",$A172)),$A172,LEFT($A172,4)&amp;"-SEM"&amp;IF(VALUE(RIGHT($A172,2))&lt;=6,1,2)))),TabelaNPS[Curso],$A$18),SUMIFS(TabelaNPS[Detratores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V172" s="291">
        <f>IF(OR($K$4="(todos)",$K$4=$A$19),IF($A$19="","",IF($B$4="Mensal",IF(COUNTIFS(TabelaNPS[Período],$A172,TabelaNPS[Curso],$A$19)&gt;0,SUMIFS(TabelaNPS[Respondentes],TabelaNPS[Período],$A172,TabelaNPS[Curso],$A$19),SUMIFS(TabelaNPS[Respondentes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Respondentes],TabelaNPS[Período],(IF($A172="","",IF(ISNUMBER(SEARCH("-SEM",$A172)),$A172,LEFT($A172,4)&amp;"-SEM"&amp;IF(VALUE(RIGHT($A172,2))&lt;=6,1,2)))),TabelaNPS[Curso],$A$19)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W172" s="291">
        <f>IF(OR($K$4="(todos)",$K$4=$A$19),IF($A$19="","",IF($B$4="Mensal",IF(COUNTIFS(TabelaNPS[Período],$A172,TabelaNPS[Curso],$A$19)&gt;0,SUMIFS(TabelaNPS[Promotores (9-10)],TabelaNPS[Período],$A172,TabelaNPS[Curso],$A$19),SUMIFS(TabelaNPS[Promotores (9-10)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Promotores (9-10)],TabelaNPS[Período],(IF($A172="","",IF(ISNUMBER(SEARCH("-SEM",$A172)),$A172,LEFT($A172,4)&amp;"-SEM"&amp;IF(VALUE(RIGHT($A172,2))&lt;=6,1,2)))),TabelaNPS[Curso],$A$19),SUMIFS(TabelaNPS[Promotores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X172" s="291">
        <f>IF(OR($K$4="(todos)",$K$4=$A$19),IF($A$19="","",IF($B$4="Mensal",IF(COUNTIFS(TabelaNPS[Período],$A172,TabelaNPS[Curso],$A$19)&gt;0,SUMIFS(TabelaNPS[Detratores (0-6)],TabelaNPS[Período],$A172,TabelaNPS[Curso],$A$19),SUMIFS(TabelaNPS[Detratores (0-6)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Detratores (0-6)],TabelaNPS[Período],(IF($A172="","",IF(ISNUMBER(SEARCH("-SEM",$A172)),$A172,LEFT($A172,4)&amp;"-SEM"&amp;IF(VALUE(RIGHT($A172,2))&lt;=6,1,2)))),TabelaNPS[Curso],$A$19),SUMIFS(TabelaNPS[Detratores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Y172" s="291">
        <f>IF(OR($K$4="(todos)",$K$4=$A$20),IF($A$20="","",IF($B$4="Mensal",IF(COUNTIFS(TabelaNPS[Período],$A172,TabelaNPS[Curso],$A$20)&gt;0,SUMIFS(TabelaNPS[Respondentes],TabelaNPS[Período],$A172,TabelaNPS[Curso],$A$20),SUMIFS(TabelaNPS[Respondentes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Respondentes],TabelaNPS[Período],(IF($A172="","",IF(ISNUMBER(SEARCH("-SEM",$A172)),$A172,LEFT($A172,4)&amp;"-SEM"&amp;IF(VALUE(RIGHT($A172,2))&lt;=6,1,2)))),TabelaNPS[Curso],$A$20)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Z172" s="291">
        <f>IF(OR($K$4="(todos)",$K$4=$A$20),IF($A$20="","",IF($B$4="Mensal",IF(COUNTIFS(TabelaNPS[Período],$A172,TabelaNPS[Curso],$A$20)&gt;0,SUMIFS(TabelaNPS[Promotores (9-10)],TabelaNPS[Período],$A172,TabelaNPS[Curso],$A$20),SUMIFS(TabelaNPS[Promotores (9-10)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Promotores (9-10)],TabelaNPS[Período],(IF($A172="","",IF(ISNUMBER(SEARCH("-SEM",$A172)),$A172,LEFT($A172,4)&amp;"-SEM"&amp;IF(VALUE(RIGHT($A172,2))&lt;=6,1,2)))),TabelaNPS[Curso],$A$20),SUMIFS(TabelaNPS[Promotores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AA172" s="291">
        <f>IF(OR($K$4="(todos)",$K$4=$A$20),IF($A$20="","",IF($B$4="Mensal",IF(COUNTIFS(TabelaNPS[Período],$A172,TabelaNPS[Curso],$A$20)&gt;0,SUMIFS(TabelaNPS[Detratores (0-6)],TabelaNPS[Período],$A172,TabelaNPS[Curso],$A$20),SUMIFS(TabelaNPS[Detratores (0-6)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Detratores (0-6)],TabelaNPS[Período],(IF($A172="","",IF(ISNUMBER(SEARCH("-SEM",$A172)),$A172,LEFT($A172,4)&amp;"-SEM"&amp;IF(VALUE(RIGHT($A172,2))&lt;=6,1,2)))),TabelaNPS[Curso],$A$20),SUMIFS(TabelaNPS[Detratores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AB172" s="291">
        <f>IF(OR($K$4="(todos)",$K$4=$A$21),IF($A$21="","",IF($B$4="Mensal",IF(COUNTIFS(TabelaNPS[Período],$A172,TabelaNPS[Curso],$A$21)&gt;0,SUMIFS(TabelaNPS[Respondentes],TabelaNPS[Período],$A172,TabelaNPS[Curso],$A$21),SUMIFS(TabelaNPS[Respondentes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Respondentes],TabelaNPS[Período],(IF($A172="","",IF(ISNUMBER(SEARCH("-SEM",$A172)),$A172,LEFT($A172,4)&amp;"-SEM"&amp;IF(VALUE(RIGHT($A172,2))&lt;=6,1,2)))),TabelaNPS[Curso],$A$21)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C172" s="291">
        <f>IF(OR($K$4="(todos)",$K$4=$A$21),IF($A$21="","",IF($B$4="Mensal",IF(COUNTIFS(TabelaNPS[Período],$A172,TabelaNPS[Curso],$A$21)&gt;0,SUMIFS(TabelaNPS[Promotores (9-10)],TabelaNPS[Período],$A172,TabelaNPS[Curso],$A$21),SUMIFS(TabelaNPS[Promotores (9-10)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Promotores (9-10)],TabelaNPS[Período],(IF($A172="","",IF(ISNUMBER(SEARCH("-SEM",$A172)),$A172,LEFT($A172,4)&amp;"-SEM"&amp;IF(VALUE(RIGHT($A172,2))&lt;=6,1,2)))),TabelaNPS[Curso],$A$21),SUMIFS(TabelaNPS[Promotores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D172" s="291">
        <f>IF(OR($K$4="(todos)",$K$4=$A$21),IF($A$21="","",IF($B$4="Mensal",IF(COUNTIFS(TabelaNPS[Período],$A172,TabelaNPS[Curso],$A$21)&gt;0,SUMIFS(TabelaNPS[Detratores (0-6)],TabelaNPS[Período],$A172,TabelaNPS[Curso],$A$21),SUMIFS(TabelaNPS[Detratores (0-6)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Detratores (0-6)],TabelaNPS[Período],(IF($A172="","",IF(ISNUMBER(SEARCH("-SEM",$A172)),$A172,LEFT($A172,4)&amp;"-SEM"&amp;IF(VALUE(RIGHT($A172,2))&lt;=6,1,2)))),TabelaNPS[Curso],$A$21),SUMIFS(TabelaNPS[Detratores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E172" s="291">
        <f>IF(OR($K$4="(todos)",$K$4=$A$22),IF($A$22="","",IF($B$4="Mensal",IF(COUNTIFS(TabelaNPS[Período],$A172,TabelaNPS[Curso],$A$22)&gt;0,SUMIFS(TabelaNPS[Respondentes],TabelaNPS[Período],$A172,TabelaNPS[Curso],$A$22),SUMIFS(TabelaNPS[Respondentes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Respondentes],TabelaNPS[Período],(IF($A172="","",IF(ISNUMBER(SEARCH("-SEM",$A172)),$A172,LEFT($A172,4)&amp;"-SEM"&amp;IF(VALUE(RIGHT($A172,2))&lt;=6,1,2)))),TabelaNPS[Curso],$A$22)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F172" s="291">
        <f>IF(OR($K$4="(todos)",$K$4=$A$22),IF($A$22="","",IF($B$4="Mensal",IF(COUNTIFS(TabelaNPS[Período],$A172,TabelaNPS[Curso],$A$22)&gt;0,SUMIFS(TabelaNPS[Promotores (9-10)],TabelaNPS[Período],$A172,TabelaNPS[Curso],$A$22),SUMIFS(TabelaNPS[Promotores (9-10)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Promotores (9-10)],TabelaNPS[Período],(IF($A172="","",IF(ISNUMBER(SEARCH("-SEM",$A172)),$A172,LEFT($A172,4)&amp;"-SEM"&amp;IF(VALUE(RIGHT($A172,2))&lt;=6,1,2)))),TabelaNPS[Curso],$A$22),SUMIFS(TabelaNPS[Promotores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G172" s="291">
        <f>IF(OR($K$4="(todos)",$K$4=$A$22),IF($A$22="","",IF($B$4="Mensal",IF(COUNTIFS(TabelaNPS[Período],$A172,TabelaNPS[Curso],$A$22)&gt;0,SUMIFS(TabelaNPS[Detratores (0-6)],TabelaNPS[Período],$A172,TabelaNPS[Curso],$A$22),SUMIFS(TabelaNPS[Detratores (0-6)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Detratores (0-6)],TabelaNPS[Período],(IF($A172="","",IF(ISNUMBER(SEARCH("-SEM",$A172)),$A172,LEFT($A172,4)&amp;"-SEM"&amp;IF(VALUE(RIGHT($A172,2))&lt;=6,1,2)))),TabelaNPS[Curso],$A$22),SUMIFS(TabelaNPS[Detratores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H172" s="291">
        <f>IF(OR($K$4="(todos)",$K$4=$A$23),IF($A$23="","",IF($B$4="Mensal",IF(COUNTIFS(TabelaNPS[Período],$A172,TabelaNPS[Curso],$A$23)&gt;0,SUMIFS(TabelaNPS[Respondentes],TabelaNPS[Período],$A172,TabelaNPS[Curso],$A$23),SUMIFS(TabelaNPS[Respondentes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Respondentes],TabelaNPS[Período],(IF($A172="","",IF(ISNUMBER(SEARCH("-SEM",$A172)),$A172,LEFT($A172,4)&amp;"-SEM"&amp;IF(VALUE(RIGHT($A172,2))&lt;=6,1,2)))),TabelaNPS[Curso],$A$23)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I172" s="291">
        <f>IF(OR($K$4="(todos)",$K$4=$A$23),IF($A$23="","",IF($B$4="Mensal",IF(COUNTIFS(TabelaNPS[Período],$A172,TabelaNPS[Curso],$A$23)&gt;0,SUMIFS(TabelaNPS[Promotores (9-10)],TabelaNPS[Período],$A172,TabelaNPS[Curso],$A$23),SUMIFS(TabelaNPS[Promotores (9-10)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Promotores (9-10)],TabelaNPS[Período],(IF($A172="","",IF(ISNUMBER(SEARCH("-SEM",$A172)),$A172,LEFT($A172,4)&amp;"-SEM"&amp;IF(VALUE(RIGHT($A172,2))&lt;=6,1,2)))),TabelaNPS[Curso],$A$23),SUMIFS(TabelaNPS[Promotores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J172" s="291">
        <f>IF(OR($K$4="(todos)",$K$4=$A$23),IF($A$23="","",IF($B$4="Mensal",IF(COUNTIFS(TabelaNPS[Período],$A172,TabelaNPS[Curso],$A$23)&gt;0,SUMIFS(TabelaNPS[Detratores (0-6)],TabelaNPS[Período],$A172,TabelaNPS[Curso],$A$23),SUMIFS(TabelaNPS[Detratores (0-6)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Detratores (0-6)],TabelaNPS[Período],(IF($A172="","",IF(ISNUMBER(SEARCH("-SEM",$A172)),$A172,LEFT($A172,4)&amp;"-SEM"&amp;IF(VALUE(RIGHT($A172,2))&lt;=6,1,2)))),TabelaNPS[Curso],$A$23),SUMIFS(TabelaNPS[Detratores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K172" s="291">
        <f>IF(OR($K$4="(todos)",$K$4=$A$24),IF($A$24="","",IF($B$4="Mensal",IF(COUNTIFS(TabelaNPS[Período],$A172,TabelaNPS[Curso],$A$24)&gt;0,SUMIFS(TabelaNPS[Respondentes],TabelaNPS[Período],$A172,TabelaNPS[Curso],$A$24),SUMIFS(TabelaNPS[Respondentes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Respondentes],TabelaNPS[Período],(IF($A172="","",IF(ISNUMBER(SEARCH("-SEM",$A172)),$A172,LEFT($A172,4)&amp;"-SEM"&amp;IF(VALUE(RIGHT($A172,2))&lt;=6,1,2)))),TabelaNPS[Curso],$A$24)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  <c r="AL172" s="291">
        <f>IF(OR($K$4="(todos)",$K$4=$A$24),IF($A$24="","",IF($B$4="Mensal",IF(COUNTIFS(TabelaNPS[Período],$A172,TabelaNPS[Curso],$A$24)&gt;0,SUMIFS(TabelaNPS[Promotores (9-10)],TabelaNPS[Período],$A172,TabelaNPS[Curso],$A$24),SUMIFS(TabelaNPS[Promotores (9-10)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Promotores (9-10)],TabelaNPS[Período],(IF($A172="","",IF(ISNUMBER(SEARCH("-SEM",$A172)),$A172,LEFT($A172,4)&amp;"-SEM"&amp;IF(VALUE(RIGHT($A172,2))&lt;=6,1,2)))),TabelaNPS[Curso],$A$24),SUMIFS(TabelaNPS[Promotores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  <c r="AM172" s="291">
        <f>IF(OR($K$4="(todos)",$K$4=$A$24),IF($A$24="","",IF($B$4="Mensal",IF(COUNTIFS(TabelaNPS[Período],$A172,TabelaNPS[Curso],$A$24)&gt;0,SUMIFS(TabelaNPS[Detratores (0-6)],TabelaNPS[Período],$A172,TabelaNPS[Curso],$A$24),SUMIFS(TabelaNPS[Detratores (0-6)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Detratores (0-6)],TabelaNPS[Período],(IF($A172="","",IF(ISNUMBER(SEARCH("-SEM",$A172)),$A172,LEFT($A172,4)&amp;"-SEM"&amp;IF(VALUE(RIGHT($A172,2))&lt;=6,1,2)))),TabelaNPS[Curso],$A$24),SUMIFS(TabelaNPS[Detratores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  <c r="AN172" s="291">
        <f>IF(OR($K$4="(todos)",$K$4=$A$25),IF($A$25="","",IF($B$4="Mensal",IF(COUNTIFS(TabelaNPS[Período],$A172,TabelaNPS[Curso],$A$25)&gt;0,SUMIFS(TabelaNPS[Respondentes],TabelaNPS[Período],$A172,TabelaNPS[Curso],$A$25),SUMIFS(TabelaNPS[Respondentes],TabelaNPS[Período],(IF($A172="","",IF(ISNUMBER(SEARCH("-SEM",$A172)),$A172,LEFT($A172,4)&amp;"-SEM"&amp;IF(VALUE(RIGHT($A172,2))&lt;=6,1,2)))),TabelaNPS[Curso],$A$25)),IF(COUNTIFS(TabelaNPS[Período],(IF($A172="","",IF(ISNUMBER(SEARCH("-SEM",$A172)),$A172,LEFT($A172,4)&amp;"-SEM"&amp;IF(VALUE(RIGHT($A172,2))&lt;=6,1,2)))),TabelaNPS[Curso],$A$25)&gt;0,SUMIFS(TabelaNPS[Respondentes],TabelaNPS[Período],(IF($A172="","",IF(ISNUMBER(SEARCH("-SEM",$A172)),$A172,LEFT($A172,4)&amp;"-SEM"&amp;IF(VALUE(RIGHT($A172,2))&lt;=6,1,2)))),TabelaNPS[Curso],$A$25)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$25)))),0)</f>
        <v/>
      </c>
      <c r="AO172" s="291">
        <f>IF(OR($K$4="(todos)",$K$4=$A$25),IF($A$25="","",IF($B$4="Mensal",IF(COUNTIFS(TabelaNPS[Período],$A172,TabelaNPS[Curso],$A$25)&gt;0,SUMIFS(TabelaNPS[Promotores (9-10)],TabelaNPS[Período],$A172,TabelaNPS[Curso],$A$25),SUMIFS(TabelaNPS[Promotores (9-10)],TabelaNPS[Período],(IF($A172="","",IF(ISNUMBER(SEARCH("-SEM",$A172)),$A172,LEFT($A172,4)&amp;"-SEM"&amp;IF(VALUE(RIGHT($A172,2))&lt;=6,1,2)))),TabelaNPS[Curso],$A$25)),IF(COUNTIFS(TabelaNPS[Período],(IF($A172="","",IF(ISNUMBER(SEARCH("-SEM",$A172)),$A172,LEFT($A172,4)&amp;"-SEM"&amp;IF(VALUE(RIGHT($A172,2))&lt;=6,1,2)))),TabelaNPS[Curso],$A$25)&gt;0,SUMIFS(TabelaNPS[Promotores (9-10)],TabelaNPS[Período],(IF($A172="","",IF(ISNUMBER(SEARCH("-SEM",$A172)),$A172,LEFT($A172,4)&amp;"-SEM"&amp;IF(VALUE(RIGHT($A172,2))&lt;=6,1,2)))),TabelaNPS[Curso],$A$25),SUMIFS(TabelaNPS[Promotores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$25)))),0)</f>
        <v/>
      </c>
      <c r="AP172" s="291">
        <f>IF(OR($K$4="(todos)",$K$4=$A$25),IF($A$25="","",IF($B$4="Mensal",IF(COUNTIFS(TabelaNPS[Período],$A172,TabelaNPS[Curso],$A$25)&gt;0,SUMIFS(TabelaNPS[Detratores (0-6)],TabelaNPS[Período],$A172,TabelaNPS[Curso],$A$25),SUMIFS(TabelaNPS[Detratores (0-6)],TabelaNPS[Período],(IF($A172="","",IF(ISNUMBER(SEARCH("-SEM",$A172)),$A172,LEFT($A172,4)&amp;"-SEM"&amp;IF(VALUE(RIGHT($A172,2))&lt;=6,1,2)))),TabelaNPS[Curso],$A$25)),IF(COUNTIFS(TabelaNPS[Período],(IF($A172="","",IF(ISNUMBER(SEARCH("-SEM",$A172)),$A172,LEFT($A172,4)&amp;"-SEM"&amp;IF(VALUE(RIGHT($A172,2))&lt;=6,1,2)))),TabelaNPS[Curso],$A$25)&gt;0,SUMIFS(TabelaNPS[Detratores (0-6)],TabelaNPS[Período],(IF($A172="","",IF(ISNUMBER(SEARCH("-SEM",$A172)),$A172,LEFT($A172,4)&amp;"-SEM"&amp;IF(VALUE(RIGHT($A172,2))&lt;=6,1,2)))),TabelaNPS[Curso],$A$25),SUMIFS(TabelaNPS[Detratores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$25)))),0)</f>
        <v/>
      </c>
    </row>
    <row r="173">
      <c r="A173" s="343">
        <f>IF(A172="","",IF($B$4="Mensal",IF(MATCH(A172,LST_MESES,0)&gt;=MATCH(PARAMETROS!$E$9,LST_MESES,0),"",INDEX(LST_MESES,MATCH(A172,LST_MESES,0)+1)),IF(MATCH(A172,LST_SEMESTRES,0)&gt;=MATCH(PARAMETROS!$E$9,LST_SEMESTRES,0),"",INDEX(LST_SEMESTRES,MATCH(A172,LST_SEMESTRES,0)+1))))</f>
        <v/>
      </c>
      <c r="B173" s="353">
        <f>IF($A173="","",IFERROR((SUM(Q173,T173,W173,Z173,AC173,AF173,AI173,AL173,AO173)-SUM(R173,U173,X173,AA173,AD173,AG173,AJ173,AM173,AP173))/SUM(P173,S173,V173,Y173,AB173,AE173,AH173,AK173,AN173)*100,""))</f>
        <v/>
      </c>
      <c r="C173" s="351">
        <f>IFERROR(SUMPRODUCT(--(TabelaAvaliacaoDocente[Período]=(IF($A173="","",IF(ISNUMBER(SEARCH("-SEM",$A173)),$A173,LEFT($A173,4)&amp;"-SEM"&amp;IF(VALUE(RIGHT($A173,2)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173="","",IF(ISNUMBER(SEARCH("-SEM",$A173)),$A173,LEFT($A173,4)&amp;"-SEM"&amp;IF(VALUE(RIGHT($A173,2))&lt;=6,1,2))))),--((($K$4="(todos)")+(TabelaAvaliacaoDocente[Curso]=$K$4))&gt;0),--((($N$4="(todas)")+(TabelaAvaliacaoDocente[Disciplina]=$N$4))&gt;0),TabelaAvaliacaoDocente[Respondentes]),"")</f>
        <v/>
      </c>
      <c r="D173" s="354">
        <f>IF($A173="","",IFERROR((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/((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+(SUMIFS(TabelaResultadosAcademicos[Re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)*100,""))</f>
        <v/>
      </c>
      <c r="E173" s="351">
        <f>IFERROR((SUMIFS(TabelaResultadosAcademicos[Soma das nota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/(SUMIFS(TabelaResultadosAcademicos[Quantidade de nota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,"")</f>
        <v/>
      </c>
      <c r="F173" s="347">
        <f>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G173" s="347">
        <f>SUMIFS(TabelaResultadosAcademicos[Reprovados por nota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H173" s="347">
        <f>SUMIFS(TabelaResultadosAcademicos[Reprovados por falta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I173" s="353">
        <f>IF($A173="","",IFERROR(IF((SUMPRODUCT(MAX((METAS!$A$5:$A$404="DTNH-01")*(METAS!$B$5:$B$404=IF($K$4="(todos)","TOTAL",$K$4))*(METAS!$D$5:$D$404&lt;=(IF($A173="",0,IF(ISNUMBER(SEARCH("-SEM",$A173)),VALUE(LEFT($A173,4)&amp;IF(RIGHT($A173,1)="1","01","07")),VALUE(SUBSTITUTE($A173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173="",0,IF(ISNUMBER(SEARCH("-SEM",$A173)),VALUE(LEFT($A173,4)&amp;IF(RIGHT($A173,1)="1","01","07")),VALUE(SUBSTITUTE($A173,"-",""))))))*METAS!$D$5:$D$404))))*METAS!$E$5:$E$404),IF((SUMPRODUCT(MAX((METAS!$A$5:$A$404="DTNH-01")*(METAS!$B$5:$B$404="TOTAL")*(METAS!$D$5:$D$404&lt;=(IF($A173="",0,IF(ISNUMBER(SEARCH("-SEM",$A173)),VALUE(LEFT($A173,4)&amp;IF(RIGHT($A173,1)="1","01","07")),VALUE(SUBSTITUTE($A173,"-",""))))))*METAS!$D$5:$D$404)))&gt;0,SUMPRODUCT((METAS!$A$5:$A$404="DTNH-01")*(METAS!$B$5:$B$404="TOTAL")*(METAS!$D$5:$D$404=(SUMPRODUCT(MAX((METAS!$A$5:$A$404="DTNH-01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J173" s="351">
        <f>IF($A173="","",IFERROR(IF((SUMPRODUCT(MAX((METAS!$A$5:$A$404="DTNH-02")*(METAS!$B$5:$B$404=$N$6)*(METAS!$D$5:$D$404&lt;=(IF($A173="",0,IF(ISNUMBER(SEARCH("-SEM",$A173)),VALUE(LEFT($A173,4)&amp;IF(RIGHT($A173,1)="1","01","07")),VALUE(SUBSTITUTE($A173,"-",""))))))*METAS!$D$5:$D$404)))&gt;0,SUMPRODUCT((METAS!$A$5:$A$404="DTNH-02")*(METAS!$B$5:$B$404=$N$6)*(METAS!$D$5:$D$404=(SUMPRODUCT(MAX((METAS!$A$5:$A$404="DTNH-02")*(METAS!$B$5:$B$404=$N$6)*(METAS!$D$5:$D$404&lt;=(IF($A173="",0,IF(ISNUMBER(SEARCH("-SEM",$A173)),VALUE(LEFT($A173,4)&amp;IF(RIGHT($A173,1)="1","01","07")),VALUE(SUBSTITUTE($A173,"-",""))))))*METAS!$D$5:$D$404))))*METAS!$E$5:$E$404),IF((SUMPRODUCT(MAX((METAS!$A$5:$A$404="DTNH-02")*(METAS!$B$5:$B$404="TOTAL")*(METAS!$D$5:$D$404&lt;=(IF($A173="",0,IF(ISNUMBER(SEARCH("-SEM",$A173)),VALUE(LEFT($A173,4)&amp;IF(RIGHT($A173,1)="1","01","07")),VALUE(SUBSTITUTE($A173,"-",""))))))*METAS!$D$5:$D$404)))&gt;0,SUMPRODUCT((METAS!$A$5:$A$404="DTNH-02")*(METAS!$B$5:$B$404="TOTAL")*(METAS!$D$5:$D$404=(SUMPRODUCT(MAX((METAS!$A$5:$A$404="DTNH-02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K173" s="354">
        <f>IF($A173="","",IFERROR(IF((SUMPRODUCT(MAX((METAS!$A$5:$A$404="DTNH-03")*(METAS!$B$5:$B$404=$N$6)*(METAS!$D$5:$D$404&lt;=(IF($A173="",0,IF(ISNUMBER(SEARCH("-SEM",$A173)),VALUE(LEFT($A173,4)&amp;IF(RIGHT($A173,1)="1","01","07")),VALUE(SUBSTITUTE($A173,"-",""))))))*METAS!$D$5:$D$404)))&gt;0,SUMPRODUCT((METAS!$A$5:$A$404="DTNH-03")*(METAS!$B$5:$B$404=$N$6)*(METAS!$D$5:$D$404=(SUMPRODUCT(MAX((METAS!$A$5:$A$404="DTNH-03")*(METAS!$B$5:$B$404=$N$6)*(METAS!$D$5:$D$404&lt;=(IF($A173="",0,IF(ISNUMBER(SEARCH("-SEM",$A173)),VALUE(LEFT($A173,4)&amp;IF(RIGHT($A173,1)="1","01","07")),VALUE(SUBSTITUTE($A173,"-",""))))))*METAS!$D$5:$D$404))))*METAS!$E$5:$E$404),IF((SUMPRODUCT(MAX((METAS!$A$5:$A$404="DTNH-03")*(METAS!$B$5:$B$404="TOTAL")*(METAS!$D$5:$D$404&lt;=(IF($A173="",0,IF(ISNUMBER(SEARCH("-SEM",$A173)),VALUE(LEFT($A173,4)&amp;IF(RIGHT($A173,1)="1","01","07")),VALUE(SUBSTITUTE($A173,"-",""))))))*METAS!$D$5:$D$404)))&gt;0,SUMPRODUCT((METAS!$A$5:$A$404="DTNH-03")*(METAS!$B$5:$B$404="TOTAL")*(METAS!$D$5:$D$404=(SUMPRODUCT(MAX((METAS!$A$5:$A$404="DTNH-03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P173" s="291">
        <f>IF(OR($K$4="(todos)",$K$4=$A$17),IF($A$17="","",IF($B$4="Mensal",IF(COUNTIFS(TabelaNPS[Período],$A173,TabelaNPS[Curso],$A$17)&gt;0,SUMIFS(TabelaNPS[Respondentes],TabelaNPS[Período],$A173,TabelaNPS[Curso],$A$17),SUMIFS(TabelaNPS[Respondentes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Respondentes],TabelaNPS[Período],(IF($A173="","",IF(ISNUMBER(SEARCH("-SEM",$A173)),$A173,LEFT($A173,4)&amp;"-SEM"&amp;IF(VALUE(RIGHT($A173,2))&lt;=6,1,2)))),TabelaNPS[Curso],$A$17)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Q173" s="291">
        <f>IF(OR($K$4="(todos)",$K$4=$A$17),IF($A$17="","",IF($B$4="Mensal",IF(COUNTIFS(TabelaNPS[Período],$A173,TabelaNPS[Curso],$A$17)&gt;0,SUMIFS(TabelaNPS[Promotores (9-10)],TabelaNPS[Período],$A173,TabelaNPS[Curso],$A$17),SUMIFS(TabelaNPS[Promotores (9-10)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Promotores (9-10)],TabelaNPS[Período],(IF($A173="","",IF(ISNUMBER(SEARCH("-SEM",$A173)),$A173,LEFT($A173,4)&amp;"-SEM"&amp;IF(VALUE(RIGHT($A173,2))&lt;=6,1,2)))),TabelaNPS[Curso],$A$17),SUMIFS(TabelaNPS[Promotores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R173" s="291">
        <f>IF(OR($K$4="(todos)",$K$4=$A$17),IF($A$17="","",IF($B$4="Mensal",IF(COUNTIFS(TabelaNPS[Período],$A173,TabelaNPS[Curso],$A$17)&gt;0,SUMIFS(TabelaNPS[Detratores (0-6)],TabelaNPS[Período],$A173,TabelaNPS[Curso],$A$17),SUMIFS(TabelaNPS[Detratores (0-6)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Detratores (0-6)],TabelaNPS[Período],(IF($A173="","",IF(ISNUMBER(SEARCH("-SEM",$A173)),$A173,LEFT($A173,4)&amp;"-SEM"&amp;IF(VALUE(RIGHT($A173,2))&lt;=6,1,2)))),TabelaNPS[Curso],$A$17),SUMIFS(TabelaNPS[Detratores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S173" s="291">
        <f>IF(OR($K$4="(todos)",$K$4=$A$18),IF($A$18="","",IF($B$4="Mensal",IF(COUNTIFS(TabelaNPS[Período],$A173,TabelaNPS[Curso],$A$18)&gt;0,SUMIFS(TabelaNPS[Respondentes],TabelaNPS[Período],$A173,TabelaNPS[Curso],$A$18),SUMIFS(TabelaNPS[Respondentes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Respondentes],TabelaNPS[Período],(IF($A173="","",IF(ISNUMBER(SEARCH("-SEM",$A173)),$A173,LEFT($A173,4)&amp;"-SEM"&amp;IF(VALUE(RIGHT($A173,2))&lt;=6,1,2)))),TabelaNPS[Curso],$A$18)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T173" s="291">
        <f>IF(OR($K$4="(todos)",$K$4=$A$18),IF($A$18="","",IF($B$4="Mensal",IF(COUNTIFS(TabelaNPS[Período],$A173,TabelaNPS[Curso],$A$18)&gt;0,SUMIFS(TabelaNPS[Promotores (9-10)],TabelaNPS[Período],$A173,TabelaNPS[Curso],$A$18),SUMIFS(TabelaNPS[Promotores (9-10)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Promotores (9-10)],TabelaNPS[Período],(IF($A173="","",IF(ISNUMBER(SEARCH("-SEM",$A173)),$A173,LEFT($A173,4)&amp;"-SEM"&amp;IF(VALUE(RIGHT($A173,2))&lt;=6,1,2)))),TabelaNPS[Curso],$A$18),SUMIFS(TabelaNPS[Promotores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U173" s="291">
        <f>IF(OR($K$4="(todos)",$K$4=$A$18),IF($A$18="","",IF($B$4="Mensal",IF(COUNTIFS(TabelaNPS[Período],$A173,TabelaNPS[Curso],$A$18)&gt;0,SUMIFS(TabelaNPS[Detratores (0-6)],TabelaNPS[Período],$A173,TabelaNPS[Curso],$A$18),SUMIFS(TabelaNPS[Detratores (0-6)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Detratores (0-6)],TabelaNPS[Período],(IF($A173="","",IF(ISNUMBER(SEARCH("-SEM",$A173)),$A173,LEFT($A173,4)&amp;"-SEM"&amp;IF(VALUE(RIGHT($A173,2))&lt;=6,1,2)))),TabelaNPS[Curso],$A$18),SUMIFS(TabelaNPS[Detratores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V173" s="291">
        <f>IF(OR($K$4="(todos)",$K$4=$A$19),IF($A$19="","",IF($B$4="Mensal",IF(COUNTIFS(TabelaNPS[Período],$A173,TabelaNPS[Curso],$A$19)&gt;0,SUMIFS(TabelaNPS[Respondentes],TabelaNPS[Período],$A173,TabelaNPS[Curso],$A$19),SUMIFS(TabelaNPS[Respondentes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Respondentes],TabelaNPS[Período],(IF($A173="","",IF(ISNUMBER(SEARCH("-SEM",$A173)),$A173,LEFT($A173,4)&amp;"-SEM"&amp;IF(VALUE(RIGHT($A173,2))&lt;=6,1,2)))),TabelaNPS[Curso],$A$19)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W173" s="291">
        <f>IF(OR($K$4="(todos)",$K$4=$A$19),IF($A$19="","",IF($B$4="Mensal",IF(COUNTIFS(TabelaNPS[Período],$A173,TabelaNPS[Curso],$A$19)&gt;0,SUMIFS(TabelaNPS[Promotores (9-10)],TabelaNPS[Período],$A173,TabelaNPS[Curso],$A$19),SUMIFS(TabelaNPS[Promotores (9-10)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Promotores (9-10)],TabelaNPS[Período],(IF($A173="","",IF(ISNUMBER(SEARCH("-SEM",$A173)),$A173,LEFT($A173,4)&amp;"-SEM"&amp;IF(VALUE(RIGHT($A173,2))&lt;=6,1,2)))),TabelaNPS[Curso],$A$19),SUMIFS(TabelaNPS[Promotores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X173" s="291">
        <f>IF(OR($K$4="(todos)",$K$4=$A$19),IF($A$19="","",IF($B$4="Mensal",IF(COUNTIFS(TabelaNPS[Período],$A173,TabelaNPS[Curso],$A$19)&gt;0,SUMIFS(TabelaNPS[Detratores (0-6)],TabelaNPS[Período],$A173,TabelaNPS[Curso],$A$19),SUMIFS(TabelaNPS[Detratores (0-6)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Detratores (0-6)],TabelaNPS[Período],(IF($A173="","",IF(ISNUMBER(SEARCH("-SEM",$A173)),$A173,LEFT($A173,4)&amp;"-SEM"&amp;IF(VALUE(RIGHT($A173,2))&lt;=6,1,2)))),TabelaNPS[Curso],$A$19),SUMIFS(TabelaNPS[Detratores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Y173" s="291">
        <f>IF(OR($K$4="(todos)",$K$4=$A$20),IF($A$20="","",IF($B$4="Mensal",IF(COUNTIFS(TabelaNPS[Período],$A173,TabelaNPS[Curso],$A$20)&gt;0,SUMIFS(TabelaNPS[Respondentes],TabelaNPS[Período],$A173,TabelaNPS[Curso],$A$20),SUMIFS(TabelaNPS[Respondentes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Respondentes],TabelaNPS[Período],(IF($A173="","",IF(ISNUMBER(SEARCH("-SEM",$A173)),$A173,LEFT($A173,4)&amp;"-SEM"&amp;IF(VALUE(RIGHT($A173,2))&lt;=6,1,2)))),TabelaNPS[Curso],$A$20)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Z173" s="291">
        <f>IF(OR($K$4="(todos)",$K$4=$A$20),IF($A$20="","",IF($B$4="Mensal",IF(COUNTIFS(TabelaNPS[Período],$A173,TabelaNPS[Curso],$A$20)&gt;0,SUMIFS(TabelaNPS[Promotores (9-10)],TabelaNPS[Período],$A173,TabelaNPS[Curso],$A$20),SUMIFS(TabelaNPS[Promotores (9-10)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Promotores (9-10)],TabelaNPS[Período],(IF($A173="","",IF(ISNUMBER(SEARCH("-SEM",$A173)),$A173,LEFT($A173,4)&amp;"-SEM"&amp;IF(VALUE(RIGHT($A173,2))&lt;=6,1,2)))),TabelaNPS[Curso],$A$20),SUMIFS(TabelaNPS[Promotores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AA173" s="291">
        <f>IF(OR($K$4="(todos)",$K$4=$A$20),IF($A$20="","",IF($B$4="Mensal",IF(COUNTIFS(TabelaNPS[Período],$A173,TabelaNPS[Curso],$A$20)&gt;0,SUMIFS(TabelaNPS[Detratores (0-6)],TabelaNPS[Período],$A173,TabelaNPS[Curso],$A$20),SUMIFS(TabelaNPS[Detratores (0-6)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Detratores (0-6)],TabelaNPS[Período],(IF($A173="","",IF(ISNUMBER(SEARCH("-SEM",$A173)),$A173,LEFT($A173,4)&amp;"-SEM"&amp;IF(VALUE(RIGHT($A173,2))&lt;=6,1,2)))),TabelaNPS[Curso],$A$20),SUMIFS(TabelaNPS[Detratores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AB173" s="291">
        <f>IF(OR($K$4="(todos)",$K$4=$A$21),IF($A$21="","",IF($B$4="Mensal",IF(COUNTIFS(TabelaNPS[Período],$A173,TabelaNPS[Curso],$A$21)&gt;0,SUMIFS(TabelaNPS[Respondentes],TabelaNPS[Período],$A173,TabelaNPS[Curso],$A$21),SUMIFS(TabelaNPS[Respondentes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Respondentes],TabelaNPS[Período],(IF($A173="","",IF(ISNUMBER(SEARCH("-SEM",$A173)),$A173,LEFT($A173,4)&amp;"-SEM"&amp;IF(VALUE(RIGHT($A173,2))&lt;=6,1,2)))),TabelaNPS[Curso],$A$21)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C173" s="291">
        <f>IF(OR($K$4="(todos)",$K$4=$A$21),IF($A$21="","",IF($B$4="Mensal",IF(COUNTIFS(TabelaNPS[Período],$A173,TabelaNPS[Curso],$A$21)&gt;0,SUMIFS(TabelaNPS[Promotores (9-10)],TabelaNPS[Período],$A173,TabelaNPS[Curso],$A$21),SUMIFS(TabelaNPS[Promotores (9-10)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Promotores (9-10)],TabelaNPS[Período],(IF($A173="","",IF(ISNUMBER(SEARCH("-SEM",$A173)),$A173,LEFT($A173,4)&amp;"-SEM"&amp;IF(VALUE(RIGHT($A173,2))&lt;=6,1,2)))),TabelaNPS[Curso],$A$21),SUMIFS(TabelaNPS[Promotores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D173" s="291">
        <f>IF(OR($K$4="(todos)",$K$4=$A$21),IF($A$21="","",IF($B$4="Mensal",IF(COUNTIFS(TabelaNPS[Período],$A173,TabelaNPS[Curso],$A$21)&gt;0,SUMIFS(TabelaNPS[Detratores (0-6)],TabelaNPS[Período],$A173,TabelaNPS[Curso],$A$21),SUMIFS(TabelaNPS[Detratores (0-6)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Detratores (0-6)],TabelaNPS[Período],(IF($A173="","",IF(ISNUMBER(SEARCH("-SEM",$A173)),$A173,LEFT($A173,4)&amp;"-SEM"&amp;IF(VALUE(RIGHT($A173,2))&lt;=6,1,2)))),TabelaNPS[Curso],$A$21),SUMIFS(TabelaNPS[Detratores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E173" s="291">
        <f>IF(OR($K$4="(todos)",$K$4=$A$22),IF($A$22="","",IF($B$4="Mensal",IF(COUNTIFS(TabelaNPS[Período],$A173,TabelaNPS[Curso],$A$22)&gt;0,SUMIFS(TabelaNPS[Respondentes],TabelaNPS[Período],$A173,TabelaNPS[Curso],$A$22),SUMIFS(TabelaNPS[Respondentes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Respondentes],TabelaNPS[Período],(IF($A173="","",IF(ISNUMBER(SEARCH("-SEM",$A173)),$A173,LEFT($A173,4)&amp;"-SEM"&amp;IF(VALUE(RIGHT($A173,2))&lt;=6,1,2)))),TabelaNPS[Curso],$A$22)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F173" s="291">
        <f>IF(OR($K$4="(todos)",$K$4=$A$22),IF($A$22="","",IF($B$4="Mensal",IF(COUNTIFS(TabelaNPS[Período],$A173,TabelaNPS[Curso],$A$22)&gt;0,SUMIFS(TabelaNPS[Promotores (9-10)],TabelaNPS[Período],$A173,TabelaNPS[Curso],$A$22),SUMIFS(TabelaNPS[Promotores (9-10)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Promotores (9-10)],TabelaNPS[Período],(IF($A173="","",IF(ISNUMBER(SEARCH("-SEM",$A173)),$A173,LEFT($A173,4)&amp;"-SEM"&amp;IF(VALUE(RIGHT($A173,2))&lt;=6,1,2)))),TabelaNPS[Curso],$A$22),SUMIFS(TabelaNPS[Promotores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G173" s="291">
        <f>IF(OR($K$4="(todos)",$K$4=$A$22),IF($A$22="","",IF($B$4="Mensal",IF(COUNTIFS(TabelaNPS[Período],$A173,TabelaNPS[Curso],$A$22)&gt;0,SUMIFS(TabelaNPS[Detratores (0-6)],TabelaNPS[Período],$A173,TabelaNPS[Curso],$A$22),SUMIFS(TabelaNPS[Detratores (0-6)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Detratores (0-6)],TabelaNPS[Período],(IF($A173="","",IF(ISNUMBER(SEARCH("-SEM",$A173)),$A173,LEFT($A173,4)&amp;"-SEM"&amp;IF(VALUE(RIGHT($A173,2))&lt;=6,1,2)))),TabelaNPS[Curso],$A$22),SUMIFS(TabelaNPS[Detratores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H173" s="291">
        <f>IF(OR($K$4="(todos)",$K$4=$A$23),IF($A$23="","",IF($B$4="Mensal",IF(COUNTIFS(TabelaNPS[Período],$A173,TabelaNPS[Curso],$A$23)&gt;0,SUMIFS(TabelaNPS[Respondentes],TabelaNPS[Período],$A173,TabelaNPS[Curso],$A$23),SUMIFS(TabelaNPS[Respondentes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Respondentes],TabelaNPS[Período],(IF($A173="","",IF(ISNUMBER(SEARCH("-SEM",$A173)),$A173,LEFT($A173,4)&amp;"-SEM"&amp;IF(VALUE(RIGHT($A173,2))&lt;=6,1,2)))),TabelaNPS[Curso],$A$23)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I173" s="291">
        <f>IF(OR($K$4="(todos)",$K$4=$A$23),IF($A$23="","",IF($B$4="Mensal",IF(COUNTIFS(TabelaNPS[Período],$A173,TabelaNPS[Curso],$A$23)&gt;0,SUMIFS(TabelaNPS[Promotores (9-10)],TabelaNPS[Período],$A173,TabelaNPS[Curso],$A$23),SUMIFS(TabelaNPS[Promotores (9-10)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Promotores (9-10)],TabelaNPS[Período],(IF($A173="","",IF(ISNUMBER(SEARCH("-SEM",$A173)),$A173,LEFT($A173,4)&amp;"-SEM"&amp;IF(VALUE(RIGHT($A173,2))&lt;=6,1,2)))),TabelaNPS[Curso],$A$23),SUMIFS(TabelaNPS[Promotores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J173" s="291">
        <f>IF(OR($K$4="(todos)",$K$4=$A$23),IF($A$23="","",IF($B$4="Mensal",IF(COUNTIFS(TabelaNPS[Período],$A173,TabelaNPS[Curso],$A$23)&gt;0,SUMIFS(TabelaNPS[Detratores (0-6)],TabelaNPS[Período],$A173,TabelaNPS[Curso],$A$23),SUMIFS(TabelaNPS[Detratores (0-6)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Detratores (0-6)],TabelaNPS[Período],(IF($A173="","",IF(ISNUMBER(SEARCH("-SEM",$A173)),$A173,LEFT($A173,4)&amp;"-SEM"&amp;IF(VALUE(RIGHT($A173,2))&lt;=6,1,2)))),TabelaNPS[Curso],$A$23),SUMIFS(TabelaNPS[Detratores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K173" s="291">
        <f>IF(OR($K$4="(todos)",$K$4=$A$24),IF($A$24="","",IF($B$4="Mensal",IF(COUNTIFS(TabelaNPS[Período],$A173,TabelaNPS[Curso],$A$24)&gt;0,SUMIFS(TabelaNPS[Respondentes],TabelaNPS[Período],$A173,TabelaNPS[Curso],$A$24),SUMIFS(TabelaNPS[Respondentes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Respondentes],TabelaNPS[Período],(IF($A173="","",IF(ISNUMBER(SEARCH("-SEM",$A173)),$A173,LEFT($A173,4)&amp;"-SEM"&amp;IF(VALUE(RIGHT($A173,2))&lt;=6,1,2)))),TabelaNPS[Curso],$A$24)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  <c r="AL173" s="291">
        <f>IF(OR($K$4="(todos)",$K$4=$A$24),IF($A$24="","",IF($B$4="Mensal",IF(COUNTIFS(TabelaNPS[Período],$A173,TabelaNPS[Curso],$A$24)&gt;0,SUMIFS(TabelaNPS[Promotores (9-10)],TabelaNPS[Período],$A173,TabelaNPS[Curso],$A$24),SUMIFS(TabelaNPS[Promotores (9-10)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Promotores (9-10)],TabelaNPS[Período],(IF($A173="","",IF(ISNUMBER(SEARCH("-SEM",$A173)),$A173,LEFT($A173,4)&amp;"-SEM"&amp;IF(VALUE(RIGHT($A173,2))&lt;=6,1,2)))),TabelaNPS[Curso],$A$24),SUMIFS(TabelaNPS[Promotores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  <c r="AM173" s="291">
        <f>IF(OR($K$4="(todos)",$K$4=$A$24),IF($A$24="","",IF($B$4="Mensal",IF(COUNTIFS(TabelaNPS[Período],$A173,TabelaNPS[Curso],$A$24)&gt;0,SUMIFS(TabelaNPS[Detratores (0-6)],TabelaNPS[Período],$A173,TabelaNPS[Curso],$A$24),SUMIFS(TabelaNPS[Detratores (0-6)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Detratores (0-6)],TabelaNPS[Período],(IF($A173="","",IF(ISNUMBER(SEARCH("-SEM",$A173)),$A173,LEFT($A173,4)&amp;"-SEM"&amp;IF(VALUE(RIGHT($A173,2))&lt;=6,1,2)))),TabelaNPS[Curso],$A$24),SUMIFS(TabelaNPS[Detratores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  <c r="AN173" s="291">
        <f>IF(OR($K$4="(todos)",$K$4=$A$25),IF($A$25="","",IF($B$4="Mensal",IF(COUNTIFS(TabelaNPS[Período],$A173,TabelaNPS[Curso],$A$25)&gt;0,SUMIFS(TabelaNPS[Respondentes],TabelaNPS[Período],$A173,TabelaNPS[Curso],$A$25),SUMIFS(TabelaNPS[Respondentes],TabelaNPS[Período],(IF($A173="","",IF(ISNUMBER(SEARCH("-SEM",$A173)),$A173,LEFT($A173,4)&amp;"-SEM"&amp;IF(VALUE(RIGHT($A173,2))&lt;=6,1,2)))),TabelaNPS[Curso],$A$25)),IF(COUNTIFS(TabelaNPS[Período],(IF($A173="","",IF(ISNUMBER(SEARCH("-SEM",$A173)),$A173,LEFT($A173,4)&amp;"-SEM"&amp;IF(VALUE(RIGHT($A173,2))&lt;=6,1,2)))),TabelaNPS[Curso],$A$25)&gt;0,SUMIFS(TabelaNPS[Respondentes],TabelaNPS[Período],(IF($A173="","",IF(ISNUMBER(SEARCH("-SEM",$A173)),$A173,LEFT($A173,4)&amp;"-SEM"&amp;IF(VALUE(RIGHT($A173,2))&lt;=6,1,2)))),TabelaNPS[Curso],$A$25)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$25)))),0)</f>
        <v/>
      </c>
      <c r="AO173" s="291">
        <f>IF(OR($K$4="(todos)",$K$4=$A$25),IF($A$25="","",IF($B$4="Mensal",IF(COUNTIFS(TabelaNPS[Período],$A173,TabelaNPS[Curso],$A$25)&gt;0,SUMIFS(TabelaNPS[Promotores (9-10)],TabelaNPS[Período],$A173,TabelaNPS[Curso],$A$25),SUMIFS(TabelaNPS[Promotores (9-10)],TabelaNPS[Período],(IF($A173="","",IF(ISNUMBER(SEARCH("-SEM",$A173)),$A173,LEFT($A173,4)&amp;"-SEM"&amp;IF(VALUE(RIGHT($A173,2))&lt;=6,1,2)))),TabelaNPS[Curso],$A$25)),IF(COUNTIFS(TabelaNPS[Período],(IF($A173="","",IF(ISNUMBER(SEARCH("-SEM",$A173)),$A173,LEFT($A173,4)&amp;"-SEM"&amp;IF(VALUE(RIGHT($A173,2))&lt;=6,1,2)))),TabelaNPS[Curso],$A$25)&gt;0,SUMIFS(TabelaNPS[Promotores (9-10)],TabelaNPS[Período],(IF($A173="","",IF(ISNUMBER(SEARCH("-SEM",$A173)),$A173,LEFT($A173,4)&amp;"-SEM"&amp;IF(VALUE(RIGHT($A173,2))&lt;=6,1,2)))),TabelaNPS[Curso],$A$25),SUMIFS(TabelaNPS[Promotores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$25)))),0)</f>
        <v/>
      </c>
      <c r="AP173" s="291">
        <f>IF(OR($K$4="(todos)",$K$4=$A$25),IF($A$25="","",IF($B$4="Mensal",IF(COUNTIFS(TabelaNPS[Período],$A173,TabelaNPS[Curso],$A$25)&gt;0,SUMIFS(TabelaNPS[Detratores (0-6)],TabelaNPS[Período],$A173,TabelaNPS[Curso],$A$25),SUMIFS(TabelaNPS[Detratores (0-6)],TabelaNPS[Período],(IF($A173="","",IF(ISNUMBER(SEARCH("-SEM",$A173)),$A173,LEFT($A173,4)&amp;"-SEM"&amp;IF(VALUE(RIGHT($A173,2))&lt;=6,1,2)))),TabelaNPS[Curso],$A$25)),IF(COUNTIFS(TabelaNPS[Período],(IF($A173="","",IF(ISNUMBER(SEARCH("-SEM",$A173)),$A173,LEFT($A173,4)&amp;"-SEM"&amp;IF(VALUE(RIGHT($A173,2))&lt;=6,1,2)))),TabelaNPS[Curso],$A$25)&gt;0,SUMIFS(TabelaNPS[Detratores (0-6)],TabelaNPS[Período],(IF($A173="","",IF(ISNUMBER(SEARCH("-SEM",$A173)),$A173,LEFT($A173,4)&amp;"-SEM"&amp;IF(VALUE(RIGHT($A173,2))&lt;=6,1,2)))),TabelaNPS[Curso],$A$25),SUMIFS(TabelaNPS[Detratores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$25)))),0)</f>
        <v/>
      </c>
    </row>
    <row r="174">
      <c r="A174" s="343">
        <f>IF(A173="","",IF($B$4="Mensal",IF(MATCH(A173,LST_MESES,0)&gt;=MATCH(PARAMETROS!$E$9,LST_MESES,0),"",INDEX(LST_MESES,MATCH(A173,LST_MESES,0)+1)),IF(MATCH(A173,LST_SEMESTRES,0)&gt;=MATCH(PARAMETROS!$E$9,LST_SEMESTRES,0),"",INDEX(LST_SEMESTRES,MATCH(A173,LST_SEMESTRES,0)+1))))</f>
        <v/>
      </c>
      <c r="B174" s="353">
        <f>IF($A174="","",IFERROR((SUM(Q174,T174,W174,Z174,AC174,AF174,AI174,AL174,AO174)-SUM(R174,U174,X174,AA174,AD174,AG174,AJ174,AM174,AP174))/SUM(P174,S174,V174,Y174,AB174,AE174,AH174,AK174,AN174)*100,""))</f>
        <v/>
      </c>
      <c r="C174" s="351">
        <f>IFERROR(SUMPRODUCT(--(TabelaAvaliacaoDocente[Período]=(IF($A174="","",IF(ISNUMBER(SEARCH("-SEM",$A174)),$A174,LEFT($A174,4)&amp;"-SEM"&amp;IF(VALUE(RIGHT($A174,2)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174="","",IF(ISNUMBER(SEARCH("-SEM",$A174)),$A174,LEFT($A174,4)&amp;"-SEM"&amp;IF(VALUE(RIGHT($A174,2))&lt;=6,1,2))))),--((($K$4="(todos)")+(TabelaAvaliacaoDocente[Curso]=$K$4))&gt;0),--((($N$4="(todas)")+(TabelaAvaliacaoDocente[Disciplina]=$N$4))&gt;0),TabelaAvaliacaoDocente[Respondentes]),"")</f>
        <v/>
      </c>
      <c r="D174" s="354">
        <f>IF($A174="","",IFERROR((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/((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+(SUMIFS(TabelaResultadosAcademicos[Re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)*100,""))</f>
        <v/>
      </c>
      <c r="E174" s="351">
        <f>IFERROR((SUMIFS(TabelaResultadosAcademicos[Soma das nota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/(SUMIFS(TabelaResultadosAcademicos[Quantidade de nota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,"")</f>
        <v/>
      </c>
      <c r="F174" s="347">
        <f>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G174" s="347">
        <f>SUMIFS(TabelaResultadosAcademicos[Reprovados por nota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H174" s="347">
        <f>SUMIFS(TabelaResultadosAcademicos[Reprovados por falta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I174" s="353">
        <f>IF($A174="","",IFERROR(IF((SUMPRODUCT(MAX((METAS!$A$5:$A$404="DTNH-01")*(METAS!$B$5:$B$404=IF($K$4="(todos)","TOTAL",$K$4))*(METAS!$D$5:$D$404&lt;=(IF($A174="",0,IF(ISNUMBER(SEARCH("-SEM",$A174)),VALUE(LEFT($A174,4)&amp;IF(RIGHT($A174,1)="1","01","07")),VALUE(SUBSTITUTE($A174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174="",0,IF(ISNUMBER(SEARCH("-SEM",$A174)),VALUE(LEFT($A174,4)&amp;IF(RIGHT($A174,1)="1","01","07")),VALUE(SUBSTITUTE($A174,"-",""))))))*METAS!$D$5:$D$404))))*METAS!$E$5:$E$404),IF((SUMPRODUCT(MAX((METAS!$A$5:$A$404="DTNH-01")*(METAS!$B$5:$B$404="TOTAL")*(METAS!$D$5:$D$404&lt;=(IF($A174="",0,IF(ISNUMBER(SEARCH("-SEM",$A174)),VALUE(LEFT($A174,4)&amp;IF(RIGHT($A174,1)="1","01","07")),VALUE(SUBSTITUTE($A174,"-",""))))))*METAS!$D$5:$D$404)))&gt;0,SUMPRODUCT((METAS!$A$5:$A$404="DTNH-01")*(METAS!$B$5:$B$404="TOTAL")*(METAS!$D$5:$D$404=(SUMPRODUCT(MAX((METAS!$A$5:$A$404="DTNH-01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J174" s="351">
        <f>IF($A174="","",IFERROR(IF((SUMPRODUCT(MAX((METAS!$A$5:$A$404="DTNH-02")*(METAS!$B$5:$B$404=$N$6)*(METAS!$D$5:$D$404&lt;=(IF($A174="",0,IF(ISNUMBER(SEARCH("-SEM",$A174)),VALUE(LEFT($A174,4)&amp;IF(RIGHT($A174,1)="1","01","07")),VALUE(SUBSTITUTE($A174,"-",""))))))*METAS!$D$5:$D$404)))&gt;0,SUMPRODUCT((METAS!$A$5:$A$404="DTNH-02")*(METAS!$B$5:$B$404=$N$6)*(METAS!$D$5:$D$404=(SUMPRODUCT(MAX((METAS!$A$5:$A$404="DTNH-02")*(METAS!$B$5:$B$404=$N$6)*(METAS!$D$5:$D$404&lt;=(IF($A174="",0,IF(ISNUMBER(SEARCH("-SEM",$A174)),VALUE(LEFT($A174,4)&amp;IF(RIGHT($A174,1)="1","01","07")),VALUE(SUBSTITUTE($A174,"-",""))))))*METAS!$D$5:$D$404))))*METAS!$E$5:$E$404),IF((SUMPRODUCT(MAX((METAS!$A$5:$A$404="DTNH-02")*(METAS!$B$5:$B$404="TOTAL")*(METAS!$D$5:$D$404&lt;=(IF($A174="",0,IF(ISNUMBER(SEARCH("-SEM",$A174)),VALUE(LEFT($A174,4)&amp;IF(RIGHT($A174,1)="1","01","07")),VALUE(SUBSTITUTE($A174,"-",""))))))*METAS!$D$5:$D$404)))&gt;0,SUMPRODUCT((METAS!$A$5:$A$404="DTNH-02")*(METAS!$B$5:$B$404="TOTAL")*(METAS!$D$5:$D$404=(SUMPRODUCT(MAX((METAS!$A$5:$A$404="DTNH-02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K174" s="354">
        <f>IF($A174="","",IFERROR(IF((SUMPRODUCT(MAX((METAS!$A$5:$A$404="DTNH-03")*(METAS!$B$5:$B$404=$N$6)*(METAS!$D$5:$D$404&lt;=(IF($A174="",0,IF(ISNUMBER(SEARCH("-SEM",$A174)),VALUE(LEFT($A174,4)&amp;IF(RIGHT($A174,1)="1","01","07")),VALUE(SUBSTITUTE($A174,"-",""))))))*METAS!$D$5:$D$404)))&gt;0,SUMPRODUCT((METAS!$A$5:$A$404="DTNH-03")*(METAS!$B$5:$B$404=$N$6)*(METAS!$D$5:$D$404=(SUMPRODUCT(MAX((METAS!$A$5:$A$404="DTNH-03")*(METAS!$B$5:$B$404=$N$6)*(METAS!$D$5:$D$404&lt;=(IF($A174="",0,IF(ISNUMBER(SEARCH("-SEM",$A174)),VALUE(LEFT($A174,4)&amp;IF(RIGHT($A174,1)="1","01","07")),VALUE(SUBSTITUTE($A174,"-",""))))))*METAS!$D$5:$D$404))))*METAS!$E$5:$E$404),IF((SUMPRODUCT(MAX((METAS!$A$5:$A$404="DTNH-03")*(METAS!$B$5:$B$404="TOTAL")*(METAS!$D$5:$D$404&lt;=(IF($A174="",0,IF(ISNUMBER(SEARCH("-SEM",$A174)),VALUE(LEFT($A174,4)&amp;IF(RIGHT($A174,1)="1","01","07")),VALUE(SUBSTITUTE($A174,"-",""))))))*METAS!$D$5:$D$404)))&gt;0,SUMPRODUCT((METAS!$A$5:$A$404="DTNH-03")*(METAS!$B$5:$B$404="TOTAL")*(METAS!$D$5:$D$404=(SUMPRODUCT(MAX((METAS!$A$5:$A$404="DTNH-03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P174" s="291">
        <f>IF(OR($K$4="(todos)",$K$4=$A$17),IF($A$17="","",IF($B$4="Mensal",IF(COUNTIFS(TabelaNPS[Período],$A174,TabelaNPS[Curso],$A$17)&gt;0,SUMIFS(TabelaNPS[Respondentes],TabelaNPS[Período],$A174,TabelaNPS[Curso],$A$17),SUMIFS(TabelaNPS[Respondentes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Respondentes],TabelaNPS[Período],(IF($A174="","",IF(ISNUMBER(SEARCH("-SEM",$A174)),$A174,LEFT($A174,4)&amp;"-SEM"&amp;IF(VALUE(RIGHT($A174,2))&lt;=6,1,2)))),TabelaNPS[Curso],$A$17)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Q174" s="291">
        <f>IF(OR($K$4="(todos)",$K$4=$A$17),IF($A$17="","",IF($B$4="Mensal",IF(COUNTIFS(TabelaNPS[Período],$A174,TabelaNPS[Curso],$A$17)&gt;0,SUMIFS(TabelaNPS[Promotores (9-10)],TabelaNPS[Período],$A174,TabelaNPS[Curso],$A$17),SUMIFS(TabelaNPS[Promotores (9-10)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Promotores (9-10)],TabelaNPS[Período],(IF($A174="","",IF(ISNUMBER(SEARCH("-SEM",$A174)),$A174,LEFT($A174,4)&amp;"-SEM"&amp;IF(VALUE(RIGHT($A174,2))&lt;=6,1,2)))),TabelaNPS[Curso],$A$17),SUMIFS(TabelaNPS[Promotores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R174" s="291">
        <f>IF(OR($K$4="(todos)",$K$4=$A$17),IF($A$17="","",IF($B$4="Mensal",IF(COUNTIFS(TabelaNPS[Período],$A174,TabelaNPS[Curso],$A$17)&gt;0,SUMIFS(TabelaNPS[Detratores (0-6)],TabelaNPS[Período],$A174,TabelaNPS[Curso],$A$17),SUMIFS(TabelaNPS[Detratores (0-6)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Detratores (0-6)],TabelaNPS[Período],(IF($A174="","",IF(ISNUMBER(SEARCH("-SEM",$A174)),$A174,LEFT($A174,4)&amp;"-SEM"&amp;IF(VALUE(RIGHT($A174,2))&lt;=6,1,2)))),TabelaNPS[Curso],$A$17),SUMIFS(TabelaNPS[Detratores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S174" s="291">
        <f>IF(OR($K$4="(todos)",$K$4=$A$18),IF($A$18="","",IF($B$4="Mensal",IF(COUNTIFS(TabelaNPS[Período],$A174,TabelaNPS[Curso],$A$18)&gt;0,SUMIFS(TabelaNPS[Respondentes],TabelaNPS[Período],$A174,TabelaNPS[Curso],$A$18),SUMIFS(TabelaNPS[Respondentes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Respondentes],TabelaNPS[Período],(IF($A174="","",IF(ISNUMBER(SEARCH("-SEM",$A174)),$A174,LEFT($A174,4)&amp;"-SEM"&amp;IF(VALUE(RIGHT($A174,2))&lt;=6,1,2)))),TabelaNPS[Curso],$A$18)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T174" s="291">
        <f>IF(OR($K$4="(todos)",$K$4=$A$18),IF($A$18="","",IF($B$4="Mensal",IF(COUNTIFS(TabelaNPS[Período],$A174,TabelaNPS[Curso],$A$18)&gt;0,SUMIFS(TabelaNPS[Promotores (9-10)],TabelaNPS[Período],$A174,TabelaNPS[Curso],$A$18),SUMIFS(TabelaNPS[Promotores (9-10)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Promotores (9-10)],TabelaNPS[Período],(IF($A174="","",IF(ISNUMBER(SEARCH("-SEM",$A174)),$A174,LEFT($A174,4)&amp;"-SEM"&amp;IF(VALUE(RIGHT($A174,2))&lt;=6,1,2)))),TabelaNPS[Curso],$A$18),SUMIFS(TabelaNPS[Promotores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U174" s="291">
        <f>IF(OR($K$4="(todos)",$K$4=$A$18),IF($A$18="","",IF($B$4="Mensal",IF(COUNTIFS(TabelaNPS[Período],$A174,TabelaNPS[Curso],$A$18)&gt;0,SUMIFS(TabelaNPS[Detratores (0-6)],TabelaNPS[Período],$A174,TabelaNPS[Curso],$A$18),SUMIFS(TabelaNPS[Detratores (0-6)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Detratores (0-6)],TabelaNPS[Período],(IF($A174="","",IF(ISNUMBER(SEARCH("-SEM",$A174)),$A174,LEFT($A174,4)&amp;"-SEM"&amp;IF(VALUE(RIGHT($A174,2))&lt;=6,1,2)))),TabelaNPS[Curso],$A$18),SUMIFS(TabelaNPS[Detratores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V174" s="291">
        <f>IF(OR($K$4="(todos)",$K$4=$A$19),IF($A$19="","",IF($B$4="Mensal",IF(COUNTIFS(TabelaNPS[Período],$A174,TabelaNPS[Curso],$A$19)&gt;0,SUMIFS(TabelaNPS[Respondentes],TabelaNPS[Período],$A174,TabelaNPS[Curso],$A$19),SUMIFS(TabelaNPS[Respondentes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Respondentes],TabelaNPS[Período],(IF($A174="","",IF(ISNUMBER(SEARCH("-SEM",$A174)),$A174,LEFT($A174,4)&amp;"-SEM"&amp;IF(VALUE(RIGHT($A174,2))&lt;=6,1,2)))),TabelaNPS[Curso],$A$19)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W174" s="291">
        <f>IF(OR($K$4="(todos)",$K$4=$A$19),IF($A$19="","",IF($B$4="Mensal",IF(COUNTIFS(TabelaNPS[Período],$A174,TabelaNPS[Curso],$A$19)&gt;0,SUMIFS(TabelaNPS[Promotores (9-10)],TabelaNPS[Período],$A174,TabelaNPS[Curso],$A$19),SUMIFS(TabelaNPS[Promotores (9-10)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Promotores (9-10)],TabelaNPS[Período],(IF($A174="","",IF(ISNUMBER(SEARCH("-SEM",$A174)),$A174,LEFT($A174,4)&amp;"-SEM"&amp;IF(VALUE(RIGHT($A174,2))&lt;=6,1,2)))),TabelaNPS[Curso],$A$19),SUMIFS(TabelaNPS[Promotores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X174" s="291">
        <f>IF(OR($K$4="(todos)",$K$4=$A$19),IF($A$19="","",IF($B$4="Mensal",IF(COUNTIFS(TabelaNPS[Período],$A174,TabelaNPS[Curso],$A$19)&gt;0,SUMIFS(TabelaNPS[Detratores (0-6)],TabelaNPS[Período],$A174,TabelaNPS[Curso],$A$19),SUMIFS(TabelaNPS[Detratores (0-6)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Detratores (0-6)],TabelaNPS[Período],(IF($A174="","",IF(ISNUMBER(SEARCH("-SEM",$A174)),$A174,LEFT($A174,4)&amp;"-SEM"&amp;IF(VALUE(RIGHT($A174,2))&lt;=6,1,2)))),TabelaNPS[Curso],$A$19),SUMIFS(TabelaNPS[Detratores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Y174" s="291">
        <f>IF(OR($K$4="(todos)",$K$4=$A$20),IF($A$20="","",IF($B$4="Mensal",IF(COUNTIFS(TabelaNPS[Período],$A174,TabelaNPS[Curso],$A$20)&gt;0,SUMIFS(TabelaNPS[Respondentes],TabelaNPS[Período],$A174,TabelaNPS[Curso],$A$20),SUMIFS(TabelaNPS[Respondentes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Respondentes],TabelaNPS[Período],(IF($A174="","",IF(ISNUMBER(SEARCH("-SEM",$A174)),$A174,LEFT($A174,4)&amp;"-SEM"&amp;IF(VALUE(RIGHT($A174,2))&lt;=6,1,2)))),TabelaNPS[Curso],$A$20)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Z174" s="291">
        <f>IF(OR($K$4="(todos)",$K$4=$A$20),IF($A$20="","",IF($B$4="Mensal",IF(COUNTIFS(TabelaNPS[Período],$A174,TabelaNPS[Curso],$A$20)&gt;0,SUMIFS(TabelaNPS[Promotores (9-10)],TabelaNPS[Período],$A174,TabelaNPS[Curso],$A$20),SUMIFS(TabelaNPS[Promotores (9-10)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Promotores (9-10)],TabelaNPS[Período],(IF($A174="","",IF(ISNUMBER(SEARCH("-SEM",$A174)),$A174,LEFT($A174,4)&amp;"-SEM"&amp;IF(VALUE(RIGHT($A174,2))&lt;=6,1,2)))),TabelaNPS[Curso],$A$20),SUMIFS(TabelaNPS[Promotores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AA174" s="291">
        <f>IF(OR($K$4="(todos)",$K$4=$A$20),IF($A$20="","",IF($B$4="Mensal",IF(COUNTIFS(TabelaNPS[Período],$A174,TabelaNPS[Curso],$A$20)&gt;0,SUMIFS(TabelaNPS[Detratores (0-6)],TabelaNPS[Período],$A174,TabelaNPS[Curso],$A$20),SUMIFS(TabelaNPS[Detratores (0-6)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Detratores (0-6)],TabelaNPS[Período],(IF($A174="","",IF(ISNUMBER(SEARCH("-SEM",$A174)),$A174,LEFT($A174,4)&amp;"-SEM"&amp;IF(VALUE(RIGHT($A174,2))&lt;=6,1,2)))),TabelaNPS[Curso],$A$20),SUMIFS(TabelaNPS[Detratores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AB174" s="291">
        <f>IF(OR($K$4="(todos)",$K$4=$A$21),IF($A$21="","",IF($B$4="Mensal",IF(COUNTIFS(TabelaNPS[Período],$A174,TabelaNPS[Curso],$A$21)&gt;0,SUMIFS(TabelaNPS[Respondentes],TabelaNPS[Período],$A174,TabelaNPS[Curso],$A$21),SUMIFS(TabelaNPS[Respondentes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Respondentes],TabelaNPS[Período],(IF($A174="","",IF(ISNUMBER(SEARCH("-SEM",$A174)),$A174,LEFT($A174,4)&amp;"-SEM"&amp;IF(VALUE(RIGHT($A174,2))&lt;=6,1,2)))),TabelaNPS[Curso],$A$21)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C174" s="291">
        <f>IF(OR($K$4="(todos)",$K$4=$A$21),IF($A$21="","",IF($B$4="Mensal",IF(COUNTIFS(TabelaNPS[Período],$A174,TabelaNPS[Curso],$A$21)&gt;0,SUMIFS(TabelaNPS[Promotores (9-10)],TabelaNPS[Período],$A174,TabelaNPS[Curso],$A$21),SUMIFS(TabelaNPS[Promotores (9-10)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Promotores (9-10)],TabelaNPS[Período],(IF($A174="","",IF(ISNUMBER(SEARCH("-SEM",$A174)),$A174,LEFT($A174,4)&amp;"-SEM"&amp;IF(VALUE(RIGHT($A174,2))&lt;=6,1,2)))),TabelaNPS[Curso],$A$21),SUMIFS(TabelaNPS[Promotores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D174" s="291">
        <f>IF(OR($K$4="(todos)",$K$4=$A$21),IF($A$21="","",IF($B$4="Mensal",IF(COUNTIFS(TabelaNPS[Período],$A174,TabelaNPS[Curso],$A$21)&gt;0,SUMIFS(TabelaNPS[Detratores (0-6)],TabelaNPS[Período],$A174,TabelaNPS[Curso],$A$21),SUMIFS(TabelaNPS[Detratores (0-6)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Detratores (0-6)],TabelaNPS[Período],(IF($A174="","",IF(ISNUMBER(SEARCH("-SEM",$A174)),$A174,LEFT($A174,4)&amp;"-SEM"&amp;IF(VALUE(RIGHT($A174,2))&lt;=6,1,2)))),TabelaNPS[Curso],$A$21),SUMIFS(TabelaNPS[Detratores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E174" s="291">
        <f>IF(OR($K$4="(todos)",$K$4=$A$22),IF($A$22="","",IF($B$4="Mensal",IF(COUNTIFS(TabelaNPS[Período],$A174,TabelaNPS[Curso],$A$22)&gt;0,SUMIFS(TabelaNPS[Respondentes],TabelaNPS[Período],$A174,TabelaNPS[Curso],$A$22),SUMIFS(TabelaNPS[Respondentes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Respondentes],TabelaNPS[Período],(IF($A174="","",IF(ISNUMBER(SEARCH("-SEM",$A174)),$A174,LEFT($A174,4)&amp;"-SEM"&amp;IF(VALUE(RIGHT($A174,2))&lt;=6,1,2)))),TabelaNPS[Curso],$A$22)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F174" s="291">
        <f>IF(OR($K$4="(todos)",$K$4=$A$22),IF($A$22="","",IF($B$4="Mensal",IF(COUNTIFS(TabelaNPS[Período],$A174,TabelaNPS[Curso],$A$22)&gt;0,SUMIFS(TabelaNPS[Promotores (9-10)],TabelaNPS[Período],$A174,TabelaNPS[Curso],$A$22),SUMIFS(TabelaNPS[Promotores (9-10)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Promotores (9-10)],TabelaNPS[Período],(IF($A174="","",IF(ISNUMBER(SEARCH("-SEM",$A174)),$A174,LEFT($A174,4)&amp;"-SEM"&amp;IF(VALUE(RIGHT($A174,2))&lt;=6,1,2)))),TabelaNPS[Curso],$A$22),SUMIFS(TabelaNPS[Promotores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G174" s="291">
        <f>IF(OR($K$4="(todos)",$K$4=$A$22),IF($A$22="","",IF($B$4="Mensal",IF(COUNTIFS(TabelaNPS[Período],$A174,TabelaNPS[Curso],$A$22)&gt;0,SUMIFS(TabelaNPS[Detratores (0-6)],TabelaNPS[Período],$A174,TabelaNPS[Curso],$A$22),SUMIFS(TabelaNPS[Detratores (0-6)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Detratores (0-6)],TabelaNPS[Período],(IF($A174="","",IF(ISNUMBER(SEARCH("-SEM",$A174)),$A174,LEFT($A174,4)&amp;"-SEM"&amp;IF(VALUE(RIGHT($A174,2))&lt;=6,1,2)))),TabelaNPS[Curso],$A$22),SUMIFS(TabelaNPS[Detratores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H174" s="291">
        <f>IF(OR($K$4="(todos)",$K$4=$A$23),IF($A$23="","",IF($B$4="Mensal",IF(COUNTIFS(TabelaNPS[Período],$A174,TabelaNPS[Curso],$A$23)&gt;0,SUMIFS(TabelaNPS[Respondentes],TabelaNPS[Período],$A174,TabelaNPS[Curso],$A$23),SUMIFS(TabelaNPS[Respondentes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Respondentes],TabelaNPS[Período],(IF($A174="","",IF(ISNUMBER(SEARCH("-SEM",$A174)),$A174,LEFT($A174,4)&amp;"-SEM"&amp;IF(VALUE(RIGHT($A174,2))&lt;=6,1,2)))),TabelaNPS[Curso],$A$23)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I174" s="291">
        <f>IF(OR($K$4="(todos)",$K$4=$A$23),IF($A$23="","",IF($B$4="Mensal",IF(COUNTIFS(TabelaNPS[Período],$A174,TabelaNPS[Curso],$A$23)&gt;0,SUMIFS(TabelaNPS[Promotores (9-10)],TabelaNPS[Período],$A174,TabelaNPS[Curso],$A$23),SUMIFS(TabelaNPS[Promotores (9-10)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Promotores (9-10)],TabelaNPS[Período],(IF($A174="","",IF(ISNUMBER(SEARCH("-SEM",$A174)),$A174,LEFT($A174,4)&amp;"-SEM"&amp;IF(VALUE(RIGHT($A174,2))&lt;=6,1,2)))),TabelaNPS[Curso],$A$23),SUMIFS(TabelaNPS[Promotores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J174" s="291">
        <f>IF(OR($K$4="(todos)",$K$4=$A$23),IF($A$23="","",IF($B$4="Mensal",IF(COUNTIFS(TabelaNPS[Período],$A174,TabelaNPS[Curso],$A$23)&gt;0,SUMIFS(TabelaNPS[Detratores (0-6)],TabelaNPS[Período],$A174,TabelaNPS[Curso],$A$23),SUMIFS(TabelaNPS[Detratores (0-6)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Detratores (0-6)],TabelaNPS[Período],(IF($A174="","",IF(ISNUMBER(SEARCH("-SEM",$A174)),$A174,LEFT($A174,4)&amp;"-SEM"&amp;IF(VALUE(RIGHT($A174,2))&lt;=6,1,2)))),TabelaNPS[Curso],$A$23),SUMIFS(TabelaNPS[Detratores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K174" s="291">
        <f>IF(OR($K$4="(todos)",$K$4=$A$24),IF($A$24="","",IF($B$4="Mensal",IF(COUNTIFS(TabelaNPS[Período],$A174,TabelaNPS[Curso],$A$24)&gt;0,SUMIFS(TabelaNPS[Respondentes],TabelaNPS[Período],$A174,TabelaNPS[Curso],$A$24),SUMIFS(TabelaNPS[Respondentes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Respondentes],TabelaNPS[Período],(IF($A174="","",IF(ISNUMBER(SEARCH("-SEM",$A174)),$A174,LEFT($A174,4)&amp;"-SEM"&amp;IF(VALUE(RIGHT($A174,2))&lt;=6,1,2)))),TabelaNPS[Curso],$A$24)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  <c r="AL174" s="291">
        <f>IF(OR($K$4="(todos)",$K$4=$A$24),IF($A$24="","",IF($B$4="Mensal",IF(COUNTIFS(TabelaNPS[Período],$A174,TabelaNPS[Curso],$A$24)&gt;0,SUMIFS(TabelaNPS[Promotores (9-10)],TabelaNPS[Período],$A174,TabelaNPS[Curso],$A$24),SUMIFS(TabelaNPS[Promotores (9-10)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Promotores (9-10)],TabelaNPS[Período],(IF($A174="","",IF(ISNUMBER(SEARCH("-SEM",$A174)),$A174,LEFT($A174,4)&amp;"-SEM"&amp;IF(VALUE(RIGHT($A174,2))&lt;=6,1,2)))),TabelaNPS[Curso],$A$24),SUMIFS(TabelaNPS[Promotores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  <c r="AM174" s="291">
        <f>IF(OR($K$4="(todos)",$K$4=$A$24),IF($A$24="","",IF($B$4="Mensal",IF(COUNTIFS(TabelaNPS[Período],$A174,TabelaNPS[Curso],$A$24)&gt;0,SUMIFS(TabelaNPS[Detratores (0-6)],TabelaNPS[Período],$A174,TabelaNPS[Curso],$A$24),SUMIFS(TabelaNPS[Detratores (0-6)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Detratores (0-6)],TabelaNPS[Período],(IF($A174="","",IF(ISNUMBER(SEARCH("-SEM",$A174)),$A174,LEFT($A174,4)&amp;"-SEM"&amp;IF(VALUE(RIGHT($A174,2))&lt;=6,1,2)))),TabelaNPS[Curso],$A$24),SUMIFS(TabelaNPS[Detratores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  <c r="AN174" s="291">
        <f>IF(OR($K$4="(todos)",$K$4=$A$25),IF($A$25="","",IF($B$4="Mensal",IF(COUNTIFS(TabelaNPS[Período],$A174,TabelaNPS[Curso],$A$25)&gt;0,SUMIFS(TabelaNPS[Respondentes],TabelaNPS[Período],$A174,TabelaNPS[Curso],$A$25),SUMIFS(TabelaNPS[Respondentes],TabelaNPS[Período],(IF($A174="","",IF(ISNUMBER(SEARCH("-SEM",$A174)),$A174,LEFT($A174,4)&amp;"-SEM"&amp;IF(VALUE(RIGHT($A174,2))&lt;=6,1,2)))),TabelaNPS[Curso],$A$25)),IF(COUNTIFS(TabelaNPS[Período],(IF($A174="","",IF(ISNUMBER(SEARCH("-SEM",$A174)),$A174,LEFT($A174,4)&amp;"-SEM"&amp;IF(VALUE(RIGHT($A174,2))&lt;=6,1,2)))),TabelaNPS[Curso],$A$25)&gt;0,SUMIFS(TabelaNPS[Respondentes],TabelaNPS[Período],(IF($A174="","",IF(ISNUMBER(SEARCH("-SEM",$A174)),$A174,LEFT($A174,4)&amp;"-SEM"&amp;IF(VALUE(RIGHT($A174,2))&lt;=6,1,2)))),TabelaNPS[Curso],$A$25)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$25)))),0)</f>
        <v/>
      </c>
      <c r="AO174" s="291">
        <f>IF(OR($K$4="(todos)",$K$4=$A$25),IF($A$25="","",IF($B$4="Mensal",IF(COUNTIFS(TabelaNPS[Período],$A174,TabelaNPS[Curso],$A$25)&gt;0,SUMIFS(TabelaNPS[Promotores (9-10)],TabelaNPS[Período],$A174,TabelaNPS[Curso],$A$25),SUMIFS(TabelaNPS[Promotores (9-10)],TabelaNPS[Período],(IF($A174="","",IF(ISNUMBER(SEARCH("-SEM",$A174)),$A174,LEFT($A174,4)&amp;"-SEM"&amp;IF(VALUE(RIGHT($A174,2))&lt;=6,1,2)))),TabelaNPS[Curso],$A$25)),IF(COUNTIFS(TabelaNPS[Período],(IF($A174="","",IF(ISNUMBER(SEARCH("-SEM",$A174)),$A174,LEFT($A174,4)&amp;"-SEM"&amp;IF(VALUE(RIGHT($A174,2))&lt;=6,1,2)))),TabelaNPS[Curso],$A$25)&gt;0,SUMIFS(TabelaNPS[Promotores (9-10)],TabelaNPS[Período],(IF($A174="","",IF(ISNUMBER(SEARCH("-SEM",$A174)),$A174,LEFT($A174,4)&amp;"-SEM"&amp;IF(VALUE(RIGHT($A174,2))&lt;=6,1,2)))),TabelaNPS[Curso],$A$25),SUMIFS(TabelaNPS[Promotores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$25)))),0)</f>
        <v/>
      </c>
      <c r="AP174" s="291">
        <f>IF(OR($K$4="(todos)",$K$4=$A$25),IF($A$25="","",IF($B$4="Mensal",IF(COUNTIFS(TabelaNPS[Período],$A174,TabelaNPS[Curso],$A$25)&gt;0,SUMIFS(TabelaNPS[Detratores (0-6)],TabelaNPS[Período],$A174,TabelaNPS[Curso],$A$25),SUMIFS(TabelaNPS[Detratores (0-6)],TabelaNPS[Período],(IF($A174="","",IF(ISNUMBER(SEARCH("-SEM",$A174)),$A174,LEFT($A174,4)&amp;"-SEM"&amp;IF(VALUE(RIGHT($A174,2))&lt;=6,1,2)))),TabelaNPS[Curso],$A$25)),IF(COUNTIFS(TabelaNPS[Período],(IF($A174="","",IF(ISNUMBER(SEARCH("-SEM",$A174)),$A174,LEFT($A174,4)&amp;"-SEM"&amp;IF(VALUE(RIGHT($A174,2))&lt;=6,1,2)))),TabelaNPS[Curso],$A$25)&gt;0,SUMIFS(TabelaNPS[Detratores (0-6)],TabelaNPS[Período],(IF($A174="","",IF(ISNUMBER(SEARCH("-SEM",$A174)),$A174,LEFT($A174,4)&amp;"-SEM"&amp;IF(VALUE(RIGHT($A174,2))&lt;=6,1,2)))),TabelaNPS[Curso],$A$25),SUMIFS(TabelaNPS[Detratores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$25)))),0)</f>
        <v/>
      </c>
    </row>
    <row r="175">
      <c r="A175" s="343">
        <f>IF(A174="","",IF($B$4="Mensal",IF(MATCH(A174,LST_MESES,0)&gt;=MATCH(PARAMETROS!$E$9,LST_MESES,0),"",INDEX(LST_MESES,MATCH(A174,LST_MESES,0)+1)),IF(MATCH(A174,LST_SEMESTRES,0)&gt;=MATCH(PARAMETROS!$E$9,LST_SEMESTRES,0),"",INDEX(LST_SEMESTRES,MATCH(A174,LST_SEMESTRES,0)+1))))</f>
        <v/>
      </c>
      <c r="B175" s="353">
        <f>IF($A175="","",IFERROR((SUM(Q175,T175,W175,Z175,AC175,AF175,AI175,AL175,AO175)-SUM(R175,U175,X175,AA175,AD175,AG175,AJ175,AM175,AP175))/SUM(P175,S175,V175,Y175,AB175,AE175,AH175,AK175,AN175)*100,""))</f>
        <v/>
      </c>
      <c r="C175" s="351">
        <f>IFERROR(SUMPRODUCT(--(TabelaAvaliacaoDocente[Período]=(IF($A175="","",IF(ISNUMBER(SEARCH("-SEM",$A175)),$A175,LEFT($A175,4)&amp;"-SEM"&amp;IF(VALUE(RIGHT($A175,2)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175="","",IF(ISNUMBER(SEARCH("-SEM",$A175)),$A175,LEFT($A175,4)&amp;"-SEM"&amp;IF(VALUE(RIGHT($A175,2))&lt;=6,1,2))))),--((($K$4="(todos)")+(TabelaAvaliacaoDocente[Curso]=$K$4))&gt;0),--((($N$4="(todas)")+(TabelaAvaliacaoDocente[Disciplina]=$N$4))&gt;0),TabelaAvaliacaoDocente[Respondentes]),"")</f>
        <v/>
      </c>
      <c r="D175" s="354">
        <f>IF($A175="","",IFERROR((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/((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+(SUMIFS(TabelaResultadosAcademicos[Re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)*100,""))</f>
        <v/>
      </c>
      <c r="E175" s="351">
        <f>IFERROR((SUMIFS(TabelaResultadosAcademicos[Soma das nota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/(SUMIFS(TabelaResultadosAcademicos[Quantidade de nota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,"")</f>
        <v/>
      </c>
      <c r="F175" s="347">
        <f>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G175" s="347">
        <f>SUMIFS(TabelaResultadosAcademicos[Reprovados por nota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H175" s="347">
        <f>SUMIFS(TabelaResultadosAcademicos[Reprovados por falta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I175" s="353">
        <f>IF($A175="","",IFERROR(IF((SUMPRODUCT(MAX((METAS!$A$5:$A$404="DTNH-01")*(METAS!$B$5:$B$404=IF($K$4="(todos)","TOTAL",$K$4))*(METAS!$D$5:$D$404&lt;=(IF($A175="",0,IF(ISNUMBER(SEARCH("-SEM",$A175)),VALUE(LEFT($A175,4)&amp;IF(RIGHT($A175,1)="1","01","07")),VALUE(SUBSTITUTE($A175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175="",0,IF(ISNUMBER(SEARCH("-SEM",$A175)),VALUE(LEFT($A175,4)&amp;IF(RIGHT($A175,1)="1","01","07")),VALUE(SUBSTITUTE($A175,"-",""))))))*METAS!$D$5:$D$404))))*METAS!$E$5:$E$404),IF((SUMPRODUCT(MAX((METAS!$A$5:$A$404="DTNH-01")*(METAS!$B$5:$B$404="TOTAL")*(METAS!$D$5:$D$404&lt;=(IF($A175="",0,IF(ISNUMBER(SEARCH("-SEM",$A175)),VALUE(LEFT($A175,4)&amp;IF(RIGHT($A175,1)="1","01","07")),VALUE(SUBSTITUTE($A175,"-",""))))))*METAS!$D$5:$D$404)))&gt;0,SUMPRODUCT((METAS!$A$5:$A$404="DTNH-01")*(METAS!$B$5:$B$404="TOTAL")*(METAS!$D$5:$D$404=(SUMPRODUCT(MAX((METAS!$A$5:$A$404="DTNH-01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J175" s="351">
        <f>IF($A175="","",IFERROR(IF((SUMPRODUCT(MAX((METAS!$A$5:$A$404="DTNH-02")*(METAS!$B$5:$B$404=$N$6)*(METAS!$D$5:$D$404&lt;=(IF($A175="",0,IF(ISNUMBER(SEARCH("-SEM",$A175)),VALUE(LEFT($A175,4)&amp;IF(RIGHT($A175,1)="1","01","07")),VALUE(SUBSTITUTE($A175,"-",""))))))*METAS!$D$5:$D$404)))&gt;0,SUMPRODUCT((METAS!$A$5:$A$404="DTNH-02")*(METAS!$B$5:$B$404=$N$6)*(METAS!$D$5:$D$404=(SUMPRODUCT(MAX((METAS!$A$5:$A$404="DTNH-02")*(METAS!$B$5:$B$404=$N$6)*(METAS!$D$5:$D$404&lt;=(IF($A175="",0,IF(ISNUMBER(SEARCH("-SEM",$A175)),VALUE(LEFT($A175,4)&amp;IF(RIGHT($A175,1)="1","01","07")),VALUE(SUBSTITUTE($A175,"-",""))))))*METAS!$D$5:$D$404))))*METAS!$E$5:$E$404),IF((SUMPRODUCT(MAX((METAS!$A$5:$A$404="DTNH-02")*(METAS!$B$5:$B$404="TOTAL")*(METAS!$D$5:$D$404&lt;=(IF($A175="",0,IF(ISNUMBER(SEARCH("-SEM",$A175)),VALUE(LEFT($A175,4)&amp;IF(RIGHT($A175,1)="1","01","07")),VALUE(SUBSTITUTE($A175,"-",""))))))*METAS!$D$5:$D$404)))&gt;0,SUMPRODUCT((METAS!$A$5:$A$404="DTNH-02")*(METAS!$B$5:$B$404="TOTAL")*(METAS!$D$5:$D$404=(SUMPRODUCT(MAX((METAS!$A$5:$A$404="DTNH-02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K175" s="354">
        <f>IF($A175="","",IFERROR(IF((SUMPRODUCT(MAX((METAS!$A$5:$A$404="DTNH-03")*(METAS!$B$5:$B$404=$N$6)*(METAS!$D$5:$D$404&lt;=(IF($A175="",0,IF(ISNUMBER(SEARCH("-SEM",$A175)),VALUE(LEFT($A175,4)&amp;IF(RIGHT($A175,1)="1","01","07")),VALUE(SUBSTITUTE($A175,"-",""))))))*METAS!$D$5:$D$404)))&gt;0,SUMPRODUCT((METAS!$A$5:$A$404="DTNH-03")*(METAS!$B$5:$B$404=$N$6)*(METAS!$D$5:$D$404=(SUMPRODUCT(MAX((METAS!$A$5:$A$404="DTNH-03")*(METAS!$B$5:$B$404=$N$6)*(METAS!$D$5:$D$404&lt;=(IF($A175="",0,IF(ISNUMBER(SEARCH("-SEM",$A175)),VALUE(LEFT($A175,4)&amp;IF(RIGHT($A175,1)="1","01","07")),VALUE(SUBSTITUTE($A175,"-",""))))))*METAS!$D$5:$D$404))))*METAS!$E$5:$E$404),IF((SUMPRODUCT(MAX((METAS!$A$5:$A$404="DTNH-03")*(METAS!$B$5:$B$404="TOTAL")*(METAS!$D$5:$D$404&lt;=(IF($A175="",0,IF(ISNUMBER(SEARCH("-SEM",$A175)),VALUE(LEFT($A175,4)&amp;IF(RIGHT($A175,1)="1","01","07")),VALUE(SUBSTITUTE($A175,"-",""))))))*METAS!$D$5:$D$404)))&gt;0,SUMPRODUCT((METAS!$A$5:$A$404="DTNH-03")*(METAS!$B$5:$B$404="TOTAL")*(METAS!$D$5:$D$404=(SUMPRODUCT(MAX((METAS!$A$5:$A$404="DTNH-03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P175" s="291">
        <f>IF(OR($K$4="(todos)",$K$4=$A$17),IF($A$17="","",IF($B$4="Mensal",IF(COUNTIFS(TabelaNPS[Período],$A175,TabelaNPS[Curso],$A$17)&gt;0,SUMIFS(TabelaNPS[Respondentes],TabelaNPS[Período],$A175,TabelaNPS[Curso],$A$17),SUMIFS(TabelaNPS[Respondentes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Respondentes],TabelaNPS[Período],(IF($A175="","",IF(ISNUMBER(SEARCH("-SEM",$A175)),$A175,LEFT($A175,4)&amp;"-SEM"&amp;IF(VALUE(RIGHT($A175,2))&lt;=6,1,2)))),TabelaNPS[Curso],$A$17)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Q175" s="291">
        <f>IF(OR($K$4="(todos)",$K$4=$A$17),IF($A$17="","",IF($B$4="Mensal",IF(COUNTIFS(TabelaNPS[Período],$A175,TabelaNPS[Curso],$A$17)&gt;0,SUMIFS(TabelaNPS[Promotores (9-10)],TabelaNPS[Período],$A175,TabelaNPS[Curso],$A$17),SUMIFS(TabelaNPS[Promotores (9-10)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Promotores (9-10)],TabelaNPS[Período],(IF($A175="","",IF(ISNUMBER(SEARCH("-SEM",$A175)),$A175,LEFT($A175,4)&amp;"-SEM"&amp;IF(VALUE(RIGHT($A175,2))&lt;=6,1,2)))),TabelaNPS[Curso],$A$17),SUMIFS(TabelaNPS[Promotores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R175" s="291">
        <f>IF(OR($K$4="(todos)",$K$4=$A$17),IF($A$17="","",IF($B$4="Mensal",IF(COUNTIFS(TabelaNPS[Período],$A175,TabelaNPS[Curso],$A$17)&gt;0,SUMIFS(TabelaNPS[Detratores (0-6)],TabelaNPS[Período],$A175,TabelaNPS[Curso],$A$17),SUMIFS(TabelaNPS[Detratores (0-6)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Detratores (0-6)],TabelaNPS[Período],(IF($A175="","",IF(ISNUMBER(SEARCH("-SEM",$A175)),$A175,LEFT($A175,4)&amp;"-SEM"&amp;IF(VALUE(RIGHT($A175,2))&lt;=6,1,2)))),TabelaNPS[Curso],$A$17),SUMIFS(TabelaNPS[Detratores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S175" s="291">
        <f>IF(OR($K$4="(todos)",$K$4=$A$18),IF($A$18="","",IF($B$4="Mensal",IF(COUNTIFS(TabelaNPS[Período],$A175,TabelaNPS[Curso],$A$18)&gt;0,SUMIFS(TabelaNPS[Respondentes],TabelaNPS[Período],$A175,TabelaNPS[Curso],$A$18),SUMIFS(TabelaNPS[Respondentes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Respondentes],TabelaNPS[Período],(IF($A175="","",IF(ISNUMBER(SEARCH("-SEM",$A175)),$A175,LEFT($A175,4)&amp;"-SEM"&amp;IF(VALUE(RIGHT($A175,2))&lt;=6,1,2)))),TabelaNPS[Curso],$A$18)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T175" s="291">
        <f>IF(OR($K$4="(todos)",$K$4=$A$18),IF($A$18="","",IF($B$4="Mensal",IF(COUNTIFS(TabelaNPS[Período],$A175,TabelaNPS[Curso],$A$18)&gt;0,SUMIFS(TabelaNPS[Promotores (9-10)],TabelaNPS[Período],$A175,TabelaNPS[Curso],$A$18),SUMIFS(TabelaNPS[Promotores (9-10)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Promotores (9-10)],TabelaNPS[Período],(IF($A175="","",IF(ISNUMBER(SEARCH("-SEM",$A175)),$A175,LEFT($A175,4)&amp;"-SEM"&amp;IF(VALUE(RIGHT($A175,2))&lt;=6,1,2)))),TabelaNPS[Curso],$A$18),SUMIFS(TabelaNPS[Promotores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U175" s="291">
        <f>IF(OR($K$4="(todos)",$K$4=$A$18),IF($A$18="","",IF($B$4="Mensal",IF(COUNTIFS(TabelaNPS[Período],$A175,TabelaNPS[Curso],$A$18)&gt;0,SUMIFS(TabelaNPS[Detratores (0-6)],TabelaNPS[Período],$A175,TabelaNPS[Curso],$A$18),SUMIFS(TabelaNPS[Detratores (0-6)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Detratores (0-6)],TabelaNPS[Período],(IF($A175="","",IF(ISNUMBER(SEARCH("-SEM",$A175)),$A175,LEFT($A175,4)&amp;"-SEM"&amp;IF(VALUE(RIGHT($A175,2))&lt;=6,1,2)))),TabelaNPS[Curso],$A$18),SUMIFS(TabelaNPS[Detratores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V175" s="291">
        <f>IF(OR($K$4="(todos)",$K$4=$A$19),IF($A$19="","",IF($B$4="Mensal",IF(COUNTIFS(TabelaNPS[Período],$A175,TabelaNPS[Curso],$A$19)&gt;0,SUMIFS(TabelaNPS[Respondentes],TabelaNPS[Período],$A175,TabelaNPS[Curso],$A$19),SUMIFS(TabelaNPS[Respondentes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Respondentes],TabelaNPS[Período],(IF($A175="","",IF(ISNUMBER(SEARCH("-SEM",$A175)),$A175,LEFT($A175,4)&amp;"-SEM"&amp;IF(VALUE(RIGHT($A175,2))&lt;=6,1,2)))),TabelaNPS[Curso],$A$19)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W175" s="291">
        <f>IF(OR($K$4="(todos)",$K$4=$A$19),IF($A$19="","",IF($B$4="Mensal",IF(COUNTIFS(TabelaNPS[Período],$A175,TabelaNPS[Curso],$A$19)&gt;0,SUMIFS(TabelaNPS[Promotores (9-10)],TabelaNPS[Período],$A175,TabelaNPS[Curso],$A$19),SUMIFS(TabelaNPS[Promotores (9-10)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Promotores (9-10)],TabelaNPS[Período],(IF($A175="","",IF(ISNUMBER(SEARCH("-SEM",$A175)),$A175,LEFT($A175,4)&amp;"-SEM"&amp;IF(VALUE(RIGHT($A175,2))&lt;=6,1,2)))),TabelaNPS[Curso],$A$19),SUMIFS(TabelaNPS[Promotores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X175" s="291">
        <f>IF(OR($K$4="(todos)",$K$4=$A$19),IF($A$19="","",IF($B$4="Mensal",IF(COUNTIFS(TabelaNPS[Período],$A175,TabelaNPS[Curso],$A$19)&gt;0,SUMIFS(TabelaNPS[Detratores (0-6)],TabelaNPS[Período],$A175,TabelaNPS[Curso],$A$19),SUMIFS(TabelaNPS[Detratores (0-6)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Detratores (0-6)],TabelaNPS[Período],(IF($A175="","",IF(ISNUMBER(SEARCH("-SEM",$A175)),$A175,LEFT($A175,4)&amp;"-SEM"&amp;IF(VALUE(RIGHT($A175,2))&lt;=6,1,2)))),TabelaNPS[Curso],$A$19),SUMIFS(TabelaNPS[Detratores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Y175" s="291">
        <f>IF(OR($K$4="(todos)",$K$4=$A$20),IF($A$20="","",IF($B$4="Mensal",IF(COUNTIFS(TabelaNPS[Período],$A175,TabelaNPS[Curso],$A$20)&gt;0,SUMIFS(TabelaNPS[Respondentes],TabelaNPS[Período],$A175,TabelaNPS[Curso],$A$20),SUMIFS(TabelaNPS[Respondentes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Respondentes],TabelaNPS[Período],(IF($A175="","",IF(ISNUMBER(SEARCH("-SEM",$A175)),$A175,LEFT($A175,4)&amp;"-SEM"&amp;IF(VALUE(RIGHT($A175,2))&lt;=6,1,2)))),TabelaNPS[Curso],$A$20)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Z175" s="291">
        <f>IF(OR($K$4="(todos)",$K$4=$A$20),IF($A$20="","",IF($B$4="Mensal",IF(COUNTIFS(TabelaNPS[Período],$A175,TabelaNPS[Curso],$A$20)&gt;0,SUMIFS(TabelaNPS[Promotores (9-10)],TabelaNPS[Período],$A175,TabelaNPS[Curso],$A$20),SUMIFS(TabelaNPS[Promotores (9-10)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Promotores (9-10)],TabelaNPS[Período],(IF($A175="","",IF(ISNUMBER(SEARCH("-SEM",$A175)),$A175,LEFT($A175,4)&amp;"-SEM"&amp;IF(VALUE(RIGHT($A175,2))&lt;=6,1,2)))),TabelaNPS[Curso],$A$20),SUMIFS(TabelaNPS[Promotores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AA175" s="291">
        <f>IF(OR($K$4="(todos)",$K$4=$A$20),IF($A$20="","",IF($B$4="Mensal",IF(COUNTIFS(TabelaNPS[Período],$A175,TabelaNPS[Curso],$A$20)&gt;0,SUMIFS(TabelaNPS[Detratores (0-6)],TabelaNPS[Período],$A175,TabelaNPS[Curso],$A$20),SUMIFS(TabelaNPS[Detratores (0-6)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Detratores (0-6)],TabelaNPS[Período],(IF($A175="","",IF(ISNUMBER(SEARCH("-SEM",$A175)),$A175,LEFT($A175,4)&amp;"-SEM"&amp;IF(VALUE(RIGHT($A175,2))&lt;=6,1,2)))),TabelaNPS[Curso],$A$20),SUMIFS(TabelaNPS[Detratores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AB175" s="291">
        <f>IF(OR($K$4="(todos)",$K$4=$A$21),IF($A$21="","",IF($B$4="Mensal",IF(COUNTIFS(TabelaNPS[Período],$A175,TabelaNPS[Curso],$A$21)&gt;0,SUMIFS(TabelaNPS[Respondentes],TabelaNPS[Período],$A175,TabelaNPS[Curso],$A$21),SUMIFS(TabelaNPS[Respondentes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Respondentes],TabelaNPS[Período],(IF($A175="","",IF(ISNUMBER(SEARCH("-SEM",$A175)),$A175,LEFT($A175,4)&amp;"-SEM"&amp;IF(VALUE(RIGHT($A175,2))&lt;=6,1,2)))),TabelaNPS[Curso],$A$21)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C175" s="291">
        <f>IF(OR($K$4="(todos)",$K$4=$A$21),IF($A$21="","",IF($B$4="Mensal",IF(COUNTIFS(TabelaNPS[Período],$A175,TabelaNPS[Curso],$A$21)&gt;0,SUMIFS(TabelaNPS[Promotores (9-10)],TabelaNPS[Período],$A175,TabelaNPS[Curso],$A$21),SUMIFS(TabelaNPS[Promotores (9-10)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Promotores (9-10)],TabelaNPS[Período],(IF($A175="","",IF(ISNUMBER(SEARCH("-SEM",$A175)),$A175,LEFT($A175,4)&amp;"-SEM"&amp;IF(VALUE(RIGHT($A175,2))&lt;=6,1,2)))),TabelaNPS[Curso],$A$21),SUMIFS(TabelaNPS[Promotores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D175" s="291">
        <f>IF(OR($K$4="(todos)",$K$4=$A$21),IF($A$21="","",IF($B$4="Mensal",IF(COUNTIFS(TabelaNPS[Período],$A175,TabelaNPS[Curso],$A$21)&gt;0,SUMIFS(TabelaNPS[Detratores (0-6)],TabelaNPS[Período],$A175,TabelaNPS[Curso],$A$21),SUMIFS(TabelaNPS[Detratores (0-6)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Detratores (0-6)],TabelaNPS[Período],(IF($A175="","",IF(ISNUMBER(SEARCH("-SEM",$A175)),$A175,LEFT($A175,4)&amp;"-SEM"&amp;IF(VALUE(RIGHT($A175,2))&lt;=6,1,2)))),TabelaNPS[Curso],$A$21),SUMIFS(TabelaNPS[Detratores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E175" s="291">
        <f>IF(OR($K$4="(todos)",$K$4=$A$22),IF($A$22="","",IF($B$4="Mensal",IF(COUNTIFS(TabelaNPS[Período],$A175,TabelaNPS[Curso],$A$22)&gt;0,SUMIFS(TabelaNPS[Respondentes],TabelaNPS[Período],$A175,TabelaNPS[Curso],$A$22),SUMIFS(TabelaNPS[Respondentes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Respondentes],TabelaNPS[Período],(IF($A175="","",IF(ISNUMBER(SEARCH("-SEM",$A175)),$A175,LEFT($A175,4)&amp;"-SEM"&amp;IF(VALUE(RIGHT($A175,2))&lt;=6,1,2)))),TabelaNPS[Curso],$A$22)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F175" s="291">
        <f>IF(OR($K$4="(todos)",$K$4=$A$22),IF($A$22="","",IF($B$4="Mensal",IF(COUNTIFS(TabelaNPS[Período],$A175,TabelaNPS[Curso],$A$22)&gt;0,SUMIFS(TabelaNPS[Promotores (9-10)],TabelaNPS[Período],$A175,TabelaNPS[Curso],$A$22),SUMIFS(TabelaNPS[Promotores (9-10)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Promotores (9-10)],TabelaNPS[Período],(IF($A175="","",IF(ISNUMBER(SEARCH("-SEM",$A175)),$A175,LEFT($A175,4)&amp;"-SEM"&amp;IF(VALUE(RIGHT($A175,2))&lt;=6,1,2)))),TabelaNPS[Curso],$A$22),SUMIFS(TabelaNPS[Promotores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G175" s="291">
        <f>IF(OR($K$4="(todos)",$K$4=$A$22),IF($A$22="","",IF($B$4="Mensal",IF(COUNTIFS(TabelaNPS[Período],$A175,TabelaNPS[Curso],$A$22)&gt;0,SUMIFS(TabelaNPS[Detratores (0-6)],TabelaNPS[Período],$A175,TabelaNPS[Curso],$A$22),SUMIFS(TabelaNPS[Detratores (0-6)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Detratores (0-6)],TabelaNPS[Período],(IF($A175="","",IF(ISNUMBER(SEARCH("-SEM",$A175)),$A175,LEFT($A175,4)&amp;"-SEM"&amp;IF(VALUE(RIGHT($A175,2))&lt;=6,1,2)))),TabelaNPS[Curso],$A$22),SUMIFS(TabelaNPS[Detratores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H175" s="291">
        <f>IF(OR($K$4="(todos)",$K$4=$A$23),IF($A$23="","",IF($B$4="Mensal",IF(COUNTIFS(TabelaNPS[Período],$A175,TabelaNPS[Curso],$A$23)&gt;0,SUMIFS(TabelaNPS[Respondentes],TabelaNPS[Período],$A175,TabelaNPS[Curso],$A$23),SUMIFS(TabelaNPS[Respondentes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Respondentes],TabelaNPS[Período],(IF($A175="","",IF(ISNUMBER(SEARCH("-SEM",$A175)),$A175,LEFT($A175,4)&amp;"-SEM"&amp;IF(VALUE(RIGHT($A175,2))&lt;=6,1,2)))),TabelaNPS[Curso],$A$23)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I175" s="291">
        <f>IF(OR($K$4="(todos)",$K$4=$A$23),IF($A$23="","",IF($B$4="Mensal",IF(COUNTIFS(TabelaNPS[Período],$A175,TabelaNPS[Curso],$A$23)&gt;0,SUMIFS(TabelaNPS[Promotores (9-10)],TabelaNPS[Período],$A175,TabelaNPS[Curso],$A$23),SUMIFS(TabelaNPS[Promotores (9-10)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Promotores (9-10)],TabelaNPS[Período],(IF($A175="","",IF(ISNUMBER(SEARCH("-SEM",$A175)),$A175,LEFT($A175,4)&amp;"-SEM"&amp;IF(VALUE(RIGHT($A175,2))&lt;=6,1,2)))),TabelaNPS[Curso],$A$23),SUMIFS(TabelaNPS[Promotores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J175" s="291">
        <f>IF(OR($K$4="(todos)",$K$4=$A$23),IF($A$23="","",IF($B$4="Mensal",IF(COUNTIFS(TabelaNPS[Período],$A175,TabelaNPS[Curso],$A$23)&gt;0,SUMIFS(TabelaNPS[Detratores (0-6)],TabelaNPS[Período],$A175,TabelaNPS[Curso],$A$23),SUMIFS(TabelaNPS[Detratores (0-6)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Detratores (0-6)],TabelaNPS[Período],(IF($A175="","",IF(ISNUMBER(SEARCH("-SEM",$A175)),$A175,LEFT($A175,4)&amp;"-SEM"&amp;IF(VALUE(RIGHT($A175,2))&lt;=6,1,2)))),TabelaNPS[Curso],$A$23),SUMIFS(TabelaNPS[Detratores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K175" s="291">
        <f>IF(OR($K$4="(todos)",$K$4=$A$24),IF($A$24="","",IF($B$4="Mensal",IF(COUNTIFS(TabelaNPS[Período],$A175,TabelaNPS[Curso],$A$24)&gt;0,SUMIFS(TabelaNPS[Respondentes],TabelaNPS[Período],$A175,TabelaNPS[Curso],$A$24),SUMIFS(TabelaNPS[Respondentes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Respondentes],TabelaNPS[Período],(IF($A175="","",IF(ISNUMBER(SEARCH("-SEM",$A175)),$A175,LEFT($A175,4)&amp;"-SEM"&amp;IF(VALUE(RIGHT($A175,2))&lt;=6,1,2)))),TabelaNPS[Curso],$A$24)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  <c r="AL175" s="291">
        <f>IF(OR($K$4="(todos)",$K$4=$A$24),IF($A$24="","",IF($B$4="Mensal",IF(COUNTIFS(TabelaNPS[Período],$A175,TabelaNPS[Curso],$A$24)&gt;0,SUMIFS(TabelaNPS[Promotores (9-10)],TabelaNPS[Período],$A175,TabelaNPS[Curso],$A$24),SUMIFS(TabelaNPS[Promotores (9-10)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Promotores (9-10)],TabelaNPS[Período],(IF($A175="","",IF(ISNUMBER(SEARCH("-SEM",$A175)),$A175,LEFT($A175,4)&amp;"-SEM"&amp;IF(VALUE(RIGHT($A175,2))&lt;=6,1,2)))),TabelaNPS[Curso],$A$24),SUMIFS(TabelaNPS[Promotores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  <c r="AM175" s="291">
        <f>IF(OR($K$4="(todos)",$K$4=$A$24),IF($A$24="","",IF($B$4="Mensal",IF(COUNTIFS(TabelaNPS[Período],$A175,TabelaNPS[Curso],$A$24)&gt;0,SUMIFS(TabelaNPS[Detratores (0-6)],TabelaNPS[Período],$A175,TabelaNPS[Curso],$A$24),SUMIFS(TabelaNPS[Detratores (0-6)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Detratores (0-6)],TabelaNPS[Período],(IF($A175="","",IF(ISNUMBER(SEARCH("-SEM",$A175)),$A175,LEFT($A175,4)&amp;"-SEM"&amp;IF(VALUE(RIGHT($A175,2))&lt;=6,1,2)))),TabelaNPS[Curso],$A$24),SUMIFS(TabelaNPS[Detratores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  <c r="AN175" s="291">
        <f>IF(OR($K$4="(todos)",$K$4=$A$25),IF($A$25="","",IF($B$4="Mensal",IF(COUNTIFS(TabelaNPS[Período],$A175,TabelaNPS[Curso],$A$25)&gt;0,SUMIFS(TabelaNPS[Respondentes],TabelaNPS[Período],$A175,TabelaNPS[Curso],$A$25),SUMIFS(TabelaNPS[Respondentes],TabelaNPS[Período],(IF($A175="","",IF(ISNUMBER(SEARCH("-SEM",$A175)),$A175,LEFT($A175,4)&amp;"-SEM"&amp;IF(VALUE(RIGHT($A175,2))&lt;=6,1,2)))),TabelaNPS[Curso],$A$25)),IF(COUNTIFS(TabelaNPS[Período],(IF($A175="","",IF(ISNUMBER(SEARCH("-SEM",$A175)),$A175,LEFT($A175,4)&amp;"-SEM"&amp;IF(VALUE(RIGHT($A175,2))&lt;=6,1,2)))),TabelaNPS[Curso],$A$25)&gt;0,SUMIFS(TabelaNPS[Respondentes],TabelaNPS[Período],(IF($A175="","",IF(ISNUMBER(SEARCH("-SEM",$A175)),$A175,LEFT($A175,4)&amp;"-SEM"&amp;IF(VALUE(RIGHT($A175,2))&lt;=6,1,2)))),TabelaNPS[Curso],$A$25)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$25)))),0)</f>
        <v/>
      </c>
      <c r="AO175" s="291">
        <f>IF(OR($K$4="(todos)",$K$4=$A$25),IF($A$25="","",IF($B$4="Mensal",IF(COUNTIFS(TabelaNPS[Período],$A175,TabelaNPS[Curso],$A$25)&gt;0,SUMIFS(TabelaNPS[Promotores (9-10)],TabelaNPS[Período],$A175,TabelaNPS[Curso],$A$25),SUMIFS(TabelaNPS[Promotores (9-10)],TabelaNPS[Período],(IF($A175="","",IF(ISNUMBER(SEARCH("-SEM",$A175)),$A175,LEFT($A175,4)&amp;"-SEM"&amp;IF(VALUE(RIGHT($A175,2))&lt;=6,1,2)))),TabelaNPS[Curso],$A$25)),IF(COUNTIFS(TabelaNPS[Período],(IF($A175="","",IF(ISNUMBER(SEARCH("-SEM",$A175)),$A175,LEFT($A175,4)&amp;"-SEM"&amp;IF(VALUE(RIGHT($A175,2))&lt;=6,1,2)))),TabelaNPS[Curso],$A$25)&gt;0,SUMIFS(TabelaNPS[Promotores (9-10)],TabelaNPS[Período],(IF($A175="","",IF(ISNUMBER(SEARCH("-SEM",$A175)),$A175,LEFT($A175,4)&amp;"-SEM"&amp;IF(VALUE(RIGHT($A175,2))&lt;=6,1,2)))),TabelaNPS[Curso],$A$25),SUMIFS(TabelaNPS[Promotores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$25)))),0)</f>
        <v/>
      </c>
      <c r="AP175" s="291">
        <f>IF(OR($K$4="(todos)",$K$4=$A$25),IF($A$25="","",IF($B$4="Mensal",IF(COUNTIFS(TabelaNPS[Período],$A175,TabelaNPS[Curso],$A$25)&gt;0,SUMIFS(TabelaNPS[Detratores (0-6)],TabelaNPS[Período],$A175,TabelaNPS[Curso],$A$25),SUMIFS(TabelaNPS[Detratores (0-6)],TabelaNPS[Período],(IF($A175="","",IF(ISNUMBER(SEARCH("-SEM",$A175)),$A175,LEFT($A175,4)&amp;"-SEM"&amp;IF(VALUE(RIGHT($A175,2))&lt;=6,1,2)))),TabelaNPS[Curso],$A$25)),IF(COUNTIFS(TabelaNPS[Período],(IF($A175="","",IF(ISNUMBER(SEARCH("-SEM",$A175)),$A175,LEFT($A175,4)&amp;"-SEM"&amp;IF(VALUE(RIGHT($A175,2))&lt;=6,1,2)))),TabelaNPS[Curso],$A$25)&gt;0,SUMIFS(TabelaNPS[Detratores (0-6)],TabelaNPS[Período],(IF($A175="","",IF(ISNUMBER(SEARCH("-SEM",$A175)),$A175,LEFT($A175,4)&amp;"-SEM"&amp;IF(VALUE(RIGHT($A175,2))&lt;=6,1,2)))),TabelaNPS[Curso],$A$25),SUMIFS(TabelaNPS[Detratores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$25)))),0)</f>
        <v/>
      </c>
    </row>
    <row r="176">
      <c r="A176" s="343">
        <f>IF(A175="","",IF($B$4="Mensal",IF(MATCH(A175,LST_MESES,0)&gt;=MATCH(PARAMETROS!$E$9,LST_MESES,0),"",INDEX(LST_MESES,MATCH(A175,LST_MESES,0)+1)),IF(MATCH(A175,LST_SEMESTRES,0)&gt;=MATCH(PARAMETROS!$E$9,LST_SEMESTRES,0),"",INDEX(LST_SEMESTRES,MATCH(A175,LST_SEMESTRES,0)+1))))</f>
        <v/>
      </c>
      <c r="B176" s="353">
        <f>IF($A176="","",IFERROR((SUM(Q176,T176,W176,Z176,AC176,AF176,AI176,AL176,AO176)-SUM(R176,U176,X176,AA176,AD176,AG176,AJ176,AM176,AP176))/SUM(P176,S176,V176,Y176,AB176,AE176,AH176,AK176,AN176)*100,""))</f>
        <v/>
      </c>
      <c r="C176" s="351">
        <f>IFERROR(SUMPRODUCT(--(TabelaAvaliacaoDocente[Período]=(IF($A176="","",IF(ISNUMBER(SEARCH("-SEM",$A176)),$A176,LEFT($A176,4)&amp;"-SEM"&amp;IF(VALUE(RIGHT($A176,2)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176="","",IF(ISNUMBER(SEARCH("-SEM",$A176)),$A176,LEFT($A176,4)&amp;"-SEM"&amp;IF(VALUE(RIGHT($A176,2))&lt;=6,1,2))))),--((($K$4="(todos)")+(TabelaAvaliacaoDocente[Curso]=$K$4))&gt;0),--((($N$4="(todas)")+(TabelaAvaliacaoDocente[Disciplina]=$N$4))&gt;0),TabelaAvaliacaoDocente[Respondentes]),"")</f>
        <v/>
      </c>
      <c r="D176" s="354">
        <f>IF($A176="","",IFERROR((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/((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+(SUMIFS(TabelaResultadosAcademicos[Re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)*100,""))</f>
        <v/>
      </c>
      <c r="E176" s="351">
        <f>IFERROR((SUMIFS(TabelaResultadosAcademicos[Soma das nota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/(SUMIFS(TabelaResultadosAcademicos[Quantidade de nota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,"")</f>
        <v/>
      </c>
      <c r="F176" s="347">
        <f>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G176" s="347">
        <f>SUMIFS(TabelaResultadosAcademicos[Reprovados por nota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H176" s="347">
        <f>SUMIFS(TabelaResultadosAcademicos[Reprovados por falta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I176" s="353">
        <f>IF($A176="","",IFERROR(IF((SUMPRODUCT(MAX((METAS!$A$5:$A$404="DTNH-01")*(METAS!$B$5:$B$404=IF($K$4="(todos)","TOTAL",$K$4))*(METAS!$D$5:$D$404&lt;=(IF($A176="",0,IF(ISNUMBER(SEARCH("-SEM",$A176)),VALUE(LEFT($A176,4)&amp;IF(RIGHT($A176,1)="1","01","07")),VALUE(SUBSTITUTE($A176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176="",0,IF(ISNUMBER(SEARCH("-SEM",$A176)),VALUE(LEFT($A176,4)&amp;IF(RIGHT($A176,1)="1","01","07")),VALUE(SUBSTITUTE($A176,"-",""))))))*METAS!$D$5:$D$404))))*METAS!$E$5:$E$404),IF((SUMPRODUCT(MAX((METAS!$A$5:$A$404="DTNH-01")*(METAS!$B$5:$B$404="TOTAL")*(METAS!$D$5:$D$404&lt;=(IF($A176="",0,IF(ISNUMBER(SEARCH("-SEM",$A176)),VALUE(LEFT($A176,4)&amp;IF(RIGHT($A176,1)="1","01","07")),VALUE(SUBSTITUTE($A176,"-",""))))))*METAS!$D$5:$D$404)))&gt;0,SUMPRODUCT((METAS!$A$5:$A$404="DTNH-01")*(METAS!$B$5:$B$404="TOTAL")*(METAS!$D$5:$D$404=(SUMPRODUCT(MAX((METAS!$A$5:$A$404="DTNH-01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J176" s="351">
        <f>IF($A176="","",IFERROR(IF((SUMPRODUCT(MAX((METAS!$A$5:$A$404="DTNH-02")*(METAS!$B$5:$B$404=$N$6)*(METAS!$D$5:$D$404&lt;=(IF($A176="",0,IF(ISNUMBER(SEARCH("-SEM",$A176)),VALUE(LEFT($A176,4)&amp;IF(RIGHT($A176,1)="1","01","07")),VALUE(SUBSTITUTE($A176,"-",""))))))*METAS!$D$5:$D$404)))&gt;0,SUMPRODUCT((METAS!$A$5:$A$404="DTNH-02")*(METAS!$B$5:$B$404=$N$6)*(METAS!$D$5:$D$404=(SUMPRODUCT(MAX((METAS!$A$5:$A$404="DTNH-02")*(METAS!$B$5:$B$404=$N$6)*(METAS!$D$5:$D$404&lt;=(IF($A176="",0,IF(ISNUMBER(SEARCH("-SEM",$A176)),VALUE(LEFT($A176,4)&amp;IF(RIGHT($A176,1)="1","01","07")),VALUE(SUBSTITUTE($A176,"-",""))))))*METAS!$D$5:$D$404))))*METAS!$E$5:$E$404),IF((SUMPRODUCT(MAX((METAS!$A$5:$A$404="DTNH-02")*(METAS!$B$5:$B$404="TOTAL")*(METAS!$D$5:$D$404&lt;=(IF($A176="",0,IF(ISNUMBER(SEARCH("-SEM",$A176)),VALUE(LEFT($A176,4)&amp;IF(RIGHT($A176,1)="1","01","07")),VALUE(SUBSTITUTE($A176,"-",""))))))*METAS!$D$5:$D$404)))&gt;0,SUMPRODUCT((METAS!$A$5:$A$404="DTNH-02")*(METAS!$B$5:$B$404="TOTAL")*(METAS!$D$5:$D$404=(SUMPRODUCT(MAX((METAS!$A$5:$A$404="DTNH-02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K176" s="354">
        <f>IF($A176="","",IFERROR(IF((SUMPRODUCT(MAX((METAS!$A$5:$A$404="DTNH-03")*(METAS!$B$5:$B$404=$N$6)*(METAS!$D$5:$D$404&lt;=(IF($A176="",0,IF(ISNUMBER(SEARCH("-SEM",$A176)),VALUE(LEFT($A176,4)&amp;IF(RIGHT($A176,1)="1","01","07")),VALUE(SUBSTITUTE($A176,"-",""))))))*METAS!$D$5:$D$404)))&gt;0,SUMPRODUCT((METAS!$A$5:$A$404="DTNH-03")*(METAS!$B$5:$B$404=$N$6)*(METAS!$D$5:$D$404=(SUMPRODUCT(MAX((METAS!$A$5:$A$404="DTNH-03")*(METAS!$B$5:$B$404=$N$6)*(METAS!$D$5:$D$404&lt;=(IF($A176="",0,IF(ISNUMBER(SEARCH("-SEM",$A176)),VALUE(LEFT($A176,4)&amp;IF(RIGHT($A176,1)="1","01","07")),VALUE(SUBSTITUTE($A176,"-",""))))))*METAS!$D$5:$D$404))))*METAS!$E$5:$E$404),IF((SUMPRODUCT(MAX((METAS!$A$5:$A$404="DTNH-03")*(METAS!$B$5:$B$404="TOTAL")*(METAS!$D$5:$D$404&lt;=(IF($A176="",0,IF(ISNUMBER(SEARCH("-SEM",$A176)),VALUE(LEFT($A176,4)&amp;IF(RIGHT($A176,1)="1","01","07")),VALUE(SUBSTITUTE($A176,"-",""))))))*METAS!$D$5:$D$404)))&gt;0,SUMPRODUCT((METAS!$A$5:$A$404="DTNH-03")*(METAS!$B$5:$B$404="TOTAL")*(METAS!$D$5:$D$404=(SUMPRODUCT(MAX((METAS!$A$5:$A$404="DTNH-03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P176" s="291">
        <f>IF(OR($K$4="(todos)",$K$4=$A$17),IF($A$17="","",IF($B$4="Mensal",IF(COUNTIFS(TabelaNPS[Período],$A176,TabelaNPS[Curso],$A$17)&gt;0,SUMIFS(TabelaNPS[Respondentes],TabelaNPS[Período],$A176,TabelaNPS[Curso],$A$17),SUMIFS(TabelaNPS[Respondentes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Respondentes],TabelaNPS[Período],(IF($A176="","",IF(ISNUMBER(SEARCH("-SEM",$A176)),$A176,LEFT($A176,4)&amp;"-SEM"&amp;IF(VALUE(RIGHT($A176,2))&lt;=6,1,2)))),TabelaNPS[Curso],$A$17)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Q176" s="291">
        <f>IF(OR($K$4="(todos)",$K$4=$A$17),IF($A$17="","",IF($B$4="Mensal",IF(COUNTIFS(TabelaNPS[Período],$A176,TabelaNPS[Curso],$A$17)&gt;0,SUMIFS(TabelaNPS[Promotores (9-10)],TabelaNPS[Período],$A176,TabelaNPS[Curso],$A$17),SUMIFS(TabelaNPS[Promotores (9-10)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Promotores (9-10)],TabelaNPS[Período],(IF($A176="","",IF(ISNUMBER(SEARCH("-SEM",$A176)),$A176,LEFT($A176,4)&amp;"-SEM"&amp;IF(VALUE(RIGHT($A176,2))&lt;=6,1,2)))),TabelaNPS[Curso],$A$17),SUMIFS(TabelaNPS[Promotores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R176" s="291">
        <f>IF(OR($K$4="(todos)",$K$4=$A$17),IF($A$17="","",IF($B$4="Mensal",IF(COUNTIFS(TabelaNPS[Período],$A176,TabelaNPS[Curso],$A$17)&gt;0,SUMIFS(TabelaNPS[Detratores (0-6)],TabelaNPS[Período],$A176,TabelaNPS[Curso],$A$17),SUMIFS(TabelaNPS[Detratores (0-6)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Detratores (0-6)],TabelaNPS[Período],(IF($A176="","",IF(ISNUMBER(SEARCH("-SEM",$A176)),$A176,LEFT($A176,4)&amp;"-SEM"&amp;IF(VALUE(RIGHT($A176,2))&lt;=6,1,2)))),TabelaNPS[Curso],$A$17),SUMIFS(TabelaNPS[Detratores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S176" s="291">
        <f>IF(OR($K$4="(todos)",$K$4=$A$18),IF($A$18="","",IF($B$4="Mensal",IF(COUNTIFS(TabelaNPS[Período],$A176,TabelaNPS[Curso],$A$18)&gt;0,SUMIFS(TabelaNPS[Respondentes],TabelaNPS[Período],$A176,TabelaNPS[Curso],$A$18),SUMIFS(TabelaNPS[Respondentes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Respondentes],TabelaNPS[Período],(IF($A176="","",IF(ISNUMBER(SEARCH("-SEM",$A176)),$A176,LEFT($A176,4)&amp;"-SEM"&amp;IF(VALUE(RIGHT($A176,2))&lt;=6,1,2)))),TabelaNPS[Curso],$A$18)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T176" s="291">
        <f>IF(OR($K$4="(todos)",$K$4=$A$18),IF($A$18="","",IF($B$4="Mensal",IF(COUNTIFS(TabelaNPS[Período],$A176,TabelaNPS[Curso],$A$18)&gt;0,SUMIFS(TabelaNPS[Promotores (9-10)],TabelaNPS[Período],$A176,TabelaNPS[Curso],$A$18),SUMIFS(TabelaNPS[Promotores (9-10)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Promotores (9-10)],TabelaNPS[Período],(IF($A176="","",IF(ISNUMBER(SEARCH("-SEM",$A176)),$A176,LEFT($A176,4)&amp;"-SEM"&amp;IF(VALUE(RIGHT($A176,2))&lt;=6,1,2)))),TabelaNPS[Curso],$A$18),SUMIFS(TabelaNPS[Promotores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U176" s="291">
        <f>IF(OR($K$4="(todos)",$K$4=$A$18),IF($A$18="","",IF($B$4="Mensal",IF(COUNTIFS(TabelaNPS[Período],$A176,TabelaNPS[Curso],$A$18)&gt;0,SUMIFS(TabelaNPS[Detratores (0-6)],TabelaNPS[Período],$A176,TabelaNPS[Curso],$A$18),SUMIFS(TabelaNPS[Detratores (0-6)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Detratores (0-6)],TabelaNPS[Período],(IF($A176="","",IF(ISNUMBER(SEARCH("-SEM",$A176)),$A176,LEFT($A176,4)&amp;"-SEM"&amp;IF(VALUE(RIGHT($A176,2))&lt;=6,1,2)))),TabelaNPS[Curso],$A$18),SUMIFS(TabelaNPS[Detratores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V176" s="291">
        <f>IF(OR($K$4="(todos)",$K$4=$A$19),IF($A$19="","",IF($B$4="Mensal",IF(COUNTIFS(TabelaNPS[Período],$A176,TabelaNPS[Curso],$A$19)&gt;0,SUMIFS(TabelaNPS[Respondentes],TabelaNPS[Período],$A176,TabelaNPS[Curso],$A$19),SUMIFS(TabelaNPS[Respondentes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Respondentes],TabelaNPS[Período],(IF($A176="","",IF(ISNUMBER(SEARCH("-SEM",$A176)),$A176,LEFT($A176,4)&amp;"-SEM"&amp;IF(VALUE(RIGHT($A176,2))&lt;=6,1,2)))),TabelaNPS[Curso],$A$19)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W176" s="291">
        <f>IF(OR($K$4="(todos)",$K$4=$A$19),IF($A$19="","",IF($B$4="Mensal",IF(COUNTIFS(TabelaNPS[Período],$A176,TabelaNPS[Curso],$A$19)&gt;0,SUMIFS(TabelaNPS[Promotores (9-10)],TabelaNPS[Período],$A176,TabelaNPS[Curso],$A$19),SUMIFS(TabelaNPS[Promotores (9-10)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Promotores (9-10)],TabelaNPS[Período],(IF($A176="","",IF(ISNUMBER(SEARCH("-SEM",$A176)),$A176,LEFT($A176,4)&amp;"-SEM"&amp;IF(VALUE(RIGHT($A176,2))&lt;=6,1,2)))),TabelaNPS[Curso],$A$19),SUMIFS(TabelaNPS[Promotores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X176" s="291">
        <f>IF(OR($K$4="(todos)",$K$4=$A$19),IF($A$19="","",IF($B$4="Mensal",IF(COUNTIFS(TabelaNPS[Período],$A176,TabelaNPS[Curso],$A$19)&gt;0,SUMIFS(TabelaNPS[Detratores (0-6)],TabelaNPS[Período],$A176,TabelaNPS[Curso],$A$19),SUMIFS(TabelaNPS[Detratores (0-6)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Detratores (0-6)],TabelaNPS[Período],(IF($A176="","",IF(ISNUMBER(SEARCH("-SEM",$A176)),$A176,LEFT($A176,4)&amp;"-SEM"&amp;IF(VALUE(RIGHT($A176,2))&lt;=6,1,2)))),TabelaNPS[Curso],$A$19),SUMIFS(TabelaNPS[Detratores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Y176" s="291">
        <f>IF(OR($K$4="(todos)",$K$4=$A$20),IF($A$20="","",IF($B$4="Mensal",IF(COUNTIFS(TabelaNPS[Período],$A176,TabelaNPS[Curso],$A$20)&gt;0,SUMIFS(TabelaNPS[Respondentes],TabelaNPS[Período],$A176,TabelaNPS[Curso],$A$20),SUMIFS(TabelaNPS[Respondentes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Respondentes],TabelaNPS[Período],(IF($A176="","",IF(ISNUMBER(SEARCH("-SEM",$A176)),$A176,LEFT($A176,4)&amp;"-SEM"&amp;IF(VALUE(RIGHT($A176,2))&lt;=6,1,2)))),TabelaNPS[Curso],$A$20)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Z176" s="291">
        <f>IF(OR($K$4="(todos)",$K$4=$A$20),IF($A$20="","",IF($B$4="Mensal",IF(COUNTIFS(TabelaNPS[Período],$A176,TabelaNPS[Curso],$A$20)&gt;0,SUMIFS(TabelaNPS[Promotores (9-10)],TabelaNPS[Período],$A176,TabelaNPS[Curso],$A$20),SUMIFS(TabelaNPS[Promotores (9-10)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Promotores (9-10)],TabelaNPS[Período],(IF($A176="","",IF(ISNUMBER(SEARCH("-SEM",$A176)),$A176,LEFT($A176,4)&amp;"-SEM"&amp;IF(VALUE(RIGHT($A176,2))&lt;=6,1,2)))),TabelaNPS[Curso],$A$20),SUMIFS(TabelaNPS[Promotores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AA176" s="291">
        <f>IF(OR($K$4="(todos)",$K$4=$A$20),IF($A$20="","",IF($B$4="Mensal",IF(COUNTIFS(TabelaNPS[Período],$A176,TabelaNPS[Curso],$A$20)&gt;0,SUMIFS(TabelaNPS[Detratores (0-6)],TabelaNPS[Período],$A176,TabelaNPS[Curso],$A$20),SUMIFS(TabelaNPS[Detratores (0-6)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Detratores (0-6)],TabelaNPS[Período],(IF($A176="","",IF(ISNUMBER(SEARCH("-SEM",$A176)),$A176,LEFT($A176,4)&amp;"-SEM"&amp;IF(VALUE(RIGHT($A176,2))&lt;=6,1,2)))),TabelaNPS[Curso],$A$20),SUMIFS(TabelaNPS[Detratores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AB176" s="291">
        <f>IF(OR($K$4="(todos)",$K$4=$A$21),IF($A$21="","",IF($B$4="Mensal",IF(COUNTIFS(TabelaNPS[Período],$A176,TabelaNPS[Curso],$A$21)&gt;0,SUMIFS(TabelaNPS[Respondentes],TabelaNPS[Período],$A176,TabelaNPS[Curso],$A$21),SUMIFS(TabelaNPS[Respondentes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Respondentes],TabelaNPS[Período],(IF($A176="","",IF(ISNUMBER(SEARCH("-SEM",$A176)),$A176,LEFT($A176,4)&amp;"-SEM"&amp;IF(VALUE(RIGHT($A176,2))&lt;=6,1,2)))),TabelaNPS[Curso],$A$21)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C176" s="291">
        <f>IF(OR($K$4="(todos)",$K$4=$A$21),IF($A$21="","",IF($B$4="Mensal",IF(COUNTIFS(TabelaNPS[Período],$A176,TabelaNPS[Curso],$A$21)&gt;0,SUMIFS(TabelaNPS[Promotores (9-10)],TabelaNPS[Período],$A176,TabelaNPS[Curso],$A$21),SUMIFS(TabelaNPS[Promotores (9-10)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Promotores (9-10)],TabelaNPS[Período],(IF($A176="","",IF(ISNUMBER(SEARCH("-SEM",$A176)),$A176,LEFT($A176,4)&amp;"-SEM"&amp;IF(VALUE(RIGHT($A176,2))&lt;=6,1,2)))),TabelaNPS[Curso],$A$21),SUMIFS(TabelaNPS[Promotores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D176" s="291">
        <f>IF(OR($K$4="(todos)",$K$4=$A$21),IF($A$21="","",IF($B$4="Mensal",IF(COUNTIFS(TabelaNPS[Período],$A176,TabelaNPS[Curso],$A$21)&gt;0,SUMIFS(TabelaNPS[Detratores (0-6)],TabelaNPS[Período],$A176,TabelaNPS[Curso],$A$21),SUMIFS(TabelaNPS[Detratores (0-6)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Detratores (0-6)],TabelaNPS[Período],(IF($A176="","",IF(ISNUMBER(SEARCH("-SEM",$A176)),$A176,LEFT($A176,4)&amp;"-SEM"&amp;IF(VALUE(RIGHT($A176,2))&lt;=6,1,2)))),TabelaNPS[Curso],$A$21),SUMIFS(TabelaNPS[Detratores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E176" s="291">
        <f>IF(OR($K$4="(todos)",$K$4=$A$22),IF($A$22="","",IF($B$4="Mensal",IF(COUNTIFS(TabelaNPS[Período],$A176,TabelaNPS[Curso],$A$22)&gt;0,SUMIFS(TabelaNPS[Respondentes],TabelaNPS[Período],$A176,TabelaNPS[Curso],$A$22),SUMIFS(TabelaNPS[Respondentes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Respondentes],TabelaNPS[Período],(IF($A176="","",IF(ISNUMBER(SEARCH("-SEM",$A176)),$A176,LEFT($A176,4)&amp;"-SEM"&amp;IF(VALUE(RIGHT($A176,2))&lt;=6,1,2)))),TabelaNPS[Curso],$A$22)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F176" s="291">
        <f>IF(OR($K$4="(todos)",$K$4=$A$22),IF($A$22="","",IF($B$4="Mensal",IF(COUNTIFS(TabelaNPS[Período],$A176,TabelaNPS[Curso],$A$22)&gt;0,SUMIFS(TabelaNPS[Promotores (9-10)],TabelaNPS[Período],$A176,TabelaNPS[Curso],$A$22),SUMIFS(TabelaNPS[Promotores (9-10)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Promotores (9-10)],TabelaNPS[Período],(IF($A176="","",IF(ISNUMBER(SEARCH("-SEM",$A176)),$A176,LEFT($A176,4)&amp;"-SEM"&amp;IF(VALUE(RIGHT($A176,2))&lt;=6,1,2)))),TabelaNPS[Curso],$A$22),SUMIFS(TabelaNPS[Promotores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G176" s="291">
        <f>IF(OR($K$4="(todos)",$K$4=$A$22),IF($A$22="","",IF($B$4="Mensal",IF(COUNTIFS(TabelaNPS[Período],$A176,TabelaNPS[Curso],$A$22)&gt;0,SUMIFS(TabelaNPS[Detratores (0-6)],TabelaNPS[Período],$A176,TabelaNPS[Curso],$A$22),SUMIFS(TabelaNPS[Detratores (0-6)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Detratores (0-6)],TabelaNPS[Período],(IF($A176="","",IF(ISNUMBER(SEARCH("-SEM",$A176)),$A176,LEFT($A176,4)&amp;"-SEM"&amp;IF(VALUE(RIGHT($A176,2))&lt;=6,1,2)))),TabelaNPS[Curso],$A$22),SUMIFS(TabelaNPS[Detratores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H176" s="291">
        <f>IF(OR($K$4="(todos)",$K$4=$A$23),IF($A$23="","",IF($B$4="Mensal",IF(COUNTIFS(TabelaNPS[Período],$A176,TabelaNPS[Curso],$A$23)&gt;0,SUMIFS(TabelaNPS[Respondentes],TabelaNPS[Período],$A176,TabelaNPS[Curso],$A$23),SUMIFS(TabelaNPS[Respondentes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Respondentes],TabelaNPS[Período],(IF($A176="","",IF(ISNUMBER(SEARCH("-SEM",$A176)),$A176,LEFT($A176,4)&amp;"-SEM"&amp;IF(VALUE(RIGHT($A176,2))&lt;=6,1,2)))),TabelaNPS[Curso],$A$23)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I176" s="291">
        <f>IF(OR($K$4="(todos)",$K$4=$A$23),IF($A$23="","",IF($B$4="Mensal",IF(COUNTIFS(TabelaNPS[Período],$A176,TabelaNPS[Curso],$A$23)&gt;0,SUMIFS(TabelaNPS[Promotores (9-10)],TabelaNPS[Período],$A176,TabelaNPS[Curso],$A$23),SUMIFS(TabelaNPS[Promotores (9-10)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Promotores (9-10)],TabelaNPS[Período],(IF($A176="","",IF(ISNUMBER(SEARCH("-SEM",$A176)),$A176,LEFT($A176,4)&amp;"-SEM"&amp;IF(VALUE(RIGHT($A176,2))&lt;=6,1,2)))),TabelaNPS[Curso],$A$23),SUMIFS(TabelaNPS[Promotores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J176" s="291">
        <f>IF(OR($K$4="(todos)",$K$4=$A$23),IF($A$23="","",IF($B$4="Mensal",IF(COUNTIFS(TabelaNPS[Período],$A176,TabelaNPS[Curso],$A$23)&gt;0,SUMIFS(TabelaNPS[Detratores (0-6)],TabelaNPS[Período],$A176,TabelaNPS[Curso],$A$23),SUMIFS(TabelaNPS[Detratores (0-6)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Detratores (0-6)],TabelaNPS[Período],(IF($A176="","",IF(ISNUMBER(SEARCH("-SEM",$A176)),$A176,LEFT($A176,4)&amp;"-SEM"&amp;IF(VALUE(RIGHT($A176,2))&lt;=6,1,2)))),TabelaNPS[Curso],$A$23),SUMIFS(TabelaNPS[Detratores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K176" s="291">
        <f>IF(OR($K$4="(todos)",$K$4=$A$24),IF($A$24="","",IF($B$4="Mensal",IF(COUNTIFS(TabelaNPS[Período],$A176,TabelaNPS[Curso],$A$24)&gt;0,SUMIFS(TabelaNPS[Respondentes],TabelaNPS[Período],$A176,TabelaNPS[Curso],$A$24),SUMIFS(TabelaNPS[Respondentes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Respondentes],TabelaNPS[Período],(IF($A176="","",IF(ISNUMBER(SEARCH("-SEM",$A176)),$A176,LEFT($A176,4)&amp;"-SEM"&amp;IF(VALUE(RIGHT($A176,2))&lt;=6,1,2)))),TabelaNPS[Curso],$A$24)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  <c r="AL176" s="291">
        <f>IF(OR($K$4="(todos)",$K$4=$A$24),IF($A$24="","",IF($B$4="Mensal",IF(COUNTIFS(TabelaNPS[Período],$A176,TabelaNPS[Curso],$A$24)&gt;0,SUMIFS(TabelaNPS[Promotores (9-10)],TabelaNPS[Período],$A176,TabelaNPS[Curso],$A$24),SUMIFS(TabelaNPS[Promotores (9-10)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Promotores (9-10)],TabelaNPS[Período],(IF($A176="","",IF(ISNUMBER(SEARCH("-SEM",$A176)),$A176,LEFT($A176,4)&amp;"-SEM"&amp;IF(VALUE(RIGHT($A176,2))&lt;=6,1,2)))),TabelaNPS[Curso],$A$24),SUMIFS(TabelaNPS[Promotores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  <c r="AM176" s="291">
        <f>IF(OR($K$4="(todos)",$K$4=$A$24),IF($A$24="","",IF($B$4="Mensal",IF(COUNTIFS(TabelaNPS[Período],$A176,TabelaNPS[Curso],$A$24)&gt;0,SUMIFS(TabelaNPS[Detratores (0-6)],TabelaNPS[Período],$A176,TabelaNPS[Curso],$A$24),SUMIFS(TabelaNPS[Detratores (0-6)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Detratores (0-6)],TabelaNPS[Período],(IF($A176="","",IF(ISNUMBER(SEARCH("-SEM",$A176)),$A176,LEFT($A176,4)&amp;"-SEM"&amp;IF(VALUE(RIGHT($A176,2))&lt;=6,1,2)))),TabelaNPS[Curso],$A$24),SUMIFS(TabelaNPS[Detratores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  <c r="AN176" s="291">
        <f>IF(OR($K$4="(todos)",$K$4=$A$25),IF($A$25="","",IF($B$4="Mensal",IF(COUNTIFS(TabelaNPS[Período],$A176,TabelaNPS[Curso],$A$25)&gt;0,SUMIFS(TabelaNPS[Respondentes],TabelaNPS[Período],$A176,TabelaNPS[Curso],$A$25),SUMIFS(TabelaNPS[Respondentes],TabelaNPS[Período],(IF($A176="","",IF(ISNUMBER(SEARCH("-SEM",$A176)),$A176,LEFT($A176,4)&amp;"-SEM"&amp;IF(VALUE(RIGHT($A176,2))&lt;=6,1,2)))),TabelaNPS[Curso],$A$25)),IF(COUNTIFS(TabelaNPS[Período],(IF($A176="","",IF(ISNUMBER(SEARCH("-SEM",$A176)),$A176,LEFT($A176,4)&amp;"-SEM"&amp;IF(VALUE(RIGHT($A176,2))&lt;=6,1,2)))),TabelaNPS[Curso],$A$25)&gt;0,SUMIFS(TabelaNPS[Respondentes],TabelaNPS[Período],(IF($A176="","",IF(ISNUMBER(SEARCH("-SEM",$A176)),$A176,LEFT($A176,4)&amp;"-SEM"&amp;IF(VALUE(RIGHT($A176,2))&lt;=6,1,2)))),TabelaNPS[Curso],$A$25)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$25)))),0)</f>
        <v/>
      </c>
      <c r="AO176" s="291">
        <f>IF(OR($K$4="(todos)",$K$4=$A$25),IF($A$25="","",IF($B$4="Mensal",IF(COUNTIFS(TabelaNPS[Período],$A176,TabelaNPS[Curso],$A$25)&gt;0,SUMIFS(TabelaNPS[Promotores (9-10)],TabelaNPS[Período],$A176,TabelaNPS[Curso],$A$25),SUMIFS(TabelaNPS[Promotores (9-10)],TabelaNPS[Período],(IF($A176="","",IF(ISNUMBER(SEARCH("-SEM",$A176)),$A176,LEFT($A176,4)&amp;"-SEM"&amp;IF(VALUE(RIGHT($A176,2))&lt;=6,1,2)))),TabelaNPS[Curso],$A$25)),IF(COUNTIFS(TabelaNPS[Período],(IF($A176="","",IF(ISNUMBER(SEARCH("-SEM",$A176)),$A176,LEFT($A176,4)&amp;"-SEM"&amp;IF(VALUE(RIGHT($A176,2))&lt;=6,1,2)))),TabelaNPS[Curso],$A$25)&gt;0,SUMIFS(TabelaNPS[Promotores (9-10)],TabelaNPS[Período],(IF($A176="","",IF(ISNUMBER(SEARCH("-SEM",$A176)),$A176,LEFT($A176,4)&amp;"-SEM"&amp;IF(VALUE(RIGHT($A176,2))&lt;=6,1,2)))),TabelaNPS[Curso],$A$25),SUMIFS(TabelaNPS[Promotores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$25)))),0)</f>
        <v/>
      </c>
      <c r="AP176" s="291">
        <f>IF(OR($K$4="(todos)",$K$4=$A$25),IF($A$25="","",IF($B$4="Mensal",IF(COUNTIFS(TabelaNPS[Período],$A176,TabelaNPS[Curso],$A$25)&gt;0,SUMIFS(TabelaNPS[Detratores (0-6)],TabelaNPS[Período],$A176,TabelaNPS[Curso],$A$25),SUMIFS(TabelaNPS[Detratores (0-6)],TabelaNPS[Período],(IF($A176="","",IF(ISNUMBER(SEARCH("-SEM",$A176)),$A176,LEFT($A176,4)&amp;"-SEM"&amp;IF(VALUE(RIGHT($A176,2))&lt;=6,1,2)))),TabelaNPS[Curso],$A$25)),IF(COUNTIFS(TabelaNPS[Período],(IF($A176="","",IF(ISNUMBER(SEARCH("-SEM",$A176)),$A176,LEFT($A176,4)&amp;"-SEM"&amp;IF(VALUE(RIGHT($A176,2))&lt;=6,1,2)))),TabelaNPS[Curso],$A$25)&gt;0,SUMIFS(TabelaNPS[Detratores (0-6)],TabelaNPS[Período],(IF($A176="","",IF(ISNUMBER(SEARCH("-SEM",$A176)),$A176,LEFT($A176,4)&amp;"-SEM"&amp;IF(VALUE(RIGHT($A176,2))&lt;=6,1,2)))),TabelaNPS[Curso],$A$25),SUMIFS(TabelaNPS[Detratores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$25)))),0)</f>
        <v/>
      </c>
    </row>
    <row r="177">
      <c r="A177" s="343">
        <f>IF(A176="","",IF($B$4="Mensal",IF(MATCH(A176,LST_MESES,0)&gt;=MATCH(PARAMETROS!$E$9,LST_MESES,0),"",INDEX(LST_MESES,MATCH(A176,LST_MESES,0)+1)),IF(MATCH(A176,LST_SEMESTRES,0)&gt;=MATCH(PARAMETROS!$E$9,LST_SEMESTRES,0),"",INDEX(LST_SEMESTRES,MATCH(A176,LST_SEMESTRES,0)+1))))</f>
        <v/>
      </c>
      <c r="B177" s="353">
        <f>IF($A177="","",IFERROR((SUM(Q177,T177,W177,Z177,AC177,AF177,AI177,AL177,AO177)-SUM(R177,U177,X177,AA177,AD177,AG177,AJ177,AM177,AP177))/SUM(P177,S177,V177,Y177,AB177,AE177,AH177,AK177,AN177)*100,""))</f>
        <v/>
      </c>
      <c r="C177" s="351">
        <f>IFERROR(SUMPRODUCT(--(TabelaAvaliacaoDocente[Período]=(IF($A177="","",IF(ISNUMBER(SEARCH("-SEM",$A177)),$A177,LEFT($A177,4)&amp;"-SEM"&amp;IF(VALUE(RIGHT($A177,2)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177="","",IF(ISNUMBER(SEARCH("-SEM",$A177)),$A177,LEFT($A177,4)&amp;"-SEM"&amp;IF(VALUE(RIGHT($A177,2))&lt;=6,1,2))))),--((($K$4="(todos)")+(TabelaAvaliacaoDocente[Curso]=$K$4))&gt;0),--((($N$4="(todas)")+(TabelaAvaliacaoDocente[Disciplina]=$N$4))&gt;0),TabelaAvaliacaoDocente[Respondentes]),"")</f>
        <v/>
      </c>
      <c r="D177" s="354">
        <f>IF($A177="","",IFERROR((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/((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+(SUMIFS(TabelaResultadosAcademicos[Re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)*100,""))</f>
        <v/>
      </c>
      <c r="E177" s="351">
        <f>IFERROR((SUMIFS(TabelaResultadosAcademicos[Soma das nota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/(SUMIFS(TabelaResultadosAcademicos[Quantidade de nota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,"")</f>
        <v/>
      </c>
      <c r="F177" s="347">
        <f>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G177" s="347">
        <f>SUMIFS(TabelaResultadosAcademicos[Reprovados por nota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H177" s="347">
        <f>SUMIFS(TabelaResultadosAcademicos[Reprovados por falta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I177" s="353">
        <f>IF($A177="","",IFERROR(IF((SUMPRODUCT(MAX((METAS!$A$5:$A$404="DTNH-01")*(METAS!$B$5:$B$404=IF($K$4="(todos)","TOTAL",$K$4))*(METAS!$D$5:$D$404&lt;=(IF($A177="",0,IF(ISNUMBER(SEARCH("-SEM",$A177)),VALUE(LEFT($A177,4)&amp;IF(RIGHT($A177,1)="1","01","07")),VALUE(SUBSTITUTE($A177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177="",0,IF(ISNUMBER(SEARCH("-SEM",$A177)),VALUE(LEFT($A177,4)&amp;IF(RIGHT($A177,1)="1","01","07")),VALUE(SUBSTITUTE($A177,"-",""))))))*METAS!$D$5:$D$404))))*METAS!$E$5:$E$404),IF((SUMPRODUCT(MAX((METAS!$A$5:$A$404="DTNH-01")*(METAS!$B$5:$B$404="TOTAL")*(METAS!$D$5:$D$404&lt;=(IF($A177="",0,IF(ISNUMBER(SEARCH("-SEM",$A177)),VALUE(LEFT($A177,4)&amp;IF(RIGHT($A177,1)="1","01","07")),VALUE(SUBSTITUTE($A177,"-",""))))))*METAS!$D$5:$D$404)))&gt;0,SUMPRODUCT((METAS!$A$5:$A$404="DTNH-01")*(METAS!$B$5:$B$404="TOTAL")*(METAS!$D$5:$D$404=(SUMPRODUCT(MAX((METAS!$A$5:$A$404="DTNH-01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J177" s="351">
        <f>IF($A177="","",IFERROR(IF((SUMPRODUCT(MAX((METAS!$A$5:$A$404="DTNH-02")*(METAS!$B$5:$B$404=$N$6)*(METAS!$D$5:$D$404&lt;=(IF($A177="",0,IF(ISNUMBER(SEARCH("-SEM",$A177)),VALUE(LEFT($A177,4)&amp;IF(RIGHT($A177,1)="1","01","07")),VALUE(SUBSTITUTE($A177,"-",""))))))*METAS!$D$5:$D$404)))&gt;0,SUMPRODUCT((METAS!$A$5:$A$404="DTNH-02")*(METAS!$B$5:$B$404=$N$6)*(METAS!$D$5:$D$404=(SUMPRODUCT(MAX((METAS!$A$5:$A$404="DTNH-02")*(METAS!$B$5:$B$404=$N$6)*(METAS!$D$5:$D$404&lt;=(IF($A177="",0,IF(ISNUMBER(SEARCH("-SEM",$A177)),VALUE(LEFT($A177,4)&amp;IF(RIGHT($A177,1)="1","01","07")),VALUE(SUBSTITUTE($A177,"-",""))))))*METAS!$D$5:$D$404))))*METAS!$E$5:$E$404),IF((SUMPRODUCT(MAX((METAS!$A$5:$A$404="DTNH-02")*(METAS!$B$5:$B$404="TOTAL")*(METAS!$D$5:$D$404&lt;=(IF($A177="",0,IF(ISNUMBER(SEARCH("-SEM",$A177)),VALUE(LEFT($A177,4)&amp;IF(RIGHT($A177,1)="1","01","07")),VALUE(SUBSTITUTE($A177,"-",""))))))*METAS!$D$5:$D$404)))&gt;0,SUMPRODUCT((METAS!$A$5:$A$404="DTNH-02")*(METAS!$B$5:$B$404="TOTAL")*(METAS!$D$5:$D$404=(SUMPRODUCT(MAX((METAS!$A$5:$A$404="DTNH-02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K177" s="354">
        <f>IF($A177="","",IFERROR(IF((SUMPRODUCT(MAX((METAS!$A$5:$A$404="DTNH-03")*(METAS!$B$5:$B$404=$N$6)*(METAS!$D$5:$D$404&lt;=(IF($A177="",0,IF(ISNUMBER(SEARCH("-SEM",$A177)),VALUE(LEFT($A177,4)&amp;IF(RIGHT($A177,1)="1","01","07")),VALUE(SUBSTITUTE($A177,"-",""))))))*METAS!$D$5:$D$404)))&gt;0,SUMPRODUCT((METAS!$A$5:$A$404="DTNH-03")*(METAS!$B$5:$B$404=$N$6)*(METAS!$D$5:$D$404=(SUMPRODUCT(MAX((METAS!$A$5:$A$404="DTNH-03")*(METAS!$B$5:$B$404=$N$6)*(METAS!$D$5:$D$404&lt;=(IF($A177="",0,IF(ISNUMBER(SEARCH("-SEM",$A177)),VALUE(LEFT($A177,4)&amp;IF(RIGHT($A177,1)="1","01","07")),VALUE(SUBSTITUTE($A177,"-",""))))))*METAS!$D$5:$D$404))))*METAS!$E$5:$E$404),IF((SUMPRODUCT(MAX((METAS!$A$5:$A$404="DTNH-03")*(METAS!$B$5:$B$404="TOTAL")*(METAS!$D$5:$D$404&lt;=(IF($A177="",0,IF(ISNUMBER(SEARCH("-SEM",$A177)),VALUE(LEFT($A177,4)&amp;IF(RIGHT($A177,1)="1","01","07")),VALUE(SUBSTITUTE($A177,"-",""))))))*METAS!$D$5:$D$404)))&gt;0,SUMPRODUCT((METAS!$A$5:$A$404="DTNH-03")*(METAS!$B$5:$B$404="TOTAL")*(METAS!$D$5:$D$404=(SUMPRODUCT(MAX((METAS!$A$5:$A$404="DTNH-03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P177" s="291">
        <f>IF(OR($K$4="(todos)",$K$4=$A$17),IF($A$17="","",IF($B$4="Mensal",IF(COUNTIFS(TabelaNPS[Período],$A177,TabelaNPS[Curso],$A$17)&gt;0,SUMIFS(TabelaNPS[Respondentes],TabelaNPS[Período],$A177,TabelaNPS[Curso],$A$17),SUMIFS(TabelaNPS[Respondentes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Respondentes],TabelaNPS[Período],(IF($A177="","",IF(ISNUMBER(SEARCH("-SEM",$A177)),$A177,LEFT($A177,4)&amp;"-SEM"&amp;IF(VALUE(RIGHT($A177,2))&lt;=6,1,2)))),TabelaNPS[Curso],$A$17)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Q177" s="291">
        <f>IF(OR($K$4="(todos)",$K$4=$A$17),IF($A$17="","",IF($B$4="Mensal",IF(COUNTIFS(TabelaNPS[Período],$A177,TabelaNPS[Curso],$A$17)&gt;0,SUMIFS(TabelaNPS[Promotores (9-10)],TabelaNPS[Período],$A177,TabelaNPS[Curso],$A$17),SUMIFS(TabelaNPS[Promotores (9-10)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Promotores (9-10)],TabelaNPS[Período],(IF($A177="","",IF(ISNUMBER(SEARCH("-SEM",$A177)),$A177,LEFT($A177,4)&amp;"-SEM"&amp;IF(VALUE(RIGHT($A177,2))&lt;=6,1,2)))),TabelaNPS[Curso],$A$17),SUMIFS(TabelaNPS[Promotores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R177" s="291">
        <f>IF(OR($K$4="(todos)",$K$4=$A$17),IF($A$17="","",IF($B$4="Mensal",IF(COUNTIFS(TabelaNPS[Período],$A177,TabelaNPS[Curso],$A$17)&gt;0,SUMIFS(TabelaNPS[Detratores (0-6)],TabelaNPS[Período],$A177,TabelaNPS[Curso],$A$17),SUMIFS(TabelaNPS[Detratores (0-6)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Detratores (0-6)],TabelaNPS[Período],(IF($A177="","",IF(ISNUMBER(SEARCH("-SEM",$A177)),$A177,LEFT($A177,4)&amp;"-SEM"&amp;IF(VALUE(RIGHT($A177,2))&lt;=6,1,2)))),TabelaNPS[Curso],$A$17),SUMIFS(TabelaNPS[Detratores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S177" s="291">
        <f>IF(OR($K$4="(todos)",$K$4=$A$18),IF($A$18="","",IF($B$4="Mensal",IF(COUNTIFS(TabelaNPS[Período],$A177,TabelaNPS[Curso],$A$18)&gt;0,SUMIFS(TabelaNPS[Respondentes],TabelaNPS[Período],$A177,TabelaNPS[Curso],$A$18),SUMIFS(TabelaNPS[Respondentes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Respondentes],TabelaNPS[Período],(IF($A177="","",IF(ISNUMBER(SEARCH("-SEM",$A177)),$A177,LEFT($A177,4)&amp;"-SEM"&amp;IF(VALUE(RIGHT($A177,2))&lt;=6,1,2)))),TabelaNPS[Curso],$A$18)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T177" s="291">
        <f>IF(OR($K$4="(todos)",$K$4=$A$18),IF($A$18="","",IF($B$4="Mensal",IF(COUNTIFS(TabelaNPS[Período],$A177,TabelaNPS[Curso],$A$18)&gt;0,SUMIFS(TabelaNPS[Promotores (9-10)],TabelaNPS[Período],$A177,TabelaNPS[Curso],$A$18),SUMIFS(TabelaNPS[Promotores (9-10)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Promotores (9-10)],TabelaNPS[Período],(IF($A177="","",IF(ISNUMBER(SEARCH("-SEM",$A177)),$A177,LEFT($A177,4)&amp;"-SEM"&amp;IF(VALUE(RIGHT($A177,2))&lt;=6,1,2)))),TabelaNPS[Curso],$A$18),SUMIFS(TabelaNPS[Promotores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U177" s="291">
        <f>IF(OR($K$4="(todos)",$K$4=$A$18),IF($A$18="","",IF($B$4="Mensal",IF(COUNTIFS(TabelaNPS[Período],$A177,TabelaNPS[Curso],$A$18)&gt;0,SUMIFS(TabelaNPS[Detratores (0-6)],TabelaNPS[Período],$A177,TabelaNPS[Curso],$A$18),SUMIFS(TabelaNPS[Detratores (0-6)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Detratores (0-6)],TabelaNPS[Período],(IF($A177="","",IF(ISNUMBER(SEARCH("-SEM",$A177)),$A177,LEFT($A177,4)&amp;"-SEM"&amp;IF(VALUE(RIGHT($A177,2))&lt;=6,1,2)))),TabelaNPS[Curso],$A$18),SUMIFS(TabelaNPS[Detratores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V177" s="291">
        <f>IF(OR($K$4="(todos)",$K$4=$A$19),IF($A$19="","",IF($B$4="Mensal",IF(COUNTIFS(TabelaNPS[Período],$A177,TabelaNPS[Curso],$A$19)&gt;0,SUMIFS(TabelaNPS[Respondentes],TabelaNPS[Período],$A177,TabelaNPS[Curso],$A$19),SUMIFS(TabelaNPS[Respondentes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Respondentes],TabelaNPS[Período],(IF($A177="","",IF(ISNUMBER(SEARCH("-SEM",$A177)),$A177,LEFT($A177,4)&amp;"-SEM"&amp;IF(VALUE(RIGHT($A177,2))&lt;=6,1,2)))),TabelaNPS[Curso],$A$19)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W177" s="291">
        <f>IF(OR($K$4="(todos)",$K$4=$A$19),IF($A$19="","",IF($B$4="Mensal",IF(COUNTIFS(TabelaNPS[Período],$A177,TabelaNPS[Curso],$A$19)&gt;0,SUMIFS(TabelaNPS[Promotores (9-10)],TabelaNPS[Período],$A177,TabelaNPS[Curso],$A$19),SUMIFS(TabelaNPS[Promotores (9-10)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Promotores (9-10)],TabelaNPS[Período],(IF($A177="","",IF(ISNUMBER(SEARCH("-SEM",$A177)),$A177,LEFT($A177,4)&amp;"-SEM"&amp;IF(VALUE(RIGHT($A177,2))&lt;=6,1,2)))),TabelaNPS[Curso],$A$19),SUMIFS(TabelaNPS[Promotores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X177" s="291">
        <f>IF(OR($K$4="(todos)",$K$4=$A$19),IF($A$19="","",IF($B$4="Mensal",IF(COUNTIFS(TabelaNPS[Período],$A177,TabelaNPS[Curso],$A$19)&gt;0,SUMIFS(TabelaNPS[Detratores (0-6)],TabelaNPS[Período],$A177,TabelaNPS[Curso],$A$19),SUMIFS(TabelaNPS[Detratores (0-6)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Detratores (0-6)],TabelaNPS[Período],(IF($A177="","",IF(ISNUMBER(SEARCH("-SEM",$A177)),$A177,LEFT($A177,4)&amp;"-SEM"&amp;IF(VALUE(RIGHT($A177,2))&lt;=6,1,2)))),TabelaNPS[Curso],$A$19),SUMIFS(TabelaNPS[Detratores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Y177" s="291">
        <f>IF(OR($K$4="(todos)",$K$4=$A$20),IF($A$20="","",IF($B$4="Mensal",IF(COUNTIFS(TabelaNPS[Período],$A177,TabelaNPS[Curso],$A$20)&gt;0,SUMIFS(TabelaNPS[Respondentes],TabelaNPS[Período],$A177,TabelaNPS[Curso],$A$20),SUMIFS(TabelaNPS[Respondentes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Respondentes],TabelaNPS[Período],(IF($A177="","",IF(ISNUMBER(SEARCH("-SEM",$A177)),$A177,LEFT($A177,4)&amp;"-SEM"&amp;IF(VALUE(RIGHT($A177,2))&lt;=6,1,2)))),TabelaNPS[Curso],$A$20)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Z177" s="291">
        <f>IF(OR($K$4="(todos)",$K$4=$A$20),IF($A$20="","",IF($B$4="Mensal",IF(COUNTIFS(TabelaNPS[Período],$A177,TabelaNPS[Curso],$A$20)&gt;0,SUMIFS(TabelaNPS[Promotores (9-10)],TabelaNPS[Período],$A177,TabelaNPS[Curso],$A$20),SUMIFS(TabelaNPS[Promotores (9-10)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Promotores (9-10)],TabelaNPS[Período],(IF($A177="","",IF(ISNUMBER(SEARCH("-SEM",$A177)),$A177,LEFT($A177,4)&amp;"-SEM"&amp;IF(VALUE(RIGHT($A177,2))&lt;=6,1,2)))),TabelaNPS[Curso],$A$20),SUMIFS(TabelaNPS[Promotores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AA177" s="291">
        <f>IF(OR($K$4="(todos)",$K$4=$A$20),IF($A$20="","",IF($B$4="Mensal",IF(COUNTIFS(TabelaNPS[Período],$A177,TabelaNPS[Curso],$A$20)&gt;0,SUMIFS(TabelaNPS[Detratores (0-6)],TabelaNPS[Período],$A177,TabelaNPS[Curso],$A$20),SUMIFS(TabelaNPS[Detratores (0-6)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Detratores (0-6)],TabelaNPS[Período],(IF($A177="","",IF(ISNUMBER(SEARCH("-SEM",$A177)),$A177,LEFT($A177,4)&amp;"-SEM"&amp;IF(VALUE(RIGHT($A177,2))&lt;=6,1,2)))),TabelaNPS[Curso],$A$20),SUMIFS(TabelaNPS[Detratores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AB177" s="291">
        <f>IF(OR($K$4="(todos)",$K$4=$A$21),IF($A$21="","",IF($B$4="Mensal",IF(COUNTIFS(TabelaNPS[Período],$A177,TabelaNPS[Curso],$A$21)&gt;0,SUMIFS(TabelaNPS[Respondentes],TabelaNPS[Período],$A177,TabelaNPS[Curso],$A$21),SUMIFS(TabelaNPS[Respondentes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Respondentes],TabelaNPS[Período],(IF($A177="","",IF(ISNUMBER(SEARCH("-SEM",$A177)),$A177,LEFT($A177,4)&amp;"-SEM"&amp;IF(VALUE(RIGHT($A177,2))&lt;=6,1,2)))),TabelaNPS[Curso],$A$21)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C177" s="291">
        <f>IF(OR($K$4="(todos)",$K$4=$A$21),IF($A$21="","",IF($B$4="Mensal",IF(COUNTIFS(TabelaNPS[Período],$A177,TabelaNPS[Curso],$A$21)&gt;0,SUMIFS(TabelaNPS[Promotores (9-10)],TabelaNPS[Período],$A177,TabelaNPS[Curso],$A$21),SUMIFS(TabelaNPS[Promotores (9-10)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Promotores (9-10)],TabelaNPS[Período],(IF($A177="","",IF(ISNUMBER(SEARCH("-SEM",$A177)),$A177,LEFT($A177,4)&amp;"-SEM"&amp;IF(VALUE(RIGHT($A177,2))&lt;=6,1,2)))),TabelaNPS[Curso],$A$21),SUMIFS(TabelaNPS[Promotores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D177" s="291">
        <f>IF(OR($K$4="(todos)",$K$4=$A$21),IF($A$21="","",IF($B$4="Mensal",IF(COUNTIFS(TabelaNPS[Período],$A177,TabelaNPS[Curso],$A$21)&gt;0,SUMIFS(TabelaNPS[Detratores (0-6)],TabelaNPS[Período],$A177,TabelaNPS[Curso],$A$21),SUMIFS(TabelaNPS[Detratores (0-6)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Detratores (0-6)],TabelaNPS[Período],(IF($A177="","",IF(ISNUMBER(SEARCH("-SEM",$A177)),$A177,LEFT($A177,4)&amp;"-SEM"&amp;IF(VALUE(RIGHT($A177,2))&lt;=6,1,2)))),TabelaNPS[Curso],$A$21),SUMIFS(TabelaNPS[Detratores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E177" s="291">
        <f>IF(OR($K$4="(todos)",$K$4=$A$22),IF($A$22="","",IF($B$4="Mensal",IF(COUNTIFS(TabelaNPS[Período],$A177,TabelaNPS[Curso],$A$22)&gt;0,SUMIFS(TabelaNPS[Respondentes],TabelaNPS[Período],$A177,TabelaNPS[Curso],$A$22),SUMIFS(TabelaNPS[Respondentes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Respondentes],TabelaNPS[Período],(IF($A177="","",IF(ISNUMBER(SEARCH("-SEM",$A177)),$A177,LEFT($A177,4)&amp;"-SEM"&amp;IF(VALUE(RIGHT($A177,2))&lt;=6,1,2)))),TabelaNPS[Curso],$A$22)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F177" s="291">
        <f>IF(OR($K$4="(todos)",$K$4=$A$22),IF($A$22="","",IF($B$4="Mensal",IF(COUNTIFS(TabelaNPS[Período],$A177,TabelaNPS[Curso],$A$22)&gt;0,SUMIFS(TabelaNPS[Promotores (9-10)],TabelaNPS[Período],$A177,TabelaNPS[Curso],$A$22),SUMIFS(TabelaNPS[Promotores (9-10)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Promotores (9-10)],TabelaNPS[Período],(IF($A177="","",IF(ISNUMBER(SEARCH("-SEM",$A177)),$A177,LEFT($A177,4)&amp;"-SEM"&amp;IF(VALUE(RIGHT($A177,2))&lt;=6,1,2)))),TabelaNPS[Curso],$A$22),SUMIFS(TabelaNPS[Promotores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G177" s="291">
        <f>IF(OR($K$4="(todos)",$K$4=$A$22),IF($A$22="","",IF($B$4="Mensal",IF(COUNTIFS(TabelaNPS[Período],$A177,TabelaNPS[Curso],$A$22)&gt;0,SUMIFS(TabelaNPS[Detratores (0-6)],TabelaNPS[Período],$A177,TabelaNPS[Curso],$A$22),SUMIFS(TabelaNPS[Detratores (0-6)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Detratores (0-6)],TabelaNPS[Período],(IF($A177="","",IF(ISNUMBER(SEARCH("-SEM",$A177)),$A177,LEFT($A177,4)&amp;"-SEM"&amp;IF(VALUE(RIGHT($A177,2))&lt;=6,1,2)))),TabelaNPS[Curso],$A$22),SUMIFS(TabelaNPS[Detratores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H177" s="291">
        <f>IF(OR($K$4="(todos)",$K$4=$A$23),IF($A$23="","",IF($B$4="Mensal",IF(COUNTIFS(TabelaNPS[Período],$A177,TabelaNPS[Curso],$A$23)&gt;0,SUMIFS(TabelaNPS[Respondentes],TabelaNPS[Período],$A177,TabelaNPS[Curso],$A$23),SUMIFS(TabelaNPS[Respondentes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Respondentes],TabelaNPS[Período],(IF($A177="","",IF(ISNUMBER(SEARCH("-SEM",$A177)),$A177,LEFT($A177,4)&amp;"-SEM"&amp;IF(VALUE(RIGHT($A177,2))&lt;=6,1,2)))),TabelaNPS[Curso],$A$23)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I177" s="291">
        <f>IF(OR($K$4="(todos)",$K$4=$A$23),IF($A$23="","",IF($B$4="Mensal",IF(COUNTIFS(TabelaNPS[Período],$A177,TabelaNPS[Curso],$A$23)&gt;0,SUMIFS(TabelaNPS[Promotores (9-10)],TabelaNPS[Período],$A177,TabelaNPS[Curso],$A$23),SUMIFS(TabelaNPS[Promotores (9-10)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Promotores (9-10)],TabelaNPS[Período],(IF($A177="","",IF(ISNUMBER(SEARCH("-SEM",$A177)),$A177,LEFT($A177,4)&amp;"-SEM"&amp;IF(VALUE(RIGHT($A177,2))&lt;=6,1,2)))),TabelaNPS[Curso],$A$23),SUMIFS(TabelaNPS[Promotores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J177" s="291">
        <f>IF(OR($K$4="(todos)",$K$4=$A$23),IF($A$23="","",IF($B$4="Mensal",IF(COUNTIFS(TabelaNPS[Período],$A177,TabelaNPS[Curso],$A$23)&gt;0,SUMIFS(TabelaNPS[Detratores (0-6)],TabelaNPS[Período],$A177,TabelaNPS[Curso],$A$23),SUMIFS(TabelaNPS[Detratores (0-6)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Detratores (0-6)],TabelaNPS[Período],(IF($A177="","",IF(ISNUMBER(SEARCH("-SEM",$A177)),$A177,LEFT($A177,4)&amp;"-SEM"&amp;IF(VALUE(RIGHT($A177,2))&lt;=6,1,2)))),TabelaNPS[Curso],$A$23),SUMIFS(TabelaNPS[Detratores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K177" s="291">
        <f>IF(OR($K$4="(todos)",$K$4=$A$24),IF($A$24="","",IF($B$4="Mensal",IF(COUNTIFS(TabelaNPS[Período],$A177,TabelaNPS[Curso],$A$24)&gt;0,SUMIFS(TabelaNPS[Respondentes],TabelaNPS[Período],$A177,TabelaNPS[Curso],$A$24),SUMIFS(TabelaNPS[Respondentes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Respondentes],TabelaNPS[Período],(IF($A177="","",IF(ISNUMBER(SEARCH("-SEM",$A177)),$A177,LEFT($A177,4)&amp;"-SEM"&amp;IF(VALUE(RIGHT($A177,2))&lt;=6,1,2)))),TabelaNPS[Curso],$A$24)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  <c r="AL177" s="291">
        <f>IF(OR($K$4="(todos)",$K$4=$A$24),IF($A$24="","",IF($B$4="Mensal",IF(COUNTIFS(TabelaNPS[Período],$A177,TabelaNPS[Curso],$A$24)&gt;0,SUMIFS(TabelaNPS[Promotores (9-10)],TabelaNPS[Período],$A177,TabelaNPS[Curso],$A$24),SUMIFS(TabelaNPS[Promotores (9-10)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Promotores (9-10)],TabelaNPS[Período],(IF($A177="","",IF(ISNUMBER(SEARCH("-SEM",$A177)),$A177,LEFT($A177,4)&amp;"-SEM"&amp;IF(VALUE(RIGHT($A177,2))&lt;=6,1,2)))),TabelaNPS[Curso],$A$24),SUMIFS(TabelaNPS[Promotores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  <c r="AM177" s="291">
        <f>IF(OR($K$4="(todos)",$K$4=$A$24),IF($A$24="","",IF($B$4="Mensal",IF(COUNTIFS(TabelaNPS[Período],$A177,TabelaNPS[Curso],$A$24)&gt;0,SUMIFS(TabelaNPS[Detratores (0-6)],TabelaNPS[Período],$A177,TabelaNPS[Curso],$A$24),SUMIFS(TabelaNPS[Detratores (0-6)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Detratores (0-6)],TabelaNPS[Período],(IF($A177="","",IF(ISNUMBER(SEARCH("-SEM",$A177)),$A177,LEFT($A177,4)&amp;"-SEM"&amp;IF(VALUE(RIGHT($A177,2))&lt;=6,1,2)))),TabelaNPS[Curso],$A$24),SUMIFS(TabelaNPS[Detratores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  <c r="AN177" s="291">
        <f>IF(OR($K$4="(todos)",$K$4=$A$25),IF($A$25="","",IF($B$4="Mensal",IF(COUNTIFS(TabelaNPS[Período],$A177,TabelaNPS[Curso],$A$25)&gt;0,SUMIFS(TabelaNPS[Respondentes],TabelaNPS[Período],$A177,TabelaNPS[Curso],$A$25),SUMIFS(TabelaNPS[Respondentes],TabelaNPS[Período],(IF($A177="","",IF(ISNUMBER(SEARCH("-SEM",$A177)),$A177,LEFT($A177,4)&amp;"-SEM"&amp;IF(VALUE(RIGHT($A177,2))&lt;=6,1,2)))),TabelaNPS[Curso],$A$25)),IF(COUNTIFS(TabelaNPS[Período],(IF($A177="","",IF(ISNUMBER(SEARCH("-SEM",$A177)),$A177,LEFT($A177,4)&amp;"-SEM"&amp;IF(VALUE(RIGHT($A177,2))&lt;=6,1,2)))),TabelaNPS[Curso],$A$25)&gt;0,SUMIFS(TabelaNPS[Respondentes],TabelaNPS[Período],(IF($A177="","",IF(ISNUMBER(SEARCH("-SEM",$A177)),$A177,LEFT($A177,4)&amp;"-SEM"&amp;IF(VALUE(RIGHT($A177,2))&lt;=6,1,2)))),TabelaNPS[Curso],$A$25)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$25)))),0)</f>
        <v/>
      </c>
      <c r="AO177" s="291">
        <f>IF(OR($K$4="(todos)",$K$4=$A$25),IF($A$25="","",IF($B$4="Mensal",IF(COUNTIFS(TabelaNPS[Período],$A177,TabelaNPS[Curso],$A$25)&gt;0,SUMIFS(TabelaNPS[Promotores (9-10)],TabelaNPS[Período],$A177,TabelaNPS[Curso],$A$25),SUMIFS(TabelaNPS[Promotores (9-10)],TabelaNPS[Período],(IF($A177="","",IF(ISNUMBER(SEARCH("-SEM",$A177)),$A177,LEFT($A177,4)&amp;"-SEM"&amp;IF(VALUE(RIGHT($A177,2))&lt;=6,1,2)))),TabelaNPS[Curso],$A$25)),IF(COUNTIFS(TabelaNPS[Período],(IF($A177="","",IF(ISNUMBER(SEARCH("-SEM",$A177)),$A177,LEFT($A177,4)&amp;"-SEM"&amp;IF(VALUE(RIGHT($A177,2))&lt;=6,1,2)))),TabelaNPS[Curso],$A$25)&gt;0,SUMIFS(TabelaNPS[Promotores (9-10)],TabelaNPS[Período],(IF($A177="","",IF(ISNUMBER(SEARCH("-SEM",$A177)),$A177,LEFT($A177,4)&amp;"-SEM"&amp;IF(VALUE(RIGHT($A177,2))&lt;=6,1,2)))),TabelaNPS[Curso],$A$25),SUMIFS(TabelaNPS[Promotores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$25)))),0)</f>
        <v/>
      </c>
      <c r="AP177" s="291">
        <f>IF(OR($K$4="(todos)",$K$4=$A$25),IF($A$25="","",IF($B$4="Mensal",IF(COUNTIFS(TabelaNPS[Período],$A177,TabelaNPS[Curso],$A$25)&gt;0,SUMIFS(TabelaNPS[Detratores (0-6)],TabelaNPS[Período],$A177,TabelaNPS[Curso],$A$25),SUMIFS(TabelaNPS[Detratores (0-6)],TabelaNPS[Período],(IF($A177="","",IF(ISNUMBER(SEARCH("-SEM",$A177)),$A177,LEFT($A177,4)&amp;"-SEM"&amp;IF(VALUE(RIGHT($A177,2))&lt;=6,1,2)))),TabelaNPS[Curso],$A$25)),IF(COUNTIFS(TabelaNPS[Período],(IF($A177="","",IF(ISNUMBER(SEARCH("-SEM",$A177)),$A177,LEFT($A177,4)&amp;"-SEM"&amp;IF(VALUE(RIGHT($A177,2))&lt;=6,1,2)))),TabelaNPS[Curso],$A$25)&gt;0,SUMIFS(TabelaNPS[Detratores (0-6)],TabelaNPS[Período],(IF($A177="","",IF(ISNUMBER(SEARCH("-SEM",$A177)),$A177,LEFT($A177,4)&amp;"-SEM"&amp;IF(VALUE(RIGHT($A177,2))&lt;=6,1,2)))),TabelaNPS[Curso],$A$25),SUMIFS(TabelaNPS[Detratores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$25)))),0)</f>
        <v/>
      </c>
    </row>
    <row r="178">
      <c r="A178" s="343">
        <f>IF(A177="","",IF($B$4="Mensal",IF(MATCH(A177,LST_MESES,0)&gt;=MATCH(PARAMETROS!$E$9,LST_MESES,0),"",INDEX(LST_MESES,MATCH(A177,LST_MESES,0)+1)),IF(MATCH(A177,LST_SEMESTRES,0)&gt;=MATCH(PARAMETROS!$E$9,LST_SEMESTRES,0),"",INDEX(LST_SEMESTRES,MATCH(A177,LST_SEMESTRES,0)+1))))</f>
        <v/>
      </c>
      <c r="B178" s="353">
        <f>IF($A178="","",IFERROR((SUM(Q178,T178,W178,Z178,AC178,AF178,AI178,AL178,AO178)-SUM(R178,U178,X178,AA178,AD178,AG178,AJ178,AM178,AP178))/SUM(P178,S178,V178,Y178,AB178,AE178,AH178,AK178,AN178)*100,""))</f>
        <v/>
      </c>
      <c r="C178" s="351">
        <f>IFERROR(SUMPRODUCT(--(TabelaAvaliacaoDocente[Período]=(IF($A178="","",IF(ISNUMBER(SEARCH("-SEM",$A178)),$A178,LEFT($A178,4)&amp;"-SEM"&amp;IF(VALUE(RIGHT($A178,2)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178="","",IF(ISNUMBER(SEARCH("-SEM",$A178)),$A178,LEFT($A178,4)&amp;"-SEM"&amp;IF(VALUE(RIGHT($A178,2))&lt;=6,1,2))))),--((($K$4="(todos)")+(TabelaAvaliacaoDocente[Curso]=$K$4))&gt;0),--((($N$4="(todas)")+(TabelaAvaliacaoDocente[Disciplina]=$N$4))&gt;0),TabelaAvaliacaoDocente[Respondentes]),"")</f>
        <v/>
      </c>
      <c r="D178" s="354">
        <f>IF($A178="","",IFERROR((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/((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+(SUMIFS(TabelaResultadosAcademicos[Re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)*100,""))</f>
        <v/>
      </c>
      <c r="E178" s="351">
        <f>IFERROR((SUMIFS(TabelaResultadosAcademicos[Soma das nota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/(SUMIFS(TabelaResultadosAcademicos[Quantidade de nota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,"")</f>
        <v/>
      </c>
      <c r="F178" s="347">
        <f>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G178" s="347">
        <f>SUMIFS(TabelaResultadosAcademicos[Reprovados por nota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H178" s="347">
        <f>SUMIFS(TabelaResultadosAcademicos[Reprovados por falta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I178" s="353">
        <f>IF($A178="","",IFERROR(IF((SUMPRODUCT(MAX((METAS!$A$5:$A$404="DTNH-01")*(METAS!$B$5:$B$404=IF($K$4="(todos)","TOTAL",$K$4))*(METAS!$D$5:$D$404&lt;=(IF($A178="",0,IF(ISNUMBER(SEARCH("-SEM",$A178)),VALUE(LEFT($A178,4)&amp;IF(RIGHT($A178,1)="1","01","07")),VALUE(SUBSTITUTE($A178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178="",0,IF(ISNUMBER(SEARCH("-SEM",$A178)),VALUE(LEFT($A178,4)&amp;IF(RIGHT($A178,1)="1","01","07")),VALUE(SUBSTITUTE($A178,"-",""))))))*METAS!$D$5:$D$404))))*METAS!$E$5:$E$404),IF((SUMPRODUCT(MAX((METAS!$A$5:$A$404="DTNH-01")*(METAS!$B$5:$B$404="TOTAL")*(METAS!$D$5:$D$404&lt;=(IF($A178="",0,IF(ISNUMBER(SEARCH("-SEM",$A178)),VALUE(LEFT($A178,4)&amp;IF(RIGHT($A178,1)="1","01","07")),VALUE(SUBSTITUTE($A178,"-",""))))))*METAS!$D$5:$D$404)))&gt;0,SUMPRODUCT((METAS!$A$5:$A$404="DTNH-01")*(METAS!$B$5:$B$404="TOTAL")*(METAS!$D$5:$D$404=(SUMPRODUCT(MAX((METAS!$A$5:$A$404="DTNH-01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J178" s="351">
        <f>IF($A178="","",IFERROR(IF((SUMPRODUCT(MAX((METAS!$A$5:$A$404="DTNH-02")*(METAS!$B$5:$B$404=$N$6)*(METAS!$D$5:$D$404&lt;=(IF($A178="",0,IF(ISNUMBER(SEARCH("-SEM",$A178)),VALUE(LEFT($A178,4)&amp;IF(RIGHT($A178,1)="1","01","07")),VALUE(SUBSTITUTE($A178,"-",""))))))*METAS!$D$5:$D$404)))&gt;0,SUMPRODUCT((METAS!$A$5:$A$404="DTNH-02")*(METAS!$B$5:$B$404=$N$6)*(METAS!$D$5:$D$404=(SUMPRODUCT(MAX((METAS!$A$5:$A$404="DTNH-02")*(METAS!$B$5:$B$404=$N$6)*(METAS!$D$5:$D$404&lt;=(IF($A178="",0,IF(ISNUMBER(SEARCH("-SEM",$A178)),VALUE(LEFT($A178,4)&amp;IF(RIGHT($A178,1)="1","01","07")),VALUE(SUBSTITUTE($A178,"-",""))))))*METAS!$D$5:$D$404))))*METAS!$E$5:$E$404),IF((SUMPRODUCT(MAX((METAS!$A$5:$A$404="DTNH-02")*(METAS!$B$5:$B$404="TOTAL")*(METAS!$D$5:$D$404&lt;=(IF($A178="",0,IF(ISNUMBER(SEARCH("-SEM",$A178)),VALUE(LEFT($A178,4)&amp;IF(RIGHT($A178,1)="1","01","07")),VALUE(SUBSTITUTE($A178,"-",""))))))*METAS!$D$5:$D$404)))&gt;0,SUMPRODUCT((METAS!$A$5:$A$404="DTNH-02")*(METAS!$B$5:$B$404="TOTAL")*(METAS!$D$5:$D$404=(SUMPRODUCT(MAX((METAS!$A$5:$A$404="DTNH-02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K178" s="354">
        <f>IF($A178="","",IFERROR(IF((SUMPRODUCT(MAX((METAS!$A$5:$A$404="DTNH-03")*(METAS!$B$5:$B$404=$N$6)*(METAS!$D$5:$D$404&lt;=(IF($A178="",0,IF(ISNUMBER(SEARCH("-SEM",$A178)),VALUE(LEFT($A178,4)&amp;IF(RIGHT($A178,1)="1","01","07")),VALUE(SUBSTITUTE($A178,"-",""))))))*METAS!$D$5:$D$404)))&gt;0,SUMPRODUCT((METAS!$A$5:$A$404="DTNH-03")*(METAS!$B$5:$B$404=$N$6)*(METAS!$D$5:$D$404=(SUMPRODUCT(MAX((METAS!$A$5:$A$404="DTNH-03")*(METAS!$B$5:$B$404=$N$6)*(METAS!$D$5:$D$404&lt;=(IF($A178="",0,IF(ISNUMBER(SEARCH("-SEM",$A178)),VALUE(LEFT($A178,4)&amp;IF(RIGHT($A178,1)="1","01","07")),VALUE(SUBSTITUTE($A178,"-",""))))))*METAS!$D$5:$D$404))))*METAS!$E$5:$E$404),IF((SUMPRODUCT(MAX((METAS!$A$5:$A$404="DTNH-03")*(METAS!$B$5:$B$404="TOTAL")*(METAS!$D$5:$D$404&lt;=(IF($A178="",0,IF(ISNUMBER(SEARCH("-SEM",$A178)),VALUE(LEFT($A178,4)&amp;IF(RIGHT($A178,1)="1","01","07")),VALUE(SUBSTITUTE($A178,"-",""))))))*METAS!$D$5:$D$404)))&gt;0,SUMPRODUCT((METAS!$A$5:$A$404="DTNH-03")*(METAS!$B$5:$B$404="TOTAL")*(METAS!$D$5:$D$404=(SUMPRODUCT(MAX((METAS!$A$5:$A$404="DTNH-03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P178" s="291">
        <f>IF(OR($K$4="(todos)",$K$4=$A$17),IF($A$17="","",IF($B$4="Mensal",IF(COUNTIFS(TabelaNPS[Período],$A178,TabelaNPS[Curso],$A$17)&gt;0,SUMIFS(TabelaNPS[Respondentes],TabelaNPS[Período],$A178,TabelaNPS[Curso],$A$17),SUMIFS(TabelaNPS[Respondentes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Respondentes],TabelaNPS[Período],(IF($A178="","",IF(ISNUMBER(SEARCH("-SEM",$A178)),$A178,LEFT($A178,4)&amp;"-SEM"&amp;IF(VALUE(RIGHT($A178,2))&lt;=6,1,2)))),TabelaNPS[Curso],$A$17)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Q178" s="291">
        <f>IF(OR($K$4="(todos)",$K$4=$A$17),IF($A$17="","",IF($B$4="Mensal",IF(COUNTIFS(TabelaNPS[Período],$A178,TabelaNPS[Curso],$A$17)&gt;0,SUMIFS(TabelaNPS[Promotores (9-10)],TabelaNPS[Período],$A178,TabelaNPS[Curso],$A$17),SUMIFS(TabelaNPS[Promotores (9-10)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Promotores (9-10)],TabelaNPS[Período],(IF($A178="","",IF(ISNUMBER(SEARCH("-SEM",$A178)),$A178,LEFT($A178,4)&amp;"-SEM"&amp;IF(VALUE(RIGHT($A178,2))&lt;=6,1,2)))),TabelaNPS[Curso],$A$17),SUMIFS(TabelaNPS[Promotores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R178" s="291">
        <f>IF(OR($K$4="(todos)",$K$4=$A$17),IF($A$17="","",IF($B$4="Mensal",IF(COUNTIFS(TabelaNPS[Período],$A178,TabelaNPS[Curso],$A$17)&gt;0,SUMIFS(TabelaNPS[Detratores (0-6)],TabelaNPS[Período],$A178,TabelaNPS[Curso],$A$17),SUMIFS(TabelaNPS[Detratores (0-6)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Detratores (0-6)],TabelaNPS[Período],(IF($A178="","",IF(ISNUMBER(SEARCH("-SEM",$A178)),$A178,LEFT($A178,4)&amp;"-SEM"&amp;IF(VALUE(RIGHT($A178,2))&lt;=6,1,2)))),TabelaNPS[Curso],$A$17),SUMIFS(TabelaNPS[Detratores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S178" s="291">
        <f>IF(OR($K$4="(todos)",$K$4=$A$18),IF($A$18="","",IF($B$4="Mensal",IF(COUNTIFS(TabelaNPS[Período],$A178,TabelaNPS[Curso],$A$18)&gt;0,SUMIFS(TabelaNPS[Respondentes],TabelaNPS[Período],$A178,TabelaNPS[Curso],$A$18),SUMIFS(TabelaNPS[Respondentes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Respondentes],TabelaNPS[Período],(IF($A178="","",IF(ISNUMBER(SEARCH("-SEM",$A178)),$A178,LEFT($A178,4)&amp;"-SEM"&amp;IF(VALUE(RIGHT($A178,2))&lt;=6,1,2)))),TabelaNPS[Curso],$A$18)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T178" s="291">
        <f>IF(OR($K$4="(todos)",$K$4=$A$18),IF($A$18="","",IF($B$4="Mensal",IF(COUNTIFS(TabelaNPS[Período],$A178,TabelaNPS[Curso],$A$18)&gt;0,SUMIFS(TabelaNPS[Promotores (9-10)],TabelaNPS[Período],$A178,TabelaNPS[Curso],$A$18),SUMIFS(TabelaNPS[Promotores (9-10)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Promotores (9-10)],TabelaNPS[Período],(IF($A178="","",IF(ISNUMBER(SEARCH("-SEM",$A178)),$A178,LEFT($A178,4)&amp;"-SEM"&amp;IF(VALUE(RIGHT($A178,2))&lt;=6,1,2)))),TabelaNPS[Curso],$A$18),SUMIFS(TabelaNPS[Promotores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U178" s="291">
        <f>IF(OR($K$4="(todos)",$K$4=$A$18),IF($A$18="","",IF($B$4="Mensal",IF(COUNTIFS(TabelaNPS[Período],$A178,TabelaNPS[Curso],$A$18)&gt;0,SUMIFS(TabelaNPS[Detratores (0-6)],TabelaNPS[Período],$A178,TabelaNPS[Curso],$A$18),SUMIFS(TabelaNPS[Detratores (0-6)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Detratores (0-6)],TabelaNPS[Período],(IF($A178="","",IF(ISNUMBER(SEARCH("-SEM",$A178)),$A178,LEFT($A178,4)&amp;"-SEM"&amp;IF(VALUE(RIGHT($A178,2))&lt;=6,1,2)))),TabelaNPS[Curso],$A$18),SUMIFS(TabelaNPS[Detratores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V178" s="291">
        <f>IF(OR($K$4="(todos)",$K$4=$A$19),IF($A$19="","",IF($B$4="Mensal",IF(COUNTIFS(TabelaNPS[Período],$A178,TabelaNPS[Curso],$A$19)&gt;0,SUMIFS(TabelaNPS[Respondentes],TabelaNPS[Período],$A178,TabelaNPS[Curso],$A$19),SUMIFS(TabelaNPS[Respondentes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Respondentes],TabelaNPS[Período],(IF($A178="","",IF(ISNUMBER(SEARCH("-SEM",$A178)),$A178,LEFT($A178,4)&amp;"-SEM"&amp;IF(VALUE(RIGHT($A178,2))&lt;=6,1,2)))),TabelaNPS[Curso],$A$19)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W178" s="291">
        <f>IF(OR($K$4="(todos)",$K$4=$A$19),IF($A$19="","",IF($B$4="Mensal",IF(COUNTIFS(TabelaNPS[Período],$A178,TabelaNPS[Curso],$A$19)&gt;0,SUMIFS(TabelaNPS[Promotores (9-10)],TabelaNPS[Período],$A178,TabelaNPS[Curso],$A$19),SUMIFS(TabelaNPS[Promotores (9-10)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Promotores (9-10)],TabelaNPS[Período],(IF($A178="","",IF(ISNUMBER(SEARCH("-SEM",$A178)),$A178,LEFT($A178,4)&amp;"-SEM"&amp;IF(VALUE(RIGHT($A178,2))&lt;=6,1,2)))),TabelaNPS[Curso],$A$19),SUMIFS(TabelaNPS[Promotores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X178" s="291">
        <f>IF(OR($K$4="(todos)",$K$4=$A$19),IF($A$19="","",IF($B$4="Mensal",IF(COUNTIFS(TabelaNPS[Período],$A178,TabelaNPS[Curso],$A$19)&gt;0,SUMIFS(TabelaNPS[Detratores (0-6)],TabelaNPS[Período],$A178,TabelaNPS[Curso],$A$19),SUMIFS(TabelaNPS[Detratores (0-6)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Detratores (0-6)],TabelaNPS[Período],(IF($A178="","",IF(ISNUMBER(SEARCH("-SEM",$A178)),$A178,LEFT($A178,4)&amp;"-SEM"&amp;IF(VALUE(RIGHT($A178,2))&lt;=6,1,2)))),TabelaNPS[Curso],$A$19),SUMIFS(TabelaNPS[Detratores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Y178" s="291">
        <f>IF(OR($K$4="(todos)",$K$4=$A$20),IF($A$20="","",IF($B$4="Mensal",IF(COUNTIFS(TabelaNPS[Período],$A178,TabelaNPS[Curso],$A$20)&gt;0,SUMIFS(TabelaNPS[Respondentes],TabelaNPS[Período],$A178,TabelaNPS[Curso],$A$20),SUMIFS(TabelaNPS[Respondentes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Respondentes],TabelaNPS[Período],(IF($A178="","",IF(ISNUMBER(SEARCH("-SEM",$A178)),$A178,LEFT($A178,4)&amp;"-SEM"&amp;IF(VALUE(RIGHT($A178,2))&lt;=6,1,2)))),TabelaNPS[Curso],$A$20)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Z178" s="291">
        <f>IF(OR($K$4="(todos)",$K$4=$A$20),IF($A$20="","",IF($B$4="Mensal",IF(COUNTIFS(TabelaNPS[Período],$A178,TabelaNPS[Curso],$A$20)&gt;0,SUMIFS(TabelaNPS[Promotores (9-10)],TabelaNPS[Período],$A178,TabelaNPS[Curso],$A$20),SUMIFS(TabelaNPS[Promotores (9-10)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Promotores (9-10)],TabelaNPS[Período],(IF($A178="","",IF(ISNUMBER(SEARCH("-SEM",$A178)),$A178,LEFT($A178,4)&amp;"-SEM"&amp;IF(VALUE(RIGHT($A178,2))&lt;=6,1,2)))),TabelaNPS[Curso],$A$20),SUMIFS(TabelaNPS[Promotores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AA178" s="291">
        <f>IF(OR($K$4="(todos)",$K$4=$A$20),IF($A$20="","",IF($B$4="Mensal",IF(COUNTIFS(TabelaNPS[Período],$A178,TabelaNPS[Curso],$A$20)&gt;0,SUMIFS(TabelaNPS[Detratores (0-6)],TabelaNPS[Período],$A178,TabelaNPS[Curso],$A$20),SUMIFS(TabelaNPS[Detratores (0-6)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Detratores (0-6)],TabelaNPS[Período],(IF($A178="","",IF(ISNUMBER(SEARCH("-SEM",$A178)),$A178,LEFT($A178,4)&amp;"-SEM"&amp;IF(VALUE(RIGHT($A178,2))&lt;=6,1,2)))),TabelaNPS[Curso],$A$20),SUMIFS(TabelaNPS[Detratores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AB178" s="291">
        <f>IF(OR($K$4="(todos)",$K$4=$A$21),IF($A$21="","",IF($B$4="Mensal",IF(COUNTIFS(TabelaNPS[Período],$A178,TabelaNPS[Curso],$A$21)&gt;0,SUMIFS(TabelaNPS[Respondentes],TabelaNPS[Período],$A178,TabelaNPS[Curso],$A$21),SUMIFS(TabelaNPS[Respondentes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Respondentes],TabelaNPS[Período],(IF($A178="","",IF(ISNUMBER(SEARCH("-SEM",$A178)),$A178,LEFT($A178,4)&amp;"-SEM"&amp;IF(VALUE(RIGHT($A178,2))&lt;=6,1,2)))),TabelaNPS[Curso],$A$21)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C178" s="291">
        <f>IF(OR($K$4="(todos)",$K$4=$A$21),IF($A$21="","",IF($B$4="Mensal",IF(COUNTIFS(TabelaNPS[Período],$A178,TabelaNPS[Curso],$A$21)&gt;0,SUMIFS(TabelaNPS[Promotores (9-10)],TabelaNPS[Período],$A178,TabelaNPS[Curso],$A$21),SUMIFS(TabelaNPS[Promotores (9-10)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Promotores (9-10)],TabelaNPS[Período],(IF($A178="","",IF(ISNUMBER(SEARCH("-SEM",$A178)),$A178,LEFT($A178,4)&amp;"-SEM"&amp;IF(VALUE(RIGHT($A178,2))&lt;=6,1,2)))),TabelaNPS[Curso],$A$21),SUMIFS(TabelaNPS[Promotores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D178" s="291">
        <f>IF(OR($K$4="(todos)",$K$4=$A$21),IF($A$21="","",IF($B$4="Mensal",IF(COUNTIFS(TabelaNPS[Período],$A178,TabelaNPS[Curso],$A$21)&gt;0,SUMIFS(TabelaNPS[Detratores (0-6)],TabelaNPS[Período],$A178,TabelaNPS[Curso],$A$21),SUMIFS(TabelaNPS[Detratores (0-6)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Detratores (0-6)],TabelaNPS[Período],(IF($A178="","",IF(ISNUMBER(SEARCH("-SEM",$A178)),$A178,LEFT($A178,4)&amp;"-SEM"&amp;IF(VALUE(RIGHT($A178,2))&lt;=6,1,2)))),TabelaNPS[Curso],$A$21),SUMIFS(TabelaNPS[Detratores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E178" s="291">
        <f>IF(OR($K$4="(todos)",$K$4=$A$22),IF($A$22="","",IF($B$4="Mensal",IF(COUNTIFS(TabelaNPS[Período],$A178,TabelaNPS[Curso],$A$22)&gt;0,SUMIFS(TabelaNPS[Respondentes],TabelaNPS[Período],$A178,TabelaNPS[Curso],$A$22),SUMIFS(TabelaNPS[Respondentes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Respondentes],TabelaNPS[Período],(IF($A178="","",IF(ISNUMBER(SEARCH("-SEM",$A178)),$A178,LEFT($A178,4)&amp;"-SEM"&amp;IF(VALUE(RIGHT($A178,2))&lt;=6,1,2)))),TabelaNPS[Curso],$A$22)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F178" s="291">
        <f>IF(OR($K$4="(todos)",$K$4=$A$22),IF($A$22="","",IF($B$4="Mensal",IF(COUNTIFS(TabelaNPS[Período],$A178,TabelaNPS[Curso],$A$22)&gt;0,SUMIFS(TabelaNPS[Promotores (9-10)],TabelaNPS[Período],$A178,TabelaNPS[Curso],$A$22),SUMIFS(TabelaNPS[Promotores (9-10)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Promotores (9-10)],TabelaNPS[Período],(IF($A178="","",IF(ISNUMBER(SEARCH("-SEM",$A178)),$A178,LEFT($A178,4)&amp;"-SEM"&amp;IF(VALUE(RIGHT($A178,2))&lt;=6,1,2)))),TabelaNPS[Curso],$A$22),SUMIFS(TabelaNPS[Promotores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G178" s="291">
        <f>IF(OR($K$4="(todos)",$K$4=$A$22),IF($A$22="","",IF($B$4="Mensal",IF(COUNTIFS(TabelaNPS[Período],$A178,TabelaNPS[Curso],$A$22)&gt;0,SUMIFS(TabelaNPS[Detratores (0-6)],TabelaNPS[Período],$A178,TabelaNPS[Curso],$A$22),SUMIFS(TabelaNPS[Detratores (0-6)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Detratores (0-6)],TabelaNPS[Período],(IF($A178="","",IF(ISNUMBER(SEARCH("-SEM",$A178)),$A178,LEFT($A178,4)&amp;"-SEM"&amp;IF(VALUE(RIGHT($A178,2))&lt;=6,1,2)))),TabelaNPS[Curso],$A$22),SUMIFS(TabelaNPS[Detratores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H178" s="291">
        <f>IF(OR($K$4="(todos)",$K$4=$A$23),IF($A$23="","",IF($B$4="Mensal",IF(COUNTIFS(TabelaNPS[Período],$A178,TabelaNPS[Curso],$A$23)&gt;0,SUMIFS(TabelaNPS[Respondentes],TabelaNPS[Período],$A178,TabelaNPS[Curso],$A$23),SUMIFS(TabelaNPS[Respondentes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Respondentes],TabelaNPS[Período],(IF($A178="","",IF(ISNUMBER(SEARCH("-SEM",$A178)),$A178,LEFT($A178,4)&amp;"-SEM"&amp;IF(VALUE(RIGHT($A178,2))&lt;=6,1,2)))),TabelaNPS[Curso],$A$23)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I178" s="291">
        <f>IF(OR($K$4="(todos)",$K$4=$A$23),IF($A$23="","",IF($B$4="Mensal",IF(COUNTIFS(TabelaNPS[Período],$A178,TabelaNPS[Curso],$A$23)&gt;0,SUMIFS(TabelaNPS[Promotores (9-10)],TabelaNPS[Período],$A178,TabelaNPS[Curso],$A$23),SUMIFS(TabelaNPS[Promotores (9-10)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Promotores (9-10)],TabelaNPS[Período],(IF($A178="","",IF(ISNUMBER(SEARCH("-SEM",$A178)),$A178,LEFT($A178,4)&amp;"-SEM"&amp;IF(VALUE(RIGHT($A178,2))&lt;=6,1,2)))),TabelaNPS[Curso],$A$23),SUMIFS(TabelaNPS[Promotores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J178" s="291">
        <f>IF(OR($K$4="(todos)",$K$4=$A$23),IF($A$23="","",IF($B$4="Mensal",IF(COUNTIFS(TabelaNPS[Período],$A178,TabelaNPS[Curso],$A$23)&gt;0,SUMIFS(TabelaNPS[Detratores (0-6)],TabelaNPS[Período],$A178,TabelaNPS[Curso],$A$23),SUMIFS(TabelaNPS[Detratores (0-6)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Detratores (0-6)],TabelaNPS[Período],(IF($A178="","",IF(ISNUMBER(SEARCH("-SEM",$A178)),$A178,LEFT($A178,4)&amp;"-SEM"&amp;IF(VALUE(RIGHT($A178,2))&lt;=6,1,2)))),TabelaNPS[Curso],$A$23),SUMIFS(TabelaNPS[Detratores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K178" s="291">
        <f>IF(OR($K$4="(todos)",$K$4=$A$24),IF($A$24="","",IF($B$4="Mensal",IF(COUNTIFS(TabelaNPS[Período],$A178,TabelaNPS[Curso],$A$24)&gt;0,SUMIFS(TabelaNPS[Respondentes],TabelaNPS[Período],$A178,TabelaNPS[Curso],$A$24),SUMIFS(TabelaNPS[Respondentes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Respondentes],TabelaNPS[Período],(IF($A178="","",IF(ISNUMBER(SEARCH("-SEM",$A178)),$A178,LEFT($A178,4)&amp;"-SEM"&amp;IF(VALUE(RIGHT($A178,2))&lt;=6,1,2)))),TabelaNPS[Curso],$A$24)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  <c r="AL178" s="291">
        <f>IF(OR($K$4="(todos)",$K$4=$A$24),IF($A$24="","",IF($B$4="Mensal",IF(COUNTIFS(TabelaNPS[Período],$A178,TabelaNPS[Curso],$A$24)&gt;0,SUMIFS(TabelaNPS[Promotores (9-10)],TabelaNPS[Período],$A178,TabelaNPS[Curso],$A$24),SUMIFS(TabelaNPS[Promotores (9-10)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Promotores (9-10)],TabelaNPS[Período],(IF($A178="","",IF(ISNUMBER(SEARCH("-SEM",$A178)),$A178,LEFT($A178,4)&amp;"-SEM"&amp;IF(VALUE(RIGHT($A178,2))&lt;=6,1,2)))),TabelaNPS[Curso],$A$24),SUMIFS(TabelaNPS[Promotores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  <c r="AM178" s="291">
        <f>IF(OR($K$4="(todos)",$K$4=$A$24),IF($A$24="","",IF($B$4="Mensal",IF(COUNTIFS(TabelaNPS[Período],$A178,TabelaNPS[Curso],$A$24)&gt;0,SUMIFS(TabelaNPS[Detratores (0-6)],TabelaNPS[Período],$A178,TabelaNPS[Curso],$A$24),SUMIFS(TabelaNPS[Detratores (0-6)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Detratores (0-6)],TabelaNPS[Período],(IF($A178="","",IF(ISNUMBER(SEARCH("-SEM",$A178)),$A178,LEFT($A178,4)&amp;"-SEM"&amp;IF(VALUE(RIGHT($A178,2))&lt;=6,1,2)))),TabelaNPS[Curso],$A$24),SUMIFS(TabelaNPS[Detratores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  <c r="AN178" s="291">
        <f>IF(OR($K$4="(todos)",$K$4=$A$25),IF($A$25="","",IF($B$4="Mensal",IF(COUNTIFS(TabelaNPS[Período],$A178,TabelaNPS[Curso],$A$25)&gt;0,SUMIFS(TabelaNPS[Respondentes],TabelaNPS[Período],$A178,TabelaNPS[Curso],$A$25),SUMIFS(TabelaNPS[Respondentes],TabelaNPS[Período],(IF($A178="","",IF(ISNUMBER(SEARCH("-SEM",$A178)),$A178,LEFT($A178,4)&amp;"-SEM"&amp;IF(VALUE(RIGHT($A178,2))&lt;=6,1,2)))),TabelaNPS[Curso],$A$25)),IF(COUNTIFS(TabelaNPS[Período],(IF($A178="","",IF(ISNUMBER(SEARCH("-SEM",$A178)),$A178,LEFT($A178,4)&amp;"-SEM"&amp;IF(VALUE(RIGHT($A178,2))&lt;=6,1,2)))),TabelaNPS[Curso],$A$25)&gt;0,SUMIFS(TabelaNPS[Respondentes],TabelaNPS[Período],(IF($A178="","",IF(ISNUMBER(SEARCH("-SEM",$A178)),$A178,LEFT($A178,4)&amp;"-SEM"&amp;IF(VALUE(RIGHT($A178,2))&lt;=6,1,2)))),TabelaNPS[Curso],$A$25)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$25)))),0)</f>
        <v/>
      </c>
      <c r="AO178" s="291">
        <f>IF(OR($K$4="(todos)",$K$4=$A$25),IF($A$25="","",IF($B$4="Mensal",IF(COUNTIFS(TabelaNPS[Período],$A178,TabelaNPS[Curso],$A$25)&gt;0,SUMIFS(TabelaNPS[Promotores (9-10)],TabelaNPS[Período],$A178,TabelaNPS[Curso],$A$25),SUMIFS(TabelaNPS[Promotores (9-10)],TabelaNPS[Período],(IF($A178="","",IF(ISNUMBER(SEARCH("-SEM",$A178)),$A178,LEFT($A178,4)&amp;"-SEM"&amp;IF(VALUE(RIGHT($A178,2))&lt;=6,1,2)))),TabelaNPS[Curso],$A$25)),IF(COUNTIFS(TabelaNPS[Período],(IF($A178="","",IF(ISNUMBER(SEARCH("-SEM",$A178)),$A178,LEFT($A178,4)&amp;"-SEM"&amp;IF(VALUE(RIGHT($A178,2))&lt;=6,1,2)))),TabelaNPS[Curso],$A$25)&gt;0,SUMIFS(TabelaNPS[Promotores (9-10)],TabelaNPS[Período],(IF($A178="","",IF(ISNUMBER(SEARCH("-SEM",$A178)),$A178,LEFT($A178,4)&amp;"-SEM"&amp;IF(VALUE(RIGHT($A178,2))&lt;=6,1,2)))),TabelaNPS[Curso],$A$25),SUMIFS(TabelaNPS[Promotores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$25)))),0)</f>
        <v/>
      </c>
      <c r="AP178" s="291">
        <f>IF(OR($K$4="(todos)",$K$4=$A$25),IF($A$25="","",IF($B$4="Mensal",IF(COUNTIFS(TabelaNPS[Período],$A178,TabelaNPS[Curso],$A$25)&gt;0,SUMIFS(TabelaNPS[Detratores (0-6)],TabelaNPS[Período],$A178,TabelaNPS[Curso],$A$25),SUMIFS(TabelaNPS[Detratores (0-6)],TabelaNPS[Período],(IF($A178="","",IF(ISNUMBER(SEARCH("-SEM",$A178)),$A178,LEFT($A178,4)&amp;"-SEM"&amp;IF(VALUE(RIGHT($A178,2))&lt;=6,1,2)))),TabelaNPS[Curso],$A$25)),IF(COUNTIFS(TabelaNPS[Período],(IF($A178="","",IF(ISNUMBER(SEARCH("-SEM",$A178)),$A178,LEFT($A178,4)&amp;"-SEM"&amp;IF(VALUE(RIGHT($A178,2))&lt;=6,1,2)))),TabelaNPS[Curso],$A$25)&gt;0,SUMIFS(TabelaNPS[Detratores (0-6)],TabelaNPS[Período],(IF($A178="","",IF(ISNUMBER(SEARCH("-SEM",$A178)),$A178,LEFT($A178,4)&amp;"-SEM"&amp;IF(VALUE(RIGHT($A178,2))&lt;=6,1,2)))),TabelaNPS[Curso],$A$25),SUMIFS(TabelaNPS[Detratores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$25)))),0)</f>
        <v/>
      </c>
    </row>
    <row r="179">
      <c r="A179" s="343">
        <f>IF(A178="","",IF($B$4="Mensal",IF(MATCH(A178,LST_MESES,0)&gt;=MATCH(PARAMETROS!$E$9,LST_MESES,0),"",INDEX(LST_MESES,MATCH(A178,LST_MESES,0)+1)),IF(MATCH(A178,LST_SEMESTRES,0)&gt;=MATCH(PARAMETROS!$E$9,LST_SEMESTRES,0),"",INDEX(LST_SEMESTRES,MATCH(A178,LST_SEMESTRES,0)+1))))</f>
        <v/>
      </c>
      <c r="B179" s="353">
        <f>IF($A179="","",IFERROR((SUM(Q179,T179,W179,Z179,AC179,AF179,AI179,AL179,AO179)-SUM(R179,U179,X179,AA179,AD179,AG179,AJ179,AM179,AP179))/SUM(P179,S179,V179,Y179,AB179,AE179,AH179,AK179,AN179)*100,""))</f>
        <v/>
      </c>
      <c r="C179" s="351">
        <f>IFERROR(SUMPRODUCT(--(TabelaAvaliacaoDocente[Período]=(IF($A179="","",IF(ISNUMBER(SEARCH("-SEM",$A179)),$A179,LEFT($A179,4)&amp;"-SEM"&amp;IF(VALUE(RIGHT($A179,2)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179="","",IF(ISNUMBER(SEARCH("-SEM",$A179)),$A179,LEFT($A179,4)&amp;"-SEM"&amp;IF(VALUE(RIGHT($A179,2))&lt;=6,1,2))))),--((($K$4="(todos)")+(TabelaAvaliacaoDocente[Curso]=$K$4))&gt;0),--((($N$4="(todas)")+(TabelaAvaliacaoDocente[Disciplina]=$N$4))&gt;0),TabelaAvaliacaoDocente[Respondentes]),"")</f>
        <v/>
      </c>
      <c r="D179" s="354">
        <f>IF($A179="","",IFERROR((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/((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+(SUMIFS(TabelaResultadosAcademicos[Re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)*100,""))</f>
        <v/>
      </c>
      <c r="E179" s="351">
        <f>IFERROR((SUMIFS(TabelaResultadosAcademicos[Soma das nota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/(SUMIFS(TabelaResultadosAcademicos[Quantidade de nota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,"")</f>
        <v/>
      </c>
      <c r="F179" s="347">
        <f>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G179" s="347">
        <f>SUMIFS(TabelaResultadosAcademicos[Reprovados por nota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H179" s="347">
        <f>SUMIFS(TabelaResultadosAcademicos[Reprovados por falta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I179" s="353">
        <f>IF($A179="","",IFERROR(IF((SUMPRODUCT(MAX((METAS!$A$5:$A$404="DTNH-01")*(METAS!$B$5:$B$404=IF($K$4="(todos)","TOTAL",$K$4))*(METAS!$D$5:$D$404&lt;=(IF($A179="",0,IF(ISNUMBER(SEARCH("-SEM",$A179)),VALUE(LEFT($A179,4)&amp;IF(RIGHT($A179,1)="1","01","07")),VALUE(SUBSTITUTE($A179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179="",0,IF(ISNUMBER(SEARCH("-SEM",$A179)),VALUE(LEFT($A179,4)&amp;IF(RIGHT($A179,1)="1","01","07")),VALUE(SUBSTITUTE($A179,"-",""))))))*METAS!$D$5:$D$404))))*METAS!$E$5:$E$404),IF((SUMPRODUCT(MAX((METAS!$A$5:$A$404="DTNH-01")*(METAS!$B$5:$B$404="TOTAL")*(METAS!$D$5:$D$404&lt;=(IF($A179="",0,IF(ISNUMBER(SEARCH("-SEM",$A179)),VALUE(LEFT($A179,4)&amp;IF(RIGHT($A179,1)="1","01","07")),VALUE(SUBSTITUTE($A179,"-",""))))))*METAS!$D$5:$D$404)))&gt;0,SUMPRODUCT((METAS!$A$5:$A$404="DTNH-01")*(METAS!$B$5:$B$404="TOTAL")*(METAS!$D$5:$D$404=(SUMPRODUCT(MAX((METAS!$A$5:$A$404="DTNH-01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J179" s="351">
        <f>IF($A179="","",IFERROR(IF((SUMPRODUCT(MAX((METAS!$A$5:$A$404="DTNH-02")*(METAS!$B$5:$B$404=$N$6)*(METAS!$D$5:$D$404&lt;=(IF($A179="",0,IF(ISNUMBER(SEARCH("-SEM",$A179)),VALUE(LEFT($A179,4)&amp;IF(RIGHT($A179,1)="1","01","07")),VALUE(SUBSTITUTE($A179,"-",""))))))*METAS!$D$5:$D$404)))&gt;0,SUMPRODUCT((METAS!$A$5:$A$404="DTNH-02")*(METAS!$B$5:$B$404=$N$6)*(METAS!$D$5:$D$404=(SUMPRODUCT(MAX((METAS!$A$5:$A$404="DTNH-02")*(METAS!$B$5:$B$404=$N$6)*(METAS!$D$5:$D$404&lt;=(IF($A179="",0,IF(ISNUMBER(SEARCH("-SEM",$A179)),VALUE(LEFT($A179,4)&amp;IF(RIGHT($A179,1)="1","01","07")),VALUE(SUBSTITUTE($A179,"-",""))))))*METAS!$D$5:$D$404))))*METAS!$E$5:$E$404),IF((SUMPRODUCT(MAX((METAS!$A$5:$A$404="DTNH-02")*(METAS!$B$5:$B$404="TOTAL")*(METAS!$D$5:$D$404&lt;=(IF($A179="",0,IF(ISNUMBER(SEARCH("-SEM",$A179)),VALUE(LEFT($A179,4)&amp;IF(RIGHT($A179,1)="1","01","07")),VALUE(SUBSTITUTE($A179,"-",""))))))*METAS!$D$5:$D$404)))&gt;0,SUMPRODUCT((METAS!$A$5:$A$404="DTNH-02")*(METAS!$B$5:$B$404="TOTAL")*(METAS!$D$5:$D$404=(SUMPRODUCT(MAX((METAS!$A$5:$A$404="DTNH-02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K179" s="354">
        <f>IF($A179="","",IFERROR(IF((SUMPRODUCT(MAX((METAS!$A$5:$A$404="DTNH-03")*(METAS!$B$5:$B$404=$N$6)*(METAS!$D$5:$D$404&lt;=(IF($A179="",0,IF(ISNUMBER(SEARCH("-SEM",$A179)),VALUE(LEFT($A179,4)&amp;IF(RIGHT($A179,1)="1","01","07")),VALUE(SUBSTITUTE($A179,"-",""))))))*METAS!$D$5:$D$404)))&gt;0,SUMPRODUCT((METAS!$A$5:$A$404="DTNH-03")*(METAS!$B$5:$B$404=$N$6)*(METAS!$D$5:$D$404=(SUMPRODUCT(MAX((METAS!$A$5:$A$404="DTNH-03")*(METAS!$B$5:$B$404=$N$6)*(METAS!$D$5:$D$404&lt;=(IF($A179="",0,IF(ISNUMBER(SEARCH("-SEM",$A179)),VALUE(LEFT($A179,4)&amp;IF(RIGHT($A179,1)="1","01","07")),VALUE(SUBSTITUTE($A179,"-",""))))))*METAS!$D$5:$D$404))))*METAS!$E$5:$E$404),IF((SUMPRODUCT(MAX((METAS!$A$5:$A$404="DTNH-03")*(METAS!$B$5:$B$404="TOTAL")*(METAS!$D$5:$D$404&lt;=(IF($A179="",0,IF(ISNUMBER(SEARCH("-SEM",$A179)),VALUE(LEFT($A179,4)&amp;IF(RIGHT($A179,1)="1","01","07")),VALUE(SUBSTITUTE($A179,"-",""))))))*METAS!$D$5:$D$404)))&gt;0,SUMPRODUCT((METAS!$A$5:$A$404="DTNH-03")*(METAS!$B$5:$B$404="TOTAL")*(METAS!$D$5:$D$404=(SUMPRODUCT(MAX((METAS!$A$5:$A$404="DTNH-03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P179" s="291">
        <f>IF(OR($K$4="(todos)",$K$4=$A$17),IF($A$17="","",IF($B$4="Mensal",IF(COUNTIFS(TabelaNPS[Período],$A179,TabelaNPS[Curso],$A$17)&gt;0,SUMIFS(TabelaNPS[Respondentes],TabelaNPS[Período],$A179,TabelaNPS[Curso],$A$17),SUMIFS(TabelaNPS[Respondentes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Respondentes],TabelaNPS[Período],(IF($A179="","",IF(ISNUMBER(SEARCH("-SEM",$A179)),$A179,LEFT($A179,4)&amp;"-SEM"&amp;IF(VALUE(RIGHT($A179,2))&lt;=6,1,2)))),TabelaNPS[Curso],$A$17)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Q179" s="291">
        <f>IF(OR($K$4="(todos)",$K$4=$A$17),IF($A$17="","",IF($B$4="Mensal",IF(COUNTIFS(TabelaNPS[Período],$A179,TabelaNPS[Curso],$A$17)&gt;0,SUMIFS(TabelaNPS[Promotores (9-10)],TabelaNPS[Período],$A179,TabelaNPS[Curso],$A$17),SUMIFS(TabelaNPS[Promotores (9-10)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Promotores (9-10)],TabelaNPS[Período],(IF($A179="","",IF(ISNUMBER(SEARCH("-SEM",$A179)),$A179,LEFT($A179,4)&amp;"-SEM"&amp;IF(VALUE(RIGHT($A179,2))&lt;=6,1,2)))),TabelaNPS[Curso],$A$17),SUMIFS(TabelaNPS[Promotores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R179" s="291">
        <f>IF(OR($K$4="(todos)",$K$4=$A$17),IF($A$17="","",IF($B$4="Mensal",IF(COUNTIFS(TabelaNPS[Período],$A179,TabelaNPS[Curso],$A$17)&gt;0,SUMIFS(TabelaNPS[Detratores (0-6)],TabelaNPS[Período],$A179,TabelaNPS[Curso],$A$17),SUMIFS(TabelaNPS[Detratores (0-6)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Detratores (0-6)],TabelaNPS[Período],(IF($A179="","",IF(ISNUMBER(SEARCH("-SEM",$A179)),$A179,LEFT($A179,4)&amp;"-SEM"&amp;IF(VALUE(RIGHT($A179,2))&lt;=6,1,2)))),TabelaNPS[Curso],$A$17),SUMIFS(TabelaNPS[Detratores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S179" s="291">
        <f>IF(OR($K$4="(todos)",$K$4=$A$18),IF($A$18="","",IF($B$4="Mensal",IF(COUNTIFS(TabelaNPS[Período],$A179,TabelaNPS[Curso],$A$18)&gt;0,SUMIFS(TabelaNPS[Respondentes],TabelaNPS[Período],$A179,TabelaNPS[Curso],$A$18),SUMIFS(TabelaNPS[Respondentes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Respondentes],TabelaNPS[Período],(IF($A179="","",IF(ISNUMBER(SEARCH("-SEM",$A179)),$A179,LEFT($A179,4)&amp;"-SEM"&amp;IF(VALUE(RIGHT($A179,2))&lt;=6,1,2)))),TabelaNPS[Curso],$A$18)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T179" s="291">
        <f>IF(OR($K$4="(todos)",$K$4=$A$18),IF($A$18="","",IF($B$4="Mensal",IF(COUNTIFS(TabelaNPS[Período],$A179,TabelaNPS[Curso],$A$18)&gt;0,SUMIFS(TabelaNPS[Promotores (9-10)],TabelaNPS[Período],$A179,TabelaNPS[Curso],$A$18),SUMIFS(TabelaNPS[Promotores (9-10)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Promotores (9-10)],TabelaNPS[Período],(IF($A179="","",IF(ISNUMBER(SEARCH("-SEM",$A179)),$A179,LEFT($A179,4)&amp;"-SEM"&amp;IF(VALUE(RIGHT($A179,2))&lt;=6,1,2)))),TabelaNPS[Curso],$A$18),SUMIFS(TabelaNPS[Promotores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U179" s="291">
        <f>IF(OR($K$4="(todos)",$K$4=$A$18),IF($A$18="","",IF($B$4="Mensal",IF(COUNTIFS(TabelaNPS[Período],$A179,TabelaNPS[Curso],$A$18)&gt;0,SUMIFS(TabelaNPS[Detratores (0-6)],TabelaNPS[Período],$A179,TabelaNPS[Curso],$A$18),SUMIFS(TabelaNPS[Detratores (0-6)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Detratores (0-6)],TabelaNPS[Período],(IF($A179="","",IF(ISNUMBER(SEARCH("-SEM",$A179)),$A179,LEFT($A179,4)&amp;"-SEM"&amp;IF(VALUE(RIGHT($A179,2))&lt;=6,1,2)))),TabelaNPS[Curso],$A$18),SUMIFS(TabelaNPS[Detratores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V179" s="291">
        <f>IF(OR($K$4="(todos)",$K$4=$A$19),IF($A$19="","",IF($B$4="Mensal",IF(COUNTIFS(TabelaNPS[Período],$A179,TabelaNPS[Curso],$A$19)&gt;0,SUMIFS(TabelaNPS[Respondentes],TabelaNPS[Período],$A179,TabelaNPS[Curso],$A$19),SUMIFS(TabelaNPS[Respondentes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Respondentes],TabelaNPS[Período],(IF($A179="","",IF(ISNUMBER(SEARCH("-SEM",$A179)),$A179,LEFT($A179,4)&amp;"-SEM"&amp;IF(VALUE(RIGHT($A179,2))&lt;=6,1,2)))),TabelaNPS[Curso],$A$19)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W179" s="291">
        <f>IF(OR($K$4="(todos)",$K$4=$A$19),IF($A$19="","",IF($B$4="Mensal",IF(COUNTIFS(TabelaNPS[Período],$A179,TabelaNPS[Curso],$A$19)&gt;0,SUMIFS(TabelaNPS[Promotores (9-10)],TabelaNPS[Período],$A179,TabelaNPS[Curso],$A$19),SUMIFS(TabelaNPS[Promotores (9-10)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Promotores (9-10)],TabelaNPS[Período],(IF($A179="","",IF(ISNUMBER(SEARCH("-SEM",$A179)),$A179,LEFT($A179,4)&amp;"-SEM"&amp;IF(VALUE(RIGHT($A179,2))&lt;=6,1,2)))),TabelaNPS[Curso],$A$19),SUMIFS(TabelaNPS[Promotores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X179" s="291">
        <f>IF(OR($K$4="(todos)",$K$4=$A$19),IF($A$19="","",IF($B$4="Mensal",IF(COUNTIFS(TabelaNPS[Período],$A179,TabelaNPS[Curso],$A$19)&gt;0,SUMIFS(TabelaNPS[Detratores (0-6)],TabelaNPS[Período],$A179,TabelaNPS[Curso],$A$19),SUMIFS(TabelaNPS[Detratores (0-6)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Detratores (0-6)],TabelaNPS[Período],(IF($A179="","",IF(ISNUMBER(SEARCH("-SEM",$A179)),$A179,LEFT($A179,4)&amp;"-SEM"&amp;IF(VALUE(RIGHT($A179,2))&lt;=6,1,2)))),TabelaNPS[Curso],$A$19),SUMIFS(TabelaNPS[Detratores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Y179" s="291">
        <f>IF(OR($K$4="(todos)",$K$4=$A$20),IF($A$20="","",IF($B$4="Mensal",IF(COUNTIFS(TabelaNPS[Período],$A179,TabelaNPS[Curso],$A$20)&gt;0,SUMIFS(TabelaNPS[Respondentes],TabelaNPS[Período],$A179,TabelaNPS[Curso],$A$20),SUMIFS(TabelaNPS[Respondentes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Respondentes],TabelaNPS[Período],(IF($A179="","",IF(ISNUMBER(SEARCH("-SEM",$A179)),$A179,LEFT($A179,4)&amp;"-SEM"&amp;IF(VALUE(RIGHT($A179,2))&lt;=6,1,2)))),TabelaNPS[Curso],$A$20)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Z179" s="291">
        <f>IF(OR($K$4="(todos)",$K$4=$A$20),IF($A$20="","",IF($B$4="Mensal",IF(COUNTIFS(TabelaNPS[Período],$A179,TabelaNPS[Curso],$A$20)&gt;0,SUMIFS(TabelaNPS[Promotores (9-10)],TabelaNPS[Período],$A179,TabelaNPS[Curso],$A$20),SUMIFS(TabelaNPS[Promotores (9-10)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Promotores (9-10)],TabelaNPS[Período],(IF($A179="","",IF(ISNUMBER(SEARCH("-SEM",$A179)),$A179,LEFT($A179,4)&amp;"-SEM"&amp;IF(VALUE(RIGHT($A179,2))&lt;=6,1,2)))),TabelaNPS[Curso],$A$20),SUMIFS(TabelaNPS[Promotores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AA179" s="291">
        <f>IF(OR($K$4="(todos)",$K$4=$A$20),IF($A$20="","",IF($B$4="Mensal",IF(COUNTIFS(TabelaNPS[Período],$A179,TabelaNPS[Curso],$A$20)&gt;0,SUMIFS(TabelaNPS[Detratores (0-6)],TabelaNPS[Período],$A179,TabelaNPS[Curso],$A$20),SUMIFS(TabelaNPS[Detratores (0-6)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Detratores (0-6)],TabelaNPS[Período],(IF($A179="","",IF(ISNUMBER(SEARCH("-SEM",$A179)),$A179,LEFT($A179,4)&amp;"-SEM"&amp;IF(VALUE(RIGHT($A179,2))&lt;=6,1,2)))),TabelaNPS[Curso],$A$20),SUMIFS(TabelaNPS[Detratores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AB179" s="291">
        <f>IF(OR($K$4="(todos)",$K$4=$A$21),IF($A$21="","",IF($B$4="Mensal",IF(COUNTIFS(TabelaNPS[Período],$A179,TabelaNPS[Curso],$A$21)&gt;0,SUMIFS(TabelaNPS[Respondentes],TabelaNPS[Período],$A179,TabelaNPS[Curso],$A$21),SUMIFS(TabelaNPS[Respondentes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Respondentes],TabelaNPS[Período],(IF($A179="","",IF(ISNUMBER(SEARCH("-SEM",$A179)),$A179,LEFT($A179,4)&amp;"-SEM"&amp;IF(VALUE(RIGHT($A179,2))&lt;=6,1,2)))),TabelaNPS[Curso],$A$21)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C179" s="291">
        <f>IF(OR($K$4="(todos)",$K$4=$A$21),IF($A$21="","",IF($B$4="Mensal",IF(COUNTIFS(TabelaNPS[Período],$A179,TabelaNPS[Curso],$A$21)&gt;0,SUMIFS(TabelaNPS[Promotores (9-10)],TabelaNPS[Período],$A179,TabelaNPS[Curso],$A$21),SUMIFS(TabelaNPS[Promotores (9-10)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Promotores (9-10)],TabelaNPS[Período],(IF($A179="","",IF(ISNUMBER(SEARCH("-SEM",$A179)),$A179,LEFT($A179,4)&amp;"-SEM"&amp;IF(VALUE(RIGHT($A179,2))&lt;=6,1,2)))),TabelaNPS[Curso],$A$21),SUMIFS(TabelaNPS[Promotores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D179" s="291">
        <f>IF(OR($K$4="(todos)",$K$4=$A$21),IF($A$21="","",IF($B$4="Mensal",IF(COUNTIFS(TabelaNPS[Período],$A179,TabelaNPS[Curso],$A$21)&gt;0,SUMIFS(TabelaNPS[Detratores (0-6)],TabelaNPS[Período],$A179,TabelaNPS[Curso],$A$21),SUMIFS(TabelaNPS[Detratores (0-6)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Detratores (0-6)],TabelaNPS[Período],(IF($A179="","",IF(ISNUMBER(SEARCH("-SEM",$A179)),$A179,LEFT($A179,4)&amp;"-SEM"&amp;IF(VALUE(RIGHT($A179,2))&lt;=6,1,2)))),TabelaNPS[Curso],$A$21),SUMIFS(TabelaNPS[Detratores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E179" s="291">
        <f>IF(OR($K$4="(todos)",$K$4=$A$22),IF($A$22="","",IF($B$4="Mensal",IF(COUNTIFS(TabelaNPS[Período],$A179,TabelaNPS[Curso],$A$22)&gt;0,SUMIFS(TabelaNPS[Respondentes],TabelaNPS[Período],$A179,TabelaNPS[Curso],$A$22),SUMIFS(TabelaNPS[Respondentes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Respondentes],TabelaNPS[Período],(IF($A179="","",IF(ISNUMBER(SEARCH("-SEM",$A179)),$A179,LEFT($A179,4)&amp;"-SEM"&amp;IF(VALUE(RIGHT($A179,2))&lt;=6,1,2)))),TabelaNPS[Curso],$A$22)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F179" s="291">
        <f>IF(OR($K$4="(todos)",$K$4=$A$22),IF($A$22="","",IF($B$4="Mensal",IF(COUNTIFS(TabelaNPS[Período],$A179,TabelaNPS[Curso],$A$22)&gt;0,SUMIFS(TabelaNPS[Promotores (9-10)],TabelaNPS[Período],$A179,TabelaNPS[Curso],$A$22),SUMIFS(TabelaNPS[Promotores (9-10)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Promotores (9-10)],TabelaNPS[Período],(IF($A179="","",IF(ISNUMBER(SEARCH("-SEM",$A179)),$A179,LEFT($A179,4)&amp;"-SEM"&amp;IF(VALUE(RIGHT($A179,2))&lt;=6,1,2)))),TabelaNPS[Curso],$A$22),SUMIFS(TabelaNPS[Promotores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G179" s="291">
        <f>IF(OR($K$4="(todos)",$K$4=$A$22),IF($A$22="","",IF($B$4="Mensal",IF(COUNTIFS(TabelaNPS[Período],$A179,TabelaNPS[Curso],$A$22)&gt;0,SUMIFS(TabelaNPS[Detratores (0-6)],TabelaNPS[Período],$A179,TabelaNPS[Curso],$A$22),SUMIFS(TabelaNPS[Detratores (0-6)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Detratores (0-6)],TabelaNPS[Período],(IF($A179="","",IF(ISNUMBER(SEARCH("-SEM",$A179)),$A179,LEFT($A179,4)&amp;"-SEM"&amp;IF(VALUE(RIGHT($A179,2))&lt;=6,1,2)))),TabelaNPS[Curso],$A$22),SUMIFS(TabelaNPS[Detratores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H179" s="291">
        <f>IF(OR($K$4="(todos)",$K$4=$A$23),IF($A$23="","",IF($B$4="Mensal",IF(COUNTIFS(TabelaNPS[Período],$A179,TabelaNPS[Curso],$A$23)&gt;0,SUMIFS(TabelaNPS[Respondentes],TabelaNPS[Período],$A179,TabelaNPS[Curso],$A$23),SUMIFS(TabelaNPS[Respondentes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Respondentes],TabelaNPS[Período],(IF($A179="","",IF(ISNUMBER(SEARCH("-SEM",$A179)),$A179,LEFT($A179,4)&amp;"-SEM"&amp;IF(VALUE(RIGHT($A179,2))&lt;=6,1,2)))),TabelaNPS[Curso],$A$23)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I179" s="291">
        <f>IF(OR($K$4="(todos)",$K$4=$A$23),IF($A$23="","",IF($B$4="Mensal",IF(COUNTIFS(TabelaNPS[Período],$A179,TabelaNPS[Curso],$A$23)&gt;0,SUMIFS(TabelaNPS[Promotores (9-10)],TabelaNPS[Período],$A179,TabelaNPS[Curso],$A$23),SUMIFS(TabelaNPS[Promotores (9-10)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Promotores (9-10)],TabelaNPS[Período],(IF($A179="","",IF(ISNUMBER(SEARCH("-SEM",$A179)),$A179,LEFT($A179,4)&amp;"-SEM"&amp;IF(VALUE(RIGHT($A179,2))&lt;=6,1,2)))),TabelaNPS[Curso],$A$23),SUMIFS(TabelaNPS[Promotores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J179" s="291">
        <f>IF(OR($K$4="(todos)",$K$4=$A$23),IF($A$23="","",IF($B$4="Mensal",IF(COUNTIFS(TabelaNPS[Período],$A179,TabelaNPS[Curso],$A$23)&gt;0,SUMIFS(TabelaNPS[Detratores (0-6)],TabelaNPS[Período],$A179,TabelaNPS[Curso],$A$23),SUMIFS(TabelaNPS[Detratores (0-6)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Detratores (0-6)],TabelaNPS[Período],(IF($A179="","",IF(ISNUMBER(SEARCH("-SEM",$A179)),$A179,LEFT($A179,4)&amp;"-SEM"&amp;IF(VALUE(RIGHT($A179,2))&lt;=6,1,2)))),TabelaNPS[Curso],$A$23),SUMIFS(TabelaNPS[Detratores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K179" s="291">
        <f>IF(OR($K$4="(todos)",$K$4=$A$24),IF($A$24="","",IF($B$4="Mensal",IF(COUNTIFS(TabelaNPS[Período],$A179,TabelaNPS[Curso],$A$24)&gt;0,SUMIFS(TabelaNPS[Respondentes],TabelaNPS[Período],$A179,TabelaNPS[Curso],$A$24),SUMIFS(TabelaNPS[Respondentes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Respondentes],TabelaNPS[Período],(IF($A179="","",IF(ISNUMBER(SEARCH("-SEM",$A179)),$A179,LEFT($A179,4)&amp;"-SEM"&amp;IF(VALUE(RIGHT($A179,2))&lt;=6,1,2)))),TabelaNPS[Curso],$A$24)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  <c r="AL179" s="291">
        <f>IF(OR($K$4="(todos)",$K$4=$A$24),IF($A$24="","",IF($B$4="Mensal",IF(COUNTIFS(TabelaNPS[Período],$A179,TabelaNPS[Curso],$A$24)&gt;0,SUMIFS(TabelaNPS[Promotores (9-10)],TabelaNPS[Período],$A179,TabelaNPS[Curso],$A$24),SUMIFS(TabelaNPS[Promotores (9-10)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Promotores (9-10)],TabelaNPS[Período],(IF($A179="","",IF(ISNUMBER(SEARCH("-SEM",$A179)),$A179,LEFT($A179,4)&amp;"-SEM"&amp;IF(VALUE(RIGHT($A179,2))&lt;=6,1,2)))),TabelaNPS[Curso],$A$24),SUMIFS(TabelaNPS[Promotores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  <c r="AM179" s="291">
        <f>IF(OR($K$4="(todos)",$K$4=$A$24),IF($A$24="","",IF($B$4="Mensal",IF(COUNTIFS(TabelaNPS[Período],$A179,TabelaNPS[Curso],$A$24)&gt;0,SUMIFS(TabelaNPS[Detratores (0-6)],TabelaNPS[Período],$A179,TabelaNPS[Curso],$A$24),SUMIFS(TabelaNPS[Detratores (0-6)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Detratores (0-6)],TabelaNPS[Período],(IF($A179="","",IF(ISNUMBER(SEARCH("-SEM",$A179)),$A179,LEFT($A179,4)&amp;"-SEM"&amp;IF(VALUE(RIGHT($A179,2))&lt;=6,1,2)))),TabelaNPS[Curso],$A$24),SUMIFS(TabelaNPS[Detratores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  <c r="AN179" s="291">
        <f>IF(OR($K$4="(todos)",$K$4=$A$25),IF($A$25="","",IF($B$4="Mensal",IF(COUNTIFS(TabelaNPS[Período],$A179,TabelaNPS[Curso],$A$25)&gt;0,SUMIFS(TabelaNPS[Respondentes],TabelaNPS[Período],$A179,TabelaNPS[Curso],$A$25),SUMIFS(TabelaNPS[Respondentes],TabelaNPS[Período],(IF($A179="","",IF(ISNUMBER(SEARCH("-SEM",$A179)),$A179,LEFT($A179,4)&amp;"-SEM"&amp;IF(VALUE(RIGHT($A179,2))&lt;=6,1,2)))),TabelaNPS[Curso],$A$25)),IF(COUNTIFS(TabelaNPS[Período],(IF($A179="","",IF(ISNUMBER(SEARCH("-SEM",$A179)),$A179,LEFT($A179,4)&amp;"-SEM"&amp;IF(VALUE(RIGHT($A179,2))&lt;=6,1,2)))),TabelaNPS[Curso],$A$25)&gt;0,SUMIFS(TabelaNPS[Respondentes],TabelaNPS[Período],(IF($A179="","",IF(ISNUMBER(SEARCH("-SEM",$A179)),$A179,LEFT($A179,4)&amp;"-SEM"&amp;IF(VALUE(RIGHT($A179,2))&lt;=6,1,2)))),TabelaNPS[Curso],$A$25)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$25)))),0)</f>
        <v/>
      </c>
      <c r="AO179" s="291">
        <f>IF(OR($K$4="(todos)",$K$4=$A$25),IF($A$25="","",IF($B$4="Mensal",IF(COUNTIFS(TabelaNPS[Período],$A179,TabelaNPS[Curso],$A$25)&gt;0,SUMIFS(TabelaNPS[Promotores (9-10)],TabelaNPS[Período],$A179,TabelaNPS[Curso],$A$25),SUMIFS(TabelaNPS[Promotores (9-10)],TabelaNPS[Período],(IF($A179="","",IF(ISNUMBER(SEARCH("-SEM",$A179)),$A179,LEFT($A179,4)&amp;"-SEM"&amp;IF(VALUE(RIGHT($A179,2))&lt;=6,1,2)))),TabelaNPS[Curso],$A$25)),IF(COUNTIFS(TabelaNPS[Período],(IF($A179="","",IF(ISNUMBER(SEARCH("-SEM",$A179)),$A179,LEFT($A179,4)&amp;"-SEM"&amp;IF(VALUE(RIGHT($A179,2))&lt;=6,1,2)))),TabelaNPS[Curso],$A$25)&gt;0,SUMIFS(TabelaNPS[Promotores (9-10)],TabelaNPS[Período],(IF($A179="","",IF(ISNUMBER(SEARCH("-SEM",$A179)),$A179,LEFT($A179,4)&amp;"-SEM"&amp;IF(VALUE(RIGHT($A179,2))&lt;=6,1,2)))),TabelaNPS[Curso],$A$25),SUMIFS(TabelaNPS[Promotores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$25)))),0)</f>
        <v/>
      </c>
      <c r="AP179" s="291">
        <f>IF(OR($K$4="(todos)",$K$4=$A$25),IF($A$25="","",IF($B$4="Mensal",IF(COUNTIFS(TabelaNPS[Período],$A179,TabelaNPS[Curso],$A$25)&gt;0,SUMIFS(TabelaNPS[Detratores (0-6)],TabelaNPS[Período],$A179,TabelaNPS[Curso],$A$25),SUMIFS(TabelaNPS[Detratores (0-6)],TabelaNPS[Período],(IF($A179="","",IF(ISNUMBER(SEARCH("-SEM",$A179)),$A179,LEFT($A179,4)&amp;"-SEM"&amp;IF(VALUE(RIGHT($A179,2))&lt;=6,1,2)))),TabelaNPS[Curso],$A$25)),IF(COUNTIFS(TabelaNPS[Período],(IF($A179="","",IF(ISNUMBER(SEARCH("-SEM",$A179)),$A179,LEFT($A179,4)&amp;"-SEM"&amp;IF(VALUE(RIGHT($A179,2))&lt;=6,1,2)))),TabelaNPS[Curso],$A$25)&gt;0,SUMIFS(TabelaNPS[Detratores (0-6)],TabelaNPS[Período],(IF($A179="","",IF(ISNUMBER(SEARCH("-SEM",$A179)),$A179,LEFT($A179,4)&amp;"-SEM"&amp;IF(VALUE(RIGHT($A179,2))&lt;=6,1,2)))),TabelaNPS[Curso],$A$25),SUMIFS(TabelaNPS[Detratores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$25)))),0)</f>
        <v/>
      </c>
    </row>
    <row r="180">
      <c r="A180" s="343">
        <f>IF(A179="","",IF($B$4="Mensal",IF(MATCH(A179,LST_MESES,0)&gt;=MATCH(PARAMETROS!$E$9,LST_MESES,0),"",INDEX(LST_MESES,MATCH(A179,LST_MESES,0)+1)),IF(MATCH(A179,LST_SEMESTRES,0)&gt;=MATCH(PARAMETROS!$E$9,LST_SEMESTRES,0),"",INDEX(LST_SEMESTRES,MATCH(A179,LST_SEMESTRES,0)+1))))</f>
        <v/>
      </c>
      <c r="B180" s="353">
        <f>IF($A180="","",IFERROR((SUM(Q180,T180,W180,Z180,AC180,AF180,AI180,AL180,AO180)-SUM(R180,U180,X180,AA180,AD180,AG180,AJ180,AM180,AP180))/SUM(P180,S180,V180,Y180,AB180,AE180,AH180,AK180,AN180)*100,""))</f>
        <v/>
      </c>
      <c r="C180" s="351">
        <f>IFERROR(SUMPRODUCT(--(TabelaAvaliacaoDocente[Período]=(IF($A180="","",IF(ISNUMBER(SEARCH("-SEM",$A180)),$A180,LEFT($A180,4)&amp;"-SEM"&amp;IF(VALUE(RIGHT($A180,2)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180="","",IF(ISNUMBER(SEARCH("-SEM",$A180)),$A180,LEFT($A180,4)&amp;"-SEM"&amp;IF(VALUE(RIGHT($A180,2))&lt;=6,1,2))))),--((($K$4="(todos)")+(TabelaAvaliacaoDocente[Curso]=$K$4))&gt;0),--((($N$4="(todas)")+(TabelaAvaliacaoDocente[Disciplina]=$N$4))&gt;0),TabelaAvaliacaoDocente[Respondentes]),"")</f>
        <v/>
      </c>
      <c r="D180" s="354">
        <f>IF($A180="","",IFERROR((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/((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+(SUMIFS(TabelaResultadosAcademicos[Re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)*100,""))</f>
        <v/>
      </c>
      <c r="E180" s="351">
        <f>IFERROR((SUMIFS(TabelaResultadosAcademicos[Soma das nota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/(SUMIFS(TabelaResultadosAcademicos[Quantidade de nota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,"")</f>
        <v/>
      </c>
      <c r="F180" s="347">
        <f>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G180" s="347">
        <f>SUMIFS(TabelaResultadosAcademicos[Reprovados por nota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H180" s="347">
        <f>SUMIFS(TabelaResultadosAcademicos[Reprovados por falta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I180" s="353">
        <f>IF($A180="","",IFERROR(IF((SUMPRODUCT(MAX((METAS!$A$5:$A$404="DTNH-01")*(METAS!$B$5:$B$404=IF($K$4="(todos)","TOTAL",$K$4))*(METAS!$D$5:$D$404&lt;=(IF($A180="",0,IF(ISNUMBER(SEARCH("-SEM",$A180)),VALUE(LEFT($A180,4)&amp;IF(RIGHT($A180,1)="1","01","07")),VALUE(SUBSTITUTE($A180,"-",""))))))*METAS!$D$5:$D$404)))&gt;0,SUMPRODUCT((METAS!$A$5:$A$404="DTNH-01")*(METAS!$B$5:$B$404=IF($K$4="(todos)","TOTAL",$K$4))*(METAS!$D$5:$D$404=(SUMPRODUCT(MAX((METAS!$A$5:$A$404="DTNH-01")*(METAS!$B$5:$B$404=IF($K$4="(todos)","TOTAL",$K$4))*(METAS!$D$5:$D$404&lt;=(IF($A180="",0,IF(ISNUMBER(SEARCH("-SEM",$A180)),VALUE(LEFT($A180,4)&amp;IF(RIGHT($A180,1)="1","01","07")),VALUE(SUBSTITUTE($A180,"-",""))))))*METAS!$D$5:$D$404))))*METAS!$E$5:$E$404),IF((SUMPRODUCT(MAX((METAS!$A$5:$A$404="DTNH-01")*(METAS!$B$5:$B$404="TOTAL")*(METAS!$D$5:$D$404&lt;=(IF($A180="",0,IF(ISNUMBER(SEARCH("-SEM",$A180)),VALUE(LEFT($A180,4)&amp;IF(RIGHT($A180,1)="1","01","07")),VALUE(SUBSTITUTE($A180,"-",""))))))*METAS!$D$5:$D$404)))&gt;0,SUMPRODUCT((METAS!$A$5:$A$404="DTNH-01")*(METAS!$B$5:$B$404="TOTAL")*(METAS!$D$5:$D$404=(SUMPRODUCT(MAX((METAS!$A$5:$A$404="DTNH-01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J180" s="351">
        <f>IF($A180="","",IFERROR(IF((SUMPRODUCT(MAX((METAS!$A$5:$A$404="DTNH-02")*(METAS!$B$5:$B$404=$N$6)*(METAS!$D$5:$D$404&lt;=(IF($A180="",0,IF(ISNUMBER(SEARCH("-SEM",$A180)),VALUE(LEFT($A180,4)&amp;IF(RIGHT($A180,1)="1","01","07")),VALUE(SUBSTITUTE($A180,"-",""))))))*METAS!$D$5:$D$404)))&gt;0,SUMPRODUCT((METAS!$A$5:$A$404="DTNH-02")*(METAS!$B$5:$B$404=$N$6)*(METAS!$D$5:$D$404=(SUMPRODUCT(MAX((METAS!$A$5:$A$404="DTNH-02")*(METAS!$B$5:$B$404=$N$6)*(METAS!$D$5:$D$404&lt;=(IF($A180="",0,IF(ISNUMBER(SEARCH("-SEM",$A180)),VALUE(LEFT($A180,4)&amp;IF(RIGHT($A180,1)="1","01","07")),VALUE(SUBSTITUTE($A180,"-",""))))))*METAS!$D$5:$D$404))))*METAS!$E$5:$E$404),IF((SUMPRODUCT(MAX((METAS!$A$5:$A$404="DTNH-02")*(METAS!$B$5:$B$404="TOTAL")*(METAS!$D$5:$D$404&lt;=(IF($A180="",0,IF(ISNUMBER(SEARCH("-SEM",$A180)),VALUE(LEFT($A180,4)&amp;IF(RIGHT($A180,1)="1","01","07")),VALUE(SUBSTITUTE($A180,"-",""))))))*METAS!$D$5:$D$404)))&gt;0,SUMPRODUCT((METAS!$A$5:$A$404="DTNH-02")*(METAS!$B$5:$B$404="TOTAL")*(METAS!$D$5:$D$404=(SUMPRODUCT(MAX((METAS!$A$5:$A$404="DTNH-02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K180" s="354">
        <f>IF($A180="","",IFERROR(IF((SUMPRODUCT(MAX((METAS!$A$5:$A$404="DTNH-03")*(METAS!$B$5:$B$404=$N$6)*(METAS!$D$5:$D$404&lt;=(IF($A180="",0,IF(ISNUMBER(SEARCH("-SEM",$A180)),VALUE(LEFT($A180,4)&amp;IF(RIGHT($A180,1)="1","01","07")),VALUE(SUBSTITUTE($A180,"-",""))))))*METAS!$D$5:$D$404)))&gt;0,SUMPRODUCT((METAS!$A$5:$A$404="DTNH-03")*(METAS!$B$5:$B$404=$N$6)*(METAS!$D$5:$D$404=(SUMPRODUCT(MAX((METAS!$A$5:$A$404="DTNH-03")*(METAS!$B$5:$B$404=$N$6)*(METAS!$D$5:$D$404&lt;=(IF($A180="",0,IF(ISNUMBER(SEARCH("-SEM",$A180)),VALUE(LEFT($A180,4)&amp;IF(RIGHT($A180,1)="1","01","07")),VALUE(SUBSTITUTE($A180,"-",""))))))*METAS!$D$5:$D$404))))*METAS!$E$5:$E$404),IF((SUMPRODUCT(MAX((METAS!$A$5:$A$404="DTNH-03")*(METAS!$B$5:$B$404="TOTAL")*(METAS!$D$5:$D$404&lt;=(IF($A180="",0,IF(ISNUMBER(SEARCH("-SEM",$A180)),VALUE(LEFT($A180,4)&amp;IF(RIGHT($A180,1)="1","01","07")),VALUE(SUBSTITUTE($A180,"-",""))))))*METAS!$D$5:$D$404)))&gt;0,SUMPRODUCT((METAS!$A$5:$A$404="DTNH-03")*(METAS!$B$5:$B$404="TOTAL")*(METAS!$D$5:$D$404=(SUMPRODUCT(MAX((METAS!$A$5:$A$404="DTNH-03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P180" s="291">
        <f>IF(OR($K$4="(todos)",$K$4=$A$17),IF($A$17="","",IF($B$4="Mensal",IF(COUNTIFS(TabelaNPS[Período],$A180,TabelaNPS[Curso],$A$17)&gt;0,SUMIFS(TabelaNPS[Respondentes],TabelaNPS[Período],$A180,TabelaNPS[Curso],$A$17),SUMIFS(TabelaNPS[Respondentes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Respondentes],TabelaNPS[Período],(IF($A180="","",IF(ISNUMBER(SEARCH("-SEM",$A180)),$A180,LEFT($A180,4)&amp;"-SEM"&amp;IF(VALUE(RIGHT($A180,2))&lt;=6,1,2)))),TabelaNPS[Curso],$A$17)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Q180" s="291">
        <f>IF(OR($K$4="(todos)",$K$4=$A$17),IF($A$17="","",IF($B$4="Mensal",IF(COUNTIFS(TabelaNPS[Período],$A180,TabelaNPS[Curso],$A$17)&gt;0,SUMIFS(TabelaNPS[Promotores (9-10)],TabelaNPS[Período],$A180,TabelaNPS[Curso],$A$17),SUMIFS(TabelaNPS[Promotores (9-10)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Promotores (9-10)],TabelaNPS[Período],(IF($A180="","",IF(ISNUMBER(SEARCH("-SEM",$A180)),$A180,LEFT($A180,4)&amp;"-SEM"&amp;IF(VALUE(RIGHT($A180,2))&lt;=6,1,2)))),TabelaNPS[Curso],$A$17),SUMIFS(TabelaNPS[Promotores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R180" s="291">
        <f>IF(OR($K$4="(todos)",$K$4=$A$17),IF($A$17="","",IF($B$4="Mensal",IF(COUNTIFS(TabelaNPS[Período],$A180,TabelaNPS[Curso],$A$17)&gt;0,SUMIFS(TabelaNPS[Detratores (0-6)],TabelaNPS[Período],$A180,TabelaNPS[Curso],$A$17),SUMIFS(TabelaNPS[Detratores (0-6)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Detratores (0-6)],TabelaNPS[Período],(IF($A180="","",IF(ISNUMBER(SEARCH("-SEM",$A180)),$A180,LEFT($A180,4)&amp;"-SEM"&amp;IF(VALUE(RIGHT($A180,2))&lt;=6,1,2)))),TabelaNPS[Curso],$A$17),SUMIFS(TabelaNPS[Detratores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S180" s="291">
        <f>IF(OR($K$4="(todos)",$K$4=$A$18),IF($A$18="","",IF($B$4="Mensal",IF(COUNTIFS(TabelaNPS[Período],$A180,TabelaNPS[Curso],$A$18)&gt;0,SUMIFS(TabelaNPS[Respondentes],TabelaNPS[Período],$A180,TabelaNPS[Curso],$A$18),SUMIFS(TabelaNPS[Respondentes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Respondentes],TabelaNPS[Período],(IF($A180="","",IF(ISNUMBER(SEARCH("-SEM",$A180)),$A180,LEFT($A180,4)&amp;"-SEM"&amp;IF(VALUE(RIGHT($A180,2))&lt;=6,1,2)))),TabelaNPS[Curso],$A$18)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T180" s="291">
        <f>IF(OR($K$4="(todos)",$K$4=$A$18),IF($A$18="","",IF($B$4="Mensal",IF(COUNTIFS(TabelaNPS[Período],$A180,TabelaNPS[Curso],$A$18)&gt;0,SUMIFS(TabelaNPS[Promotores (9-10)],TabelaNPS[Período],$A180,TabelaNPS[Curso],$A$18),SUMIFS(TabelaNPS[Promotores (9-10)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Promotores (9-10)],TabelaNPS[Período],(IF($A180="","",IF(ISNUMBER(SEARCH("-SEM",$A180)),$A180,LEFT($A180,4)&amp;"-SEM"&amp;IF(VALUE(RIGHT($A180,2))&lt;=6,1,2)))),TabelaNPS[Curso],$A$18),SUMIFS(TabelaNPS[Promotores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U180" s="291">
        <f>IF(OR($K$4="(todos)",$K$4=$A$18),IF($A$18="","",IF($B$4="Mensal",IF(COUNTIFS(TabelaNPS[Período],$A180,TabelaNPS[Curso],$A$18)&gt;0,SUMIFS(TabelaNPS[Detratores (0-6)],TabelaNPS[Período],$A180,TabelaNPS[Curso],$A$18),SUMIFS(TabelaNPS[Detratores (0-6)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Detratores (0-6)],TabelaNPS[Período],(IF($A180="","",IF(ISNUMBER(SEARCH("-SEM",$A180)),$A180,LEFT($A180,4)&amp;"-SEM"&amp;IF(VALUE(RIGHT($A180,2))&lt;=6,1,2)))),TabelaNPS[Curso],$A$18),SUMIFS(TabelaNPS[Detratores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V180" s="291">
        <f>IF(OR($K$4="(todos)",$K$4=$A$19),IF($A$19="","",IF($B$4="Mensal",IF(COUNTIFS(TabelaNPS[Período],$A180,TabelaNPS[Curso],$A$19)&gt;0,SUMIFS(TabelaNPS[Respondentes],TabelaNPS[Período],$A180,TabelaNPS[Curso],$A$19),SUMIFS(TabelaNPS[Respondentes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Respondentes],TabelaNPS[Período],(IF($A180="","",IF(ISNUMBER(SEARCH("-SEM",$A180)),$A180,LEFT($A180,4)&amp;"-SEM"&amp;IF(VALUE(RIGHT($A180,2))&lt;=6,1,2)))),TabelaNPS[Curso],$A$19)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W180" s="291">
        <f>IF(OR($K$4="(todos)",$K$4=$A$19),IF($A$19="","",IF($B$4="Mensal",IF(COUNTIFS(TabelaNPS[Período],$A180,TabelaNPS[Curso],$A$19)&gt;0,SUMIFS(TabelaNPS[Promotores (9-10)],TabelaNPS[Período],$A180,TabelaNPS[Curso],$A$19),SUMIFS(TabelaNPS[Promotores (9-10)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Promotores (9-10)],TabelaNPS[Período],(IF($A180="","",IF(ISNUMBER(SEARCH("-SEM",$A180)),$A180,LEFT($A180,4)&amp;"-SEM"&amp;IF(VALUE(RIGHT($A180,2))&lt;=6,1,2)))),TabelaNPS[Curso],$A$19),SUMIFS(TabelaNPS[Promotores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X180" s="291">
        <f>IF(OR($K$4="(todos)",$K$4=$A$19),IF($A$19="","",IF($B$4="Mensal",IF(COUNTIFS(TabelaNPS[Período],$A180,TabelaNPS[Curso],$A$19)&gt;0,SUMIFS(TabelaNPS[Detratores (0-6)],TabelaNPS[Período],$A180,TabelaNPS[Curso],$A$19),SUMIFS(TabelaNPS[Detratores (0-6)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Detratores (0-6)],TabelaNPS[Período],(IF($A180="","",IF(ISNUMBER(SEARCH("-SEM",$A180)),$A180,LEFT($A180,4)&amp;"-SEM"&amp;IF(VALUE(RIGHT($A180,2))&lt;=6,1,2)))),TabelaNPS[Curso],$A$19),SUMIFS(TabelaNPS[Detratores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Y180" s="291">
        <f>IF(OR($K$4="(todos)",$K$4=$A$20),IF($A$20="","",IF($B$4="Mensal",IF(COUNTIFS(TabelaNPS[Período],$A180,TabelaNPS[Curso],$A$20)&gt;0,SUMIFS(TabelaNPS[Respondentes],TabelaNPS[Período],$A180,TabelaNPS[Curso],$A$20),SUMIFS(TabelaNPS[Respondentes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Respondentes],TabelaNPS[Período],(IF($A180="","",IF(ISNUMBER(SEARCH("-SEM",$A180)),$A180,LEFT($A180,4)&amp;"-SEM"&amp;IF(VALUE(RIGHT($A180,2))&lt;=6,1,2)))),TabelaNPS[Curso],$A$20)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Z180" s="291">
        <f>IF(OR($K$4="(todos)",$K$4=$A$20),IF($A$20="","",IF($B$4="Mensal",IF(COUNTIFS(TabelaNPS[Período],$A180,TabelaNPS[Curso],$A$20)&gt;0,SUMIFS(TabelaNPS[Promotores (9-10)],TabelaNPS[Período],$A180,TabelaNPS[Curso],$A$20),SUMIFS(TabelaNPS[Promotores (9-10)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Promotores (9-10)],TabelaNPS[Período],(IF($A180="","",IF(ISNUMBER(SEARCH("-SEM",$A180)),$A180,LEFT($A180,4)&amp;"-SEM"&amp;IF(VALUE(RIGHT($A180,2))&lt;=6,1,2)))),TabelaNPS[Curso],$A$20),SUMIFS(TabelaNPS[Promotores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AA180" s="291">
        <f>IF(OR($K$4="(todos)",$K$4=$A$20),IF($A$20="","",IF($B$4="Mensal",IF(COUNTIFS(TabelaNPS[Período],$A180,TabelaNPS[Curso],$A$20)&gt;0,SUMIFS(TabelaNPS[Detratores (0-6)],TabelaNPS[Período],$A180,TabelaNPS[Curso],$A$20),SUMIFS(TabelaNPS[Detratores (0-6)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Detratores (0-6)],TabelaNPS[Período],(IF($A180="","",IF(ISNUMBER(SEARCH("-SEM",$A180)),$A180,LEFT($A180,4)&amp;"-SEM"&amp;IF(VALUE(RIGHT($A180,2))&lt;=6,1,2)))),TabelaNPS[Curso],$A$20),SUMIFS(TabelaNPS[Detratores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AB180" s="291">
        <f>IF(OR($K$4="(todos)",$K$4=$A$21),IF($A$21="","",IF($B$4="Mensal",IF(COUNTIFS(TabelaNPS[Período],$A180,TabelaNPS[Curso],$A$21)&gt;0,SUMIFS(TabelaNPS[Respondentes],TabelaNPS[Período],$A180,TabelaNPS[Curso],$A$21),SUMIFS(TabelaNPS[Respondentes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Respondentes],TabelaNPS[Período],(IF($A180="","",IF(ISNUMBER(SEARCH("-SEM",$A180)),$A180,LEFT($A180,4)&amp;"-SEM"&amp;IF(VALUE(RIGHT($A180,2))&lt;=6,1,2)))),TabelaNPS[Curso],$A$21)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C180" s="291">
        <f>IF(OR($K$4="(todos)",$K$4=$A$21),IF($A$21="","",IF($B$4="Mensal",IF(COUNTIFS(TabelaNPS[Período],$A180,TabelaNPS[Curso],$A$21)&gt;0,SUMIFS(TabelaNPS[Promotores (9-10)],TabelaNPS[Período],$A180,TabelaNPS[Curso],$A$21),SUMIFS(TabelaNPS[Promotores (9-10)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Promotores (9-10)],TabelaNPS[Período],(IF($A180="","",IF(ISNUMBER(SEARCH("-SEM",$A180)),$A180,LEFT($A180,4)&amp;"-SEM"&amp;IF(VALUE(RIGHT($A180,2))&lt;=6,1,2)))),TabelaNPS[Curso],$A$21),SUMIFS(TabelaNPS[Promotores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D180" s="291">
        <f>IF(OR($K$4="(todos)",$K$4=$A$21),IF($A$21="","",IF($B$4="Mensal",IF(COUNTIFS(TabelaNPS[Período],$A180,TabelaNPS[Curso],$A$21)&gt;0,SUMIFS(TabelaNPS[Detratores (0-6)],TabelaNPS[Período],$A180,TabelaNPS[Curso],$A$21),SUMIFS(TabelaNPS[Detratores (0-6)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Detratores (0-6)],TabelaNPS[Período],(IF($A180="","",IF(ISNUMBER(SEARCH("-SEM",$A180)),$A180,LEFT($A180,4)&amp;"-SEM"&amp;IF(VALUE(RIGHT($A180,2))&lt;=6,1,2)))),TabelaNPS[Curso],$A$21),SUMIFS(TabelaNPS[Detratores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E180" s="291">
        <f>IF(OR($K$4="(todos)",$K$4=$A$22),IF($A$22="","",IF($B$4="Mensal",IF(COUNTIFS(TabelaNPS[Período],$A180,TabelaNPS[Curso],$A$22)&gt;0,SUMIFS(TabelaNPS[Respondentes],TabelaNPS[Período],$A180,TabelaNPS[Curso],$A$22),SUMIFS(TabelaNPS[Respondentes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Respondentes],TabelaNPS[Período],(IF($A180="","",IF(ISNUMBER(SEARCH("-SEM",$A180)),$A180,LEFT($A180,4)&amp;"-SEM"&amp;IF(VALUE(RIGHT($A180,2))&lt;=6,1,2)))),TabelaNPS[Curso],$A$22)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F180" s="291">
        <f>IF(OR($K$4="(todos)",$K$4=$A$22),IF($A$22="","",IF($B$4="Mensal",IF(COUNTIFS(TabelaNPS[Período],$A180,TabelaNPS[Curso],$A$22)&gt;0,SUMIFS(TabelaNPS[Promotores (9-10)],TabelaNPS[Período],$A180,TabelaNPS[Curso],$A$22),SUMIFS(TabelaNPS[Promotores (9-10)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Promotores (9-10)],TabelaNPS[Período],(IF($A180="","",IF(ISNUMBER(SEARCH("-SEM",$A180)),$A180,LEFT($A180,4)&amp;"-SEM"&amp;IF(VALUE(RIGHT($A180,2))&lt;=6,1,2)))),TabelaNPS[Curso],$A$22),SUMIFS(TabelaNPS[Promotores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G180" s="291">
        <f>IF(OR($K$4="(todos)",$K$4=$A$22),IF($A$22="","",IF($B$4="Mensal",IF(COUNTIFS(TabelaNPS[Período],$A180,TabelaNPS[Curso],$A$22)&gt;0,SUMIFS(TabelaNPS[Detratores (0-6)],TabelaNPS[Período],$A180,TabelaNPS[Curso],$A$22),SUMIFS(TabelaNPS[Detratores (0-6)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Detratores (0-6)],TabelaNPS[Período],(IF($A180="","",IF(ISNUMBER(SEARCH("-SEM",$A180)),$A180,LEFT($A180,4)&amp;"-SEM"&amp;IF(VALUE(RIGHT($A180,2))&lt;=6,1,2)))),TabelaNPS[Curso],$A$22),SUMIFS(TabelaNPS[Detratores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H180" s="291">
        <f>IF(OR($K$4="(todos)",$K$4=$A$23),IF($A$23="","",IF($B$4="Mensal",IF(COUNTIFS(TabelaNPS[Período],$A180,TabelaNPS[Curso],$A$23)&gt;0,SUMIFS(TabelaNPS[Respondentes],TabelaNPS[Período],$A180,TabelaNPS[Curso],$A$23),SUMIFS(TabelaNPS[Respondentes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Respondentes],TabelaNPS[Período],(IF($A180="","",IF(ISNUMBER(SEARCH("-SEM",$A180)),$A180,LEFT($A180,4)&amp;"-SEM"&amp;IF(VALUE(RIGHT($A180,2))&lt;=6,1,2)))),TabelaNPS[Curso],$A$23)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I180" s="291">
        <f>IF(OR($K$4="(todos)",$K$4=$A$23),IF($A$23="","",IF($B$4="Mensal",IF(COUNTIFS(TabelaNPS[Período],$A180,TabelaNPS[Curso],$A$23)&gt;0,SUMIFS(TabelaNPS[Promotores (9-10)],TabelaNPS[Período],$A180,TabelaNPS[Curso],$A$23),SUMIFS(TabelaNPS[Promotores (9-10)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Promotores (9-10)],TabelaNPS[Período],(IF($A180="","",IF(ISNUMBER(SEARCH("-SEM",$A180)),$A180,LEFT($A180,4)&amp;"-SEM"&amp;IF(VALUE(RIGHT($A180,2))&lt;=6,1,2)))),TabelaNPS[Curso],$A$23),SUMIFS(TabelaNPS[Promotores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J180" s="291">
        <f>IF(OR($K$4="(todos)",$K$4=$A$23),IF($A$23="","",IF($B$4="Mensal",IF(COUNTIFS(TabelaNPS[Período],$A180,TabelaNPS[Curso],$A$23)&gt;0,SUMIFS(TabelaNPS[Detratores (0-6)],TabelaNPS[Período],$A180,TabelaNPS[Curso],$A$23),SUMIFS(TabelaNPS[Detratores (0-6)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Detratores (0-6)],TabelaNPS[Período],(IF($A180="","",IF(ISNUMBER(SEARCH("-SEM",$A180)),$A180,LEFT($A180,4)&amp;"-SEM"&amp;IF(VALUE(RIGHT($A180,2))&lt;=6,1,2)))),TabelaNPS[Curso],$A$23),SUMIFS(TabelaNPS[Detratores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K180" s="291">
        <f>IF(OR($K$4="(todos)",$K$4=$A$24),IF($A$24="","",IF($B$4="Mensal",IF(COUNTIFS(TabelaNPS[Período],$A180,TabelaNPS[Curso],$A$24)&gt;0,SUMIFS(TabelaNPS[Respondentes],TabelaNPS[Período],$A180,TabelaNPS[Curso],$A$24),SUMIFS(TabelaNPS[Respondentes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Respondentes],TabelaNPS[Período],(IF($A180="","",IF(ISNUMBER(SEARCH("-SEM",$A180)),$A180,LEFT($A180,4)&amp;"-SEM"&amp;IF(VALUE(RIGHT($A180,2))&lt;=6,1,2)))),TabelaNPS[Curso],$A$24)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  <c r="AL180" s="291">
        <f>IF(OR($K$4="(todos)",$K$4=$A$24),IF($A$24="","",IF($B$4="Mensal",IF(COUNTIFS(TabelaNPS[Período],$A180,TabelaNPS[Curso],$A$24)&gt;0,SUMIFS(TabelaNPS[Promotores (9-10)],TabelaNPS[Período],$A180,TabelaNPS[Curso],$A$24),SUMIFS(TabelaNPS[Promotores (9-10)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Promotores (9-10)],TabelaNPS[Período],(IF($A180="","",IF(ISNUMBER(SEARCH("-SEM",$A180)),$A180,LEFT($A180,4)&amp;"-SEM"&amp;IF(VALUE(RIGHT($A180,2))&lt;=6,1,2)))),TabelaNPS[Curso],$A$24),SUMIFS(TabelaNPS[Promotores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  <c r="AM180" s="291">
        <f>IF(OR($K$4="(todos)",$K$4=$A$24),IF($A$24="","",IF($B$4="Mensal",IF(COUNTIFS(TabelaNPS[Período],$A180,TabelaNPS[Curso],$A$24)&gt;0,SUMIFS(TabelaNPS[Detratores (0-6)],TabelaNPS[Período],$A180,TabelaNPS[Curso],$A$24),SUMIFS(TabelaNPS[Detratores (0-6)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Detratores (0-6)],TabelaNPS[Período],(IF($A180="","",IF(ISNUMBER(SEARCH("-SEM",$A180)),$A180,LEFT($A180,4)&amp;"-SEM"&amp;IF(VALUE(RIGHT($A180,2))&lt;=6,1,2)))),TabelaNPS[Curso],$A$24),SUMIFS(TabelaNPS[Detratores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  <c r="AN180" s="291">
        <f>IF(OR($K$4="(todos)",$K$4=$A$25),IF($A$25="","",IF($B$4="Mensal",IF(COUNTIFS(TabelaNPS[Período],$A180,TabelaNPS[Curso],$A$25)&gt;0,SUMIFS(TabelaNPS[Respondentes],TabelaNPS[Período],$A180,TabelaNPS[Curso],$A$25),SUMIFS(TabelaNPS[Respondentes],TabelaNPS[Período],(IF($A180="","",IF(ISNUMBER(SEARCH("-SEM",$A180)),$A180,LEFT($A180,4)&amp;"-SEM"&amp;IF(VALUE(RIGHT($A180,2))&lt;=6,1,2)))),TabelaNPS[Curso],$A$25)),IF(COUNTIFS(TabelaNPS[Período],(IF($A180="","",IF(ISNUMBER(SEARCH("-SEM",$A180)),$A180,LEFT($A180,4)&amp;"-SEM"&amp;IF(VALUE(RIGHT($A180,2))&lt;=6,1,2)))),TabelaNPS[Curso],$A$25)&gt;0,SUMIFS(TabelaNPS[Respondentes],TabelaNPS[Período],(IF($A180="","",IF(ISNUMBER(SEARCH("-SEM",$A180)),$A180,LEFT($A180,4)&amp;"-SEM"&amp;IF(VALUE(RIGHT($A180,2))&lt;=6,1,2)))),TabelaNPS[Curso],$A$25)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$25)))),0)</f>
        <v/>
      </c>
      <c r="AO180" s="291">
        <f>IF(OR($K$4="(todos)",$K$4=$A$25),IF($A$25="","",IF($B$4="Mensal",IF(COUNTIFS(TabelaNPS[Período],$A180,TabelaNPS[Curso],$A$25)&gt;0,SUMIFS(TabelaNPS[Promotores (9-10)],TabelaNPS[Período],$A180,TabelaNPS[Curso],$A$25),SUMIFS(TabelaNPS[Promotores (9-10)],TabelaNPS[Período],(IF($A180="","",IF(ISNUMBER(SEARCH("-SEM",$A180)),$A180,LEFT($A180,4)&amp;"-SEM"&amp;IF(VALUE(RIGHT($A180,2))&lt;=6,1,2)))),TabelaNPS[Curso],$A$25)),IF(COUNTIFS(TabelaNPS[Período],(IF($A180="","",IF(ISNUMBER(SEARCH("-SEM",$A180)),$A180,LEFT($A180,4)&amp;"-SEM"&amp;IF(VALUE(RIGHT($A180,2))&lt;=6,1,2)))),TabelaNPS[Curso],$A$25)&gt;0,SUMIFS(TabelaNPS[Promotores (9-10)],TabelaNPS[Período],(IF($A180="","",IF(ISNUMBER(SEARCH("-SEM",$A180)),$A180,LEFT($A180,4)&amp;"-SEM"&amp;IF(VALUE(RIGHT($A180,2))&lt;=6,1,2)))),TabelaNPS[Curso],$A$25),SUMIFS(TabelaNPS[Promotores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$25)))),0)</f>
        <v/>
      </c>
      <c r="AP180" s="291">
        <f>IF(OR($K$4="(todos)",$K$4=$A$25),IF($A$25="","",IF($B$4="Mensal",IF(COUNTIFS(TabelaNPS[Período],$A180,TabelaNPS[Curso],$A$25)&gt;0,SUMIFS(TabelaNPS[Detratores (0-6)],TabelaNPS[Período],$A180,TabelaNPS[Curso],$A$25),SUMIFS(TabelaNPS[Detratores (0-6)],TabelaNPS[Período],(IF($A180="","",IF(ISNUMBER(SEARCH("-SEM",$A180)),$A180,LEFT($A180,4)&amp;"-SEM"&amp;IF(VALUE(RIGHT($A180,2))&lt;=6,1,2)))),TabelaNPS[Curso],$A$25)),IF(COUNTIFS(TabelaNPS[Período],(IF($A180="","",IF(ISNUMBER(SEARCH("-SEM",$A180)),$A180,LEFT($A180,4)&amp;"-SEM"&amp;IF(VALUE(RIGHT($A180,2))&lt;=6,1,2)))),TabelaNPS[Curso],$A$25)&gt;0,SUMIFS(TabelaNPS[Detratores (0-6)],TabelaNPS[Período],(IF($A180="","",IF(ISNUMBER(SEARCH("-SEM",$A180)),$A180,LEFT($A180,4)&amp;"-SEM"&amp;IF(VALUE(RIGHT($A180,2))&lt;=6,1,2)))),TabelaNPS[Curso],$A$25),SUMIFS(TabelaNPS[Detratores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$25)))),0)</f>
        <v/>
      </c>
    </row>
    <row r="181"/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I3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6" customWidth="1" style="130" min="1" max="1"/>
    <col width="18" customWidth="1" style="130" min="2" max="2"/>
    <col width="14" customWidth="1" style="130" min="3" max="3"/>
    <col width="12" customWidth="1" style="130" min="4" max="4"/>
    <col width="22" customWidth="1" style="130" min="5" max="5"/>
    <col width="22" customWidth="1" style="130" min="6" max="6"/>
    <col width="18" customWidth="1" style="130" min="7" max="7"/>
    <col width="46" customWidth="1" style="130" min="8" max="8"/>
    <col width="50" customWidth="1" style="130" min="9" max="9"/>
  </cols>
  <sheetData>
    <row r="1" ht="24" customHeight="1" s="131">
      <c r="A1" s="262" t="inlineStr">
        <is>
          <t>LISTAS DE APOIO</t>
        </is>
      </c>
    </row>
    <row r="2" ht="30" customHeight="1" s="131">
      <c r="A2" s="263" t="inlineStr">
        <is>
          <t>Usadas por validações e seletores. Não apague colunas.</t>
        </is>
      </c>
    </row>
    <row r="3"/>
    <row r="4" ht="30" customHeight="1" s="131">
      <c r="A4" s="282" t="inlineStr">
        <is>
          <t>Recortes</t>
        </is>
      </c>
      <c r="B4" s="282" t="inlineStr">
        <is>
          <t>Códigos de KPI</t>
        </is>
      </c>
      <c r="C4" s="282" t="inlineStr">
        <is>
          <t>Sim / Não</t>
        </is>
      </c>
      <c r="D4" s="282" t="inlineStr">
        <is>
          <t>Ativo</t>
        </is>
      </c>
      <c r="E4" s="282" t="inlineStr">
        <is>
          <t>Status possíveis</t>
        </is>
      </c>
      <c r="F4" s="282" t="inlineStr">
        <is>
          <t>Status do plano de ação</t>
        </is>
      </c>
      <c r="G4" s="282" t="inlineStr">
        <is>
          <t>Granularidade</t>
        </is>
      </c>
      <c r="H4" s="282" t="inlineStr">
        <is>
          <t>Curso em foco</t>
        </is>
      </c>
      <c r="I4" s="282" t="inlineStr">
        <is>
          <t>Disciplina em foco</t>
        </is>
      </c>
    </row>
    <row r="5" ht="15" customHeight="1" s="131">
      <c r="A5" s="218" t="inlineStr">
        <is>
          <t>TOTAL</t>
        </is>
      </c>
      <c r="B5" s="164" t="inlineStr">
        <is>
          <t>DTNH-01</t>
        </is>
      </c>
      <c r="C5" s="164" t="inlineStr">
        <is>
          <t>Não</t>
        </is>
      </c>
      <c r="D5" s="164" t="inlineStr">
        <is>
          <t>S</t>
        </is>
      </c>
      <c r="E5" s="164" t="inlineStr">
        <is>
          <t>Dentro da meta</t>
        </is>
      </c>
      <c r="F5" s="164" t="inlineStr">
        <is>
          <t>Não iniciado</t>
        </is>
      </c>
      <c r="G5" s="164" t="inlineStr">
        <is>
          <t>Semestral</t>
        </is>
      </c>
      <c r="H5" s="164" t="inlineStr">
        <is>
          <t>(todos)</t>
        </is>
      </c>
      <c r="I5" s="164" t="inlineStr">
        <is>
          <t>(todas)</t>
        </is>
      </c>
    </row>
    <row r="6" ht="15" customHeight="1" s="131">
      <c r="A6" s="218" t="inlineStr">
        <is>
          <t>Administração</t>
        </is>
      </c>
      <c r="B6" s="164" t="inlineStr">
        <is>
          <t>DTNH-02</t>
        </is>
      </c>
      <c r="C6" s="164" t="inlineStr">
        <is>
          <t>Sim</t>
        </is>
      </c>
      <c r="D6" s="164" t="inlineStr">
        <is>
          <t>N</t>
        </is>
      </c>
      <c r="E6" s="164" t="inlineStr">
        <is>
          <t>Atenção</t>
        </is>
      </c>
      <c r="F6" s="164" t="inlineStr">
        <is>
          <t>Em andamento</t>
        </is>
      </c>
      <c r="G6" s="164" t="inlineStr">
        <is>
          <t>Mensal</t>
        </is>
      </c>
      <c r="H6" s="164" t="inlineStr">
        <is>
          <t>Administração</t>
        </is>
      </c>
      <c r="I6" s="360">
        <f>DISCIPLINAS!B5</f>
        <v/>
      </c>
    </row>
    <row r="7" ht="15" customHeight="1" s="131">
      <c r="A7" s="218" t="inlineStr">
        <is>
          <t>Análise e Desenvolvimento de Sistemas</t>
        </is>
      </c>
      <c r="B7" s="164" t="inlineStr">
        <is>
          <t>DTNH-03</t>
        </is>
      </c>
      <c r="E7" s="164" t="inlineStr">
        <is>
          <t>Fora da meta</t>
        </is>
      </c>
      <c r="F7" s="164" t="inlineStr">
        <is>
          <t>Concluído</t>
        </is>
      </c>
      <c r="G7" s="164" t="n"/>
      <c r="H7" s="164" t="inlineStr">
        <is>
          <t>Análise e Desenvolvimento de Sistemas</t>
        </is>
      </c>
      <c r="I7" s="275">
        <f>DISCIPLINAS!B6</f>
        <v/>
      </c>
    </row>
    <row r="8" ht="15" customHeight="1" s="131">
      <c r="A8" s="218" t="inlineStr">
        <is>
          <t>Agronomia</t>
        </is>
      </c>
      <c r="E8" t="inlineStr">
        <is>
          <t>Sem meta</t>
        </is>
      </c>
      <c r="F8" s="164" t="inlineStr">
        <is>
          <t>Atrasado</t>
        </is>
      </c>
      <c r="G8" s="164" t="n"/>
      <c r="H8" s="164" t="inlineStr">
        <is>
          <t>Agronomia</t>
        </is>
      </c>
      <c r="I8" s="275">
        <f>DISCIPLINAS!B7</f>
        <v/>
      </c>
    </row>
    <row r="9" ht="15" customHeight="1" s="131">
      <c r="A9" s="218" t="inlineStr">
        <is>
          <t>Arquitetura e Urbanismo</t>
        </is>
      </c>
      <c r="E9" t="inlineStr">
        <is>
          <t>Sem dados</t>
        </is>
      </c>
      <c r="F9" s="164" t="inlineStr">
        <is>
          <t>Cancelado</t>
        </is>
      </c>
      <c r="H9" s="164" t="inlineStr">
        <is>
          <t>Arquitetura e Urbanismo</t>
        </is>
      </c>
      <c r="I9" s="275">
        <f>DISCIPLINAS!B8</f>
        <v/>
      </c>
    </row>
    <row r="10" ht="15" customHeight="1" s="131">
      <c r="A10" s="218" t="inlineStr">
        <is>
          <t>Ciências Contábeis</t>
        </is>
      </c>
      <c r="H10" s="164" t="inlineStr">
        <is>
          <t>Ciências Contábeis</t>
        </is>
      </c>
      <c r="I10" s="275">
        <f>DISCIPLINAS!B9</f>
        <v/>
      </c>
    </row>
    <row r="11" ht="15" customHeight="1" s="131">
      <c r="A11" s="218" t="inlineStr">
        <is>
          <t>Direito</t>
        </is>
      </c>
      <c r="H11" s="164" t="inlineStr">
        <is>
          <t>Direito</t>
        </is>
      </c>
      <c r="I11" s="275">
        <f>DISCIPLINAS!B10</f>
        <v/>
      </c>
    </row>
    <row r="12" ht="15" customHeight="1" s="131">
      <c r="A12" s="218" t="inlineStr">
        <is>
          <t>Engenharia de Produção</t>
        </is>
      </c>
      <c r="H12" s="164" t="inlineStr">
        <is>
          <t>Engenharia de Produção</t>
        </is>
      </c>
      <c r="I12" s="275">
        <f>DISCIPLINAS!B11</f>
        <v/>
      </c>
    </row>
    <row r="13" ht="15" customHeight="1" s="131">
      <c r="A13" s="218" t="inlineStr">
        <is>
          <t>Engenharia Mecânica</t>
        </is>
      </c>
      <c r="H13" s="164" t="inlineStr">
        <is>
          <t>Engenharia Mecânica</t>
        </is>
      </c>
      <c r="I13" s="275">
        <f>DISCIPLINAS!B12</f>
        <v/>
      </c>
    </row>
    <row r="14" ht="15" customHeight="1" s="131">
      <c r="A14" s="218" t="inlineStr">
        <is>
          <t>Comunicação Social - Publicidade e Propaganda</t>
        </is>
      </c>
      <c r="H14" s="164" t="inlineStr">
        <is>
          <t>Comunicação Social - Publicidade e Propaganda</t>
        </is>
      </c>
      <c r="I14" s="275">
        <f>DISCIPLINAS!B13</f>
        <v/>
      </c>
    </row>
    <row r="15">
      <c r="I15" s="275">
        <f>DISCIPLINAS!B14</f>
        <v/>
      </c>
    </row>
    <row r="16">
      <c r="I16" s="275">
        <f>DISCIPLINAS!B15</f>
        <v/>
      </c>
    </row>
    <row r="17">
      <c r="I17" s="275">
        <f>DISCIPLINAS!B16</f>
        <v/>
      </c>
    </row>
    <row r="18">
      <c r="I18" s="275">
        <f>DISCIPLINAS!B17</f>
        <v/>
      </c>
    </row>
    <row r="19">
      <c r="I19" s="275">
        <f>DISCIPLINAS!B18</f>
        <v/>
      </c>
    </row>
    <row r="20">
      <c r="I20" s="275">
        <f>DISCIPLINAS!B19</f>
        <v/>
      </c>
    </row>
    <row r="21">
      <c r="I21" s="275">
        <f>DISCIPLINAS!B20</f>
        <v/>
      </c>
    </row>
    <row r="22">
      <c r="I22" s="275">
        <f>DISCIPLINAS!B21</f>
        <v/>
      </c>
    </row>
    <row r="23">
      <c r="I23" s="275">
        <f>DISCIPLINAS!B22</f>
        <v/>
      </c>
    </row>
    <row r="24">
      <c r="I24" s="275">
        <f>DISCIPLINAS!B23</f>
        <v/>
      </c>
    </row>
    <row r="25">
      <c r="I25" s="275">
        <f>DISCIPLINAS!B24</f>
        <v/>
      </c>
    </row>
    <row r="26">
      <c r="I26" s="275">
        <f>DISCIPLINAS!B25</f>
        <v/>
      </c>
    </row>
    <row r="27">
      <c r="I27" s="275">
        <f>DISCIPLINAS!B26</f>
        <v/>
      </c>
    </row>
    <row r="28">
      <c r="I28" s="275">
        <f>DISCIPLINAS!B27</f>
        <v/>
      </c>
    </row>
    <row r="29">
      <c r="I29" s="275">
        <f>DISCIPLINAS!B28</f>
        <v/>
      </c>
    </row>
    <row r="30">
      <c r="I30" s="275">
        <f>DISCIPLINAS!B29</f>
        <v/>
      </c>
    </row>
    <row r="31">
      <c r="I31" s="275">
        <f>DISCIPLINAS!B30</f>
        <v/>
      </c>
    </row>
    <row r="32">
      <c r="I32" s="275">
        <f>DISCIPLINAS!B31</f>
        <v/>
      </c>
    </row>
    <row r="33">
      <c r="I33" s="275">
        <f>DISCIPLINAS!B32</f>
        <v/>
      </c>
    </row>
    <row r="34">
      <c r="I34" s="275">
        <f>DISCIPLINAS!B33</f>
        <v/>
      </c>
    </row>
    <row r="35">
      <c r="I35" s="275">
        <f>DISCIPLINAS!B34</f>
        <v/>
      </c>
    </row>
    <row r="36">
      <c r="I36" s="275">
        <f>DISCIPLINAS!B35</f>
        <v/>
      </c>
    </row>
    <row r="37">
      <c r="I37" s="275">
        <f>DISCIPLINAS!B36</f>
        <v/>
      </c>
    </row>
    <row r="38">
      <c r="I38" s="275">
        <f>DISCIPLINAS!B37</f>
        <v/>
      </c>
    </row>
    <row r="39">
      <c r="I39" s="275">
        <f>DISCIPLINAS!B38</f>
        <v/>
      </c>
    </row>
    <row r="40">
      <c r="I40" s="275">
        <f>DISCIPLINAS!B39</f>
        <v/>
      </c>
    </row>
    <row r="41">
      <c r="I41" s="275">
        <f>DISCIPLINAS!B40</f>
        <v/>
      </c>
    </row>
    <row r="42">
      <c r="I42" s="275">
        <f>DISCIPLINAS!B41</f>
        <v/>
      </c>
    </row>
    <row r="43">
      <c r="I43" s="275">
        <f>DISCIPLINAS!B42</f>
        <v/>
      </c>
    </row>
    <row r="44">
      <c r="I44" s="275">
        <f>DISCIPLINAS!B43</f>
        <v/>
      </c>
    </row>
    <row r="45">
      <c r="I45" s="275">
        <f>DISCIPLINAS!B44</f>
        <v/>
      </c>
    </row>
    <row r="46">
      <c r="I46" s="275">
        <f>DISCIPLINAS!B45</f>
        <v/>
      </c>
    </row>
    <row r="47">
      <c r="I47" s="275">
        <f>DISCIPLINAS!B46</f>
        <v/>
      </c>
    </row>
    <row r="48">
      <c r="I48" s="275">
        <f>DISCIPLINAS!B47</f>
        <v/>
      </c>
    </row>
    <row r="49">
      <c r="I49" s="275">
        <f>DISCIPLINAS!B48</f>
        <v/>
      </c>
    </row>
    <row r="50">
      <c r="I50" s="275">
        <f>DISCIPLINAS!B49</f>
        <v/>
      </c>
    </row>
    <row r="51">
      <c r="I51" s="275">
        <f>DISCIPLINAS!B50</f>
        <v/>
      </c>
    </row>
    <row r="52">
      <c r="I52" s="275">
        <f>DISCIPLINAS!B51</f>
        <v/>
      </c>
    </row>
    <row r="53">
      <c r="I53" s="275">
        <f>DISCIPLINAS!B52</f>
        <v/>
      </c>
    </row>
    <row r="54">
      <c r="I54" s="275">
        <f>DISCIPLINAS!B53</f>
        <v/>
      </c>
    </row>
    <row r="55">
      <c r="I55" s="275">
        <f>DISCIPLINAS!B54</f>
        <v/>
      </c>
    </row>
    <row r="56">
      <c r="I56" s="275">
        <f>DISCIPLINAS!B55</f>
        <v/>
      </c>
    </row>
    <row r="57">
      <c r="I57" s="275">
        <f>DISCIPLINAS!B56</f>
        <v/>
      </c>
    </row>
    <row r="58">
      <c r="I58" s="275">
        <f>DISCIPLINAS!B57</f>
        <v/>
      </c>
    </row>
    <row r="59">
      <c r="I59" s="275">
        <f>DISCIPLINAS!B58</f>
        <v/>
      </c>
    </row>
    <row r="60">
      <c r="I60" s="275">
        <f>DISCIPLINAS!B59</f>
        <v/>
      </c>
    </row>
    <row r="61">
      <c r="I61" s="275">
        <f>DISCIPLINAS!B60</f>
        <v/>
      </c>
    </row>
    <row r="62">
      <c r="I62" s="275">
        <f>DISCIPLINAS!B61</f>
        <v/>
      </c>
    </row>
    <row r="63">
      <c r="I63" s="275">
        <f>DISCIPLINAS!B62</f>
        <v/>
      </c>
    </row>
    <row r="64">
      <c r="I64" s="275">
        <f>DISCIPLINAS!B63</f>
        <v/>
      </c>
    </row>
    <row r="65">
      <c r="I65" s="275">
        <f>DISCIPLINAS!B64</f>
        <v/>
      </c>
    </row>
    <row r="66">
      <c r="I66" s="275">
        <f>DISCIPLINAS!B65</f>
        <v/>
      </c>
    </row>
    <row r="67">
      <c r="I67" s="275">
        <f>DISCIPLINAS!B66</f>
        <v/>
      </c>
    </row>
    <row r="68">
      <c r="I68" s="275">
        <f>DISCIPLINAS!B67</f>
        <v/>
      </c>
    </row>
    <row r="69">
      <c r="I69" s="275">
        <f>DISCIPLINAS!B68</f>
        <v/>
      </c>
    </row>
    <row r="70">
      <c r="I70" s="275">
        <f>DISCIPLINAS!B69</f>
        <v/>
      </c>
    </row>
    <row r="71">
      <c r="I71" s="275">
        <f>DISCIPLINAS!B70</f>
        <v/>
      </c>
    </row>
    <row r="72">
      <c r="I72" s="275">
        <f>DISCIPLINAS!B71</f>
        <v/>
      </c>
    </row>
    <row r="73">
      <c r="I73" s="275">
        <f>DISCIPLINAS!B72</f>
        <v/>
      </c>
    </row>
    <row r="74">
      <c r="I74" s="275">
        <f>DISCIPLINAS!B73</f>
        <v/>
      </c>
    </row>
    <row r="75">
      <c r="I75" s="275">
        <f>DISCIPLINAS!B74</f>
        <v/>
      </c>
    </row>
    <row r="76">
      <c r="I76" s="275">
        <f>DISCIPLINAS!B75</f>
        <v/>
      </c>
    </row>
    <row r="77">
      <c r="I77" s="275">
        <f>DISCIPLINAS!B76</f>
        <v/>
      </c>
    </row>
    <row r="78">
      <c r="I78" s="275">
        <f>DISCIPLINAS!B77</f>
        <v/>
      </c>
    </row>
    <row r="79">
      <c r="I79" s="275">
        <f>DISCIPLINAS!B78</f>
        <v/>
      </c>
    </row>
    <row r="80">
      <c r="I80" s="275">
        <f>DISCIPLINAS!B79</f>
        <v/>
      </c>
    </row>
    <row r="81">
      <c r="I81" s="275">
        <f>DISCIPLINAS!B80</f>
        <v/>
      </c>
    </row>
    <row r="82">
      <c r="I82" s="275">
        <f>DISCIPLINAS!B81</f>
        <v/>
      </c>
    </row>
    <row r="83">
      <c r="I83" s="275">
        <f>DISCIPLINAS!B82</f>
        <v/>
      </c>
    </row>
    <row r="84">
      <c r="I84" s="275">
        <f>DISCIPLINAS!B83</f>
        <v/>
      </c>
    </row>
    <row r="85">
      <c r="I85" s="275">
        <f>DISCIPLINAS!B84</f>
        <v/>
      </c>
    </row>
    <row r="86">
      <c r="I86" s="275">
        <f>DISCIPLINAS!B85</f>
        <v/>
      </c>
    </row>
    <row r="87">
      <c r="I87" s="275">
        <f>DISCIPLINAS!B86</f>
        <v/>
      </c>
    </row>
    <row r="88">
      <c r="I88" s="275">
        <f>DISCIPLINAS!B87</f>
        <v/>
      </c>
    </row>
    <row r="89">
      <c r="I89" s="275">
        <f>DISCIPLINAS!B88</f>
        <v/>
      </c>
    </row>
    <row r="90">
      <c r="I90" s="275">
        <f>DISCIPLINAS!B89</f>
        <v/>
      </c>
    </row>
    <row r="91">
      <c r="I91" s="275">
        <f>DISCIPLINAS!B90</f>
        <v/>
      </c>
    </row>
    <row r="92">
      <c r="I92" s="275">
        <f>DISCIPLINAS!B91</f>
        <v/>
      </c>
    </row>
    <row r="93">
      <c r="I93" s="275">
        <f>DISCIPLINAS!B92</f>
        <v/>
      </c>
    </row>
    <row r="94">
      <c r="I94" s="275">
        <f>DISCIPLINAS!B93</f>
        <v/>
      </c>
    </row>
    <row r="95">
      <c r="I95" s="275">
        <f>DISCIPLINAS!B94</f>
        <v/>
      </c>
    </row>
    <row r="96">
      <c r="I96" s="275">
        <f>DISCIPLINAS!B95</f>
        <v/>
      </c>
    </row>
    <row r="97">
      <c r="I97" s="275">
        <f>DISCIPLINAS!B96</f>
        <v/>
      </c>
    </row>
    <row r="98">
      <c r="I98" s="275">
        <f>DISCIPLINAS!B97</f>
        <v/>
      </c>
    </row>
    <row r="99">
      <c r="I99" s="275">
        <f>DISCIPLINAS!B98</f>
        <v/>
      </c>
    </row>
    <row r="100">
      <c r="I100" s="275">
        <f>DISCIPLINAS!B99</f>
        <v/>
      </c>
    </row>
    <row r="101">
      <c r="I101" s="275">
        <f>DISCIPLINAS!B100</f>
        <v/>
      </c>
    </row>
    <row r="102">
      <c r="I102" s="275">
        <f>DISCIPLINAS!B101</f>
        <v/>
      </c>
    </row>
    <row r="103">
      <c r="I103" s="275">
        <f>DISCIPLINAS!B102</f>
        <v/>
      </c>
    </row>
    <row r="104">
      <c r="I104" s="275">
        <f>DISCIPLINAS!B103</f>
        <v/>
      </c>
    </row>
    <row r="105">
      <c r="I105" s="275">
        <f>DISCIPLINAS!B104</f>
        <v/>
      </c>
    </row>
    <row r="106">
      <c r="I106" s="275">
        <f>DISCIPLINAS!B105</f>
        <v/>
      </c>
    </row>
    <row r="107">
      <c r="I107" s="275">
        <f>DISCIPLINAS!B106</f>
        <v/>
      </c>
    </row>
    <row r="108">
      <c r="I108" s="275">
        <f>DISCIPLINAS!B107</f>
        <v/>
      </c>
    </row>
    <row r="109">
      <c r="I109" s="275">
        <f>DISCIPLINAS!B108</f>
        <v/>
      </c>
    </row>
    <row r="110">
      <c r="I110" s="275">
        <f>DISCIPLINAS!B109</f>
        <v/>
      </c>
    </row>
    <row r="111">
      <c r="I111" s="275">
        <f>DISCIPLINAS!B110</f>
        <v/>
      </c>
    </row>
    <row r="112">
      <c r="I112" s="275">
        <f>DISCIPLINAS!B111</f>
        <v/>
      </c>
    </row>
    <row r="113">
      <c r="I113" s="275">
        <f>DISCIPLINAS!B112</f>
        <v/>
      </c>
    </row>
    <row r="114">
      <c r="I114" s="275">
        <f>DISCIPLINAS!B113</f>
        <v/>
      </c>
    </row>
    <row r="115">
      <c r="I115" s="275">
        <f>DISCIPLINAS!B114</f>
        <v/>
      </c>
    </row>
    <row r="116">
      <c r="I116" s="275">
        <f>DISCIPLINAS!B115</f>
        <v/>
      </c>
    </row>
    <row r="117">
      <c r="I117" s="275">
        <f>DISCIPLINAS!B116</f>
        <v/>
      </c>
    </row>
    <row r="118">
      <c r="I118" s="275">
        <f>DISCIPLINAS!B117</f>
        <v/>
      </c>
    </row>
    <row r="119">
      <c r="I119" s="275">
        <f>DISCIPLINAS!B118</f>
        <v/>
      </c>
    </row>
    <row r="120">
      <c r="I120" s="275">
        <f>DISCIPLINAS!B119</f>
        <v/>
      </c>
    </row>
    <row r="121">
      <c r="I121" s="275">
        <f>DISCIPLINAS!B120</f>
        <v/>
      </c>
    </row>
    <row r="122">
      <c r="I122" s="275">
        <f>DISCIPLINAS!B121</f>
        <v/>
      </c>
    </row>
    <row r="123">
      <c r="I123" s="275">
        <f>DISCIPLINAS!B122</f>
        <v/>
      </c>
    </row>
    <row r="124">
      <c r="I124" s="275">
        <f>DISCIPLINAS!B123</f>
        <v/>
      </c>
    </row>
    <row r="125">
      <c r="I125" s="275">
        <f>DISCIPLINAS!B124</f>
        <v/>
      </c>
    </row>
    <row r="126">
      <c r="I126" s="275">
        <f>DISCIPLINAS!B125</f>
        <v/>
      </c>
    </row>
    <row r="127">
      <c r="I127" s="275">
        <f>DISCIPLINAS!B126</f>
        <v/>
      </c>
    </row>
    <row r="128">
      <c r="I128" s="275">
        <f>DISCIPLINAS!B127</f>
        <v/>
      </c>
    </row>
    <row r="129">
      <c r="I129" s="275">
        <f>DISCIPLINAS!B128</f>
        <v/>
      </c>
    </row>
    <row r="130">
      <c r="I130" s="275">
        <f>DISCIPLINAS!B129</f>
        <v/>
      </c>
    </row>
    <row r="131">
      <c r="I131" s="275">
        <f>DISCIPLINAS!B130</f>
        <v/>
      </c>
    </row>
    <row r="132">
      <c r="I132" s="275">
        <f>DISCIPLINAS!B131</f>
        <v/>
      </c>
    </row>
    <row r="133">
      <c r="I133" s="275">
        <f>DISCIPLINAS!B132</f>
        <v/>
      </c>
    </row>
    <row r="134">
      <c r="I134" s="275">
        <f>DISCIPLINAS!B133</f>
        <v/>
      </c>
    </row>
    <row r="135">
      <c r="I135" s="275">
        <f>DISCIPLINAS!B134</f>
        <v/>
      </c>
    </row>
    <row r="136">
      <c r="I136" s="275">
        <f>DISCIPLINAS!B135</f>
        <v/>
      </c>
    </row>
    <row r="137">
      <c r="I137" s="275">
        <f>DISCIPLINAS!B136</f>
        <v/>
      </c>
    </row>
    <row r="138">
      <c r="I138" s="275">
        <f>DISCIPLINAS!B137</f>
        <v/>
      </c>
    </row>
    <row r="139">
      <c r="I139" s="275">
        <f>DISCIPLINAS!B138</f>
        <v/>
      </c>
    </row>
    <row r="140">
      <c r="I140" s="275">
        <f>DISCIPLINAS!B139</f>
        <v/>
      </c>
    </row>
    <row r="141">
      <c r="I141" s="275">
        <f>DISCIPLINAS!B140</f>
        <v/>
      </c>
    </row>
    <row r="142">
      <c r="I142" s="275">
        <f>DISCIPLINAS!B141</f>
        <v/>
      </c>
    </row>
    <row r="143">
      <c r="I143" s="275">
        <f>DISCIPLINAS!B142</f>
        <v/>
      </c>
    </row>
    <row r="144">
      <c r="I144" s="275">
        <f>DISCIPLINAS!B143</f>
        <v/>
      </c>
    </row>
    <row r="145">
      <c r="I145" s="275">
        <f>DISCIPLINAS!B144</f>
        <v/>
      </c>
    </row>
    <row r="146">
      <c r="I146" s="275">
        <f>DISCIPLINAS!B145</f>
        <v/>
      </c>
    </row>
    <row r="147">
      <c r="I147" s="275">
        <f>DISCIPLINAS!B146</f>
        <v/>
      </c>
    </row>
    <row r="148">
      <c r="I148" s="275">
        <f>DISCIPLINAS!B147</f>
        <v/>
      </c>
    </row>
    <row r="149">
      <c r="I149" s="275">
        <f>DISCIPLINAS!B148</f>
        <v/>
      </c>
    </row>
    <row r="150">
      <c r="I150" s="275">
        <f>DISCIPLINAS!B149</f>
        <v/>
      </c>
    </row>
    <row r="151">
      <c r="I151" s="275">
        <f>DISCIPLINAS!B150</f>
        <v/>
      </c>
    </row>
    <row r="152">
      <c r="I152" s="275">
        <f>DISCIPLINAS!B151</f>
        <v/>
      </c>
    </row>
    <row r="153">
      <c r="I153" s="275">
        <f>DISCIPLINAS!B152</f>
        <v/>
      </c>
    </row>
    <row r="154">
      <c r="I154" s="275">
        <f>DISCIPLINAS!B153</f>
        <v/>
      </c>
    </row>
    <row r="155">
      <c r="I155" s="275">
        <f>DISCIPLINAS!B154</f>
        <v/>
      </c>
    </row>
    <row r="156">
      <c r="I156" s="275">
        <f>DISCIPLINAS!B155</f>
        <v/>
      </c>
    </row>
    <row r="157">
      <c r="I157" s="275">
        <f>DISCIPLINAS!B156</f>
        <v/>
      </c>
    </row>
    <row r="158">
      <c r="I158" s="275">
        <f>DISCIPLINAS!B157</f>
        <v/>
      </c>
    </row>
    <row r="159">
      <c r="I159" s="275">
        <f>DISCIPLINAS!B158</f>
        <v/>
      </c>
    </row>
    <row r="160">
      <c r="I160" s="275">
        <f>DISCIPLINAS!B159</f>
        <v/>
      </c>
    </row>
    <row r="161">
      <c r="I161" s="275">
        <f>DISCIPLINAS!B160</f>
        <v/>
      </c>
    </row>
    <row r="162">
      <c r="I162" s="275">
        <f>DISCIPLINAS!B161</f>
        <v/>
      </c>
    </row>
    <row r="163">
      <c r="I163" s="275">
        <f>DISCIPLINAS!B162</f>
        <v/>
      </c>
    </row>
    <row r="164">
      <c r="I164" s="275">
        <f>DISCIPLINAS!B163</f>
        <v/>
      </c>
    </row>
    <row r="165">
      <c r="I165" s="275">
        <f>DISCIPLINAS!B164</f>
        <v/>
      </c>
    </row>
    <row r="166">
      <c r="I166" s="275">
        <f>DISCIPLINAS!B165</f>
        <v/>
      </c>
    </row>
    <row r="167">
      <c r="I167" s="275">
        <f>DISCIPLINAS!B166</f>
        <v/>
      </c>
    </row>
    <row r="168">
      <c r="I168" s="275">
        <f>DISCIPLINAS!B167</f>
        <v/>
      </c>
    </row>
    <row r="169">
      <c r="I169" s="275">
        <f>DISCIPLINAS!B168</f>
        <v/>
      </c>
    </row>
    <row r="170">
      <c r="I170" s="275">
        <f>DISCIPLINAS!B169</f>
        <v/>
      </c>
    </row>
    <row r="171">
      <c r="I171" s="275">
        <f>DISCIPLINAS!B170</f>
        <v/>
      </c>
    </row>
    <row r="172">
      <c r="I172" s="275">
        <f>DISCIPLINAS!B171</f>
        <v/>
      </c>
    </row>
    <row r="173">
      <c r="I173" s="275">
        <f>DISCIPLINAS!B172</f>
        <v/>
      </c>
    </row>
    <row r="174">
      <c r="I174" s="275">
        <f>DISCIPLINAS!B173</f>
        <v/>
      </c>
    </row>
    <row r="175">
      <c r="I175" s="275">
        <f>DISCIPLINAS!B174</f>
        <v/>
      </c>
    </row>
    <row r="176">
      <c r="I176" s="275">
        <f>DISCIPLINAS!B175</f>
        <v/>
      </c>
    </row>
    <row r="177">
      <c r="I177" s="275">
        <f>DISCIPLINAS!B176</f>
        <v/>
      </c>
    </row>
    <row r="178">
      <c r="I178" s="275">
        <f>DISCIPLINAS!B177</f>
        <v/>
      </c>
    </row>
    <row r="179">
      <c r="I179" s="275">
        <f>DISCIPLINAS!B178</f>
        <v/>
      </c>
    </row>
    <row r="180">
      <c r="I180" s="275">
        <f>DISCIPLINAS!B179</f>
        <v/>
      </c>
    </row>
    <row r="181">
      <c r="I181" s="275">
        <f>DISCIPLINAS!B180</f>
        <v/>
      </c>
    </row>
    <row r="182">
      <c r="I182" s="275">
        <f>DISCIPLINAS!B181</f>
        <v/>
      </c>
    </row>
    <row r="183">
      <c r="I183" s="275">
        <f>DISCIPLINAS!B182</f>
        <v/>
      </c>
    </row>
    <row r="184">
      <c r="I184" s="275">
        <f>DISCIPLINAS!B183</f>
        <v/>
      </c>
    </row>
    <row r="185">
      <c r="I185" s="275">
        <f>DISCIPLINAS!B184</f>
        <v/>
      </c>
    </row>
    <row r="186">
      <c r="I186" s="275">
        <f>DISCIPLINAS!B185</f>
        <v/>
      </c>
    </row>
    <row r="187">
      <c r="I187" s="275">
        <f>DISCIPLINAS!B186</f>
        <v/>
      </c>
    </row>
    <row r="188">
      <c r="I188" s="275">
        <f>DISCIPLINAS!B187</f>
        <v/>
      </c>
    </row>
    <row r="189">
      <c r="I189" s="275">
        <f>DISCIPLINAS!B188</f>
        <v/>
      </c>
    </row>
    <row r="190">
      <c r="I190" s="275">
        <f>DISCIPLINAS!B189</f>
        <v/>
      </c>
    </row>
    <row r="191">
      <c r="I191" s="275">
        <f>DISCIPLINAS!B190</f>
        <v/>
      </c>
    </row>
    <row r="192">
      <c r="I192" s="275">
        <f>DISCIPLINAS!B191</f>
        <v/>
      </c>
    </row>
    <row r="193">
      <c r="I193" s="275">
        <f>DISCIPLINAS!B192</f>
        <v/>
      </c>
    </row>
    <row r="194">
      <c r="I194" s="275">
        <f>DISCIPLINAS!B193</f>
        <v/>
      </c>
    </row>
    <row r="195">
      <c r="I195" s="275">
        <f>DISCIPLINAS!B194</f>
        <v/>
      </c>
    </row>
    <row r="196">
      <c r="I196" s="275">
        <f>DISCIPLINAS!B195</f>
        <v/>
      </c>
    </row>
    <row r="197">
      <c r="I197" s="275">
        <f>DISCIPLINAS!B196</f>
        <v/>
      </c>
    </row>
    <row r="198">
      <c r="I198" s="275">
        <f>DISCIPLINAS!B197</f>
        <v/>
      </c>
    </row>
    <row r="199">
      <c r="I199" s="275">
        <f>DISCIPLINAS!B198</f>
        <v/>
      </c>
    </row>
    <row r="200">
      <c r="I200" s="275">
        <f>DISCIPLINAS!B199</f>
        <v/>
      </c>
    </row>
    <row r="201">
      <c r="I201" s="275">
        <f>DISCIPLINAS!B200</f>
        <v/>
      </c>
    </row>
    <row r="202">
      <c r="I202" s="275">
        <f>DISCIPLINAS!B201</f>
        <v/>
      </c>
    </row>
    <row r="203">
      <c r="I203" s="275">
        <f>DISCIPLINAS!B202</f>
        <v/>
      </c>
    </row>
    <row r="204">
      <c r="I204" s="275">
        <f>DISCIPLINAS!B203</f>
        <v/>
      </c>
    </row>
    <row r="205">
      <c r="I205" s="275">
        <f>DISCIPLINAS!B204</f>
        <v/>
      </c>
    </row>
    <row r="206">
      <c r="I206" s="275">
        <f>DISCIPLINAS!B205</f>
        <v/>
      </c>
    </row>
    <row r="207">
      <c r="I207" s="275">
        <f>DISCIPLINAS!B206</f>
        <v/>
      </c>
    </row>
    <row r="208">
      <c r="I208" s="275">
        <f>DISCIPLINAS!B207</f>
        <v/>
      </c>
    </row>
    <row r="209">
      <c r="I209" s="275">
        <f>DISCIPLINAS!B208</f>
        <v/>
      </c>
    </row>
    <row r="210">
      <c r="I210" s="275">
        <f>DISCIPLINAS!B209</f>
        <v/>
      </c>
    </row>
    <row r="211">
      <c r="I211" s="275">
        <f>DISCIPLINAS!B210</f>
        <v/>
      </c>
    </row>
    <row r="212">
      <c r="I212" s="275">
        <f>DISCIPLINAS!B211</f>
        <v/>
      </c>
    </row>
    <row r="213">
      <c r="I213" s="275">
        <f>DISCIPLINAS!B212</f>
        <v/>
      </c>
    </row>
    <row r="214">
      <c r="I214" s="275">
        <f>DISCIPLINAS!B213</f>
        <v/>
      </c>
    </row>
    <row r="215">
      <c r="I215" s="275">
        <f>DISCIPLINAS!B214</f>
        <v/>
      </c>
    </row>
    <row r="216">
      <c r="I216" s="275">
        <f>DISCIPLINAS!B215</f>
        <v/>
      </c>
    </row>
    <row r="217">
      <c r="I217" s="275">
        <f>DISCIPLINAS!B216</f>
        <v/>
      </c>
    </row>
    <row r="218">
      <c r="I218" s="275">
        <f>DISCIPLINAS!B217</f>
        <v/>
      </c>
    </row>
    <row r="219">
      <c r="I219" s="275">
        <f>DISCIPLINAS!B218</f>
        <v/>
      </c>
    </row>
    <row r="220">
      <c r="I220" s="275">
        <f>DISCIPLINAS!B219</f>
        <v/>
      </c>
    </row>
    <row r="221">
      <c r="I221" s="275">
        <f>DISCIPLINAS!B220</f>
        <v/>
      </c>
    </row>
    <row r="222">
      <c r="I222" s="275">
        <f>DISCIPLINAS!B221</f>
        <v/>
      </c>
    </row>
    <row r="223">
      <c r="I223" s="275">
        <f>DISCIPLINAS!B222</f>
        <v/>
      </c>
    </row>
    <row r="224">
      <c r="I224" s="275">
        <f>DISCIPLINAS!B223</f>
        <v/>
      </c>
    </row>
    <row r="225">
      <c r="I225" s="275">
        <f>DISCIPLINAS!B224</f>
        <v/>
      </c>
    </row>
    <row r="226">
      <c r="I226" s="275">
        <f>DISCIPLINAS!B225</f>
        <v/>
      </c>
    </row>
    <row r="227">
      <c r="I227" s="275">
        <f>DISCIPLINAS!B226</f>
        <v/>
      </c>
    </row>
    <row r="228">
      <c r="I228" s="275">
        <f>DISCIPLINAS!B227</f>
        <v/>
      </c>
    </row>
    <row r="229">
      <c r="I229" s="275">
        <f>DISCIPLINAS!B228</f>
        <v/>
      </c>
    </row>
    <row r="230">
      <c r="I230" s="275">
        <f>DISCIPLINAS!B229</f>
        <v/>
      </c>
    </row>
    <row r="231">
      <c r="I231" s="275">
        <f>DISCIPLINAS!B230</f>
        <v/>
      </c>
    </row>
    <row r="232">
      <c r="I232" s="275">
        <f>DISCIPLINAS!B231</f>
        <v/>
      </c>
    </row>
    <row r="233">
      <c r="I233" s="275">
        <f>DISCIPLINAS!B232</f>
        <v/>
      </c>
    </row>
    <row r="234">
      <c r="I234" s="275">
        <f>DISCIPLINAS!B233</f>
        <v/>
      </c>
    </row>
    <row r="235">
      <c r="I235" s="275">
        <f>DISCIPLINAS!B234</f>
        <v/>
      </c>
    </row>
    <row r="236">
      <c r="I236" s="275">
        <f>DISCIPLINAS!B235</f>
        <v/>
      </c>
    </row>
    <row r="237">
      <c r="I237" s="275">
        <f>DISCIPLINAS!B236</f>
        <v/>
      </c>
    </row>
    <row r="238">
      <c r="I238" s="275">
        <f>DISCIPLINAS!B237</f>
        <v/>
      </c>
    </row>
    <row r="239">
      <c r="I239" s="275">
        <f>DISCIPLINAS!B238</f>
        <v/>
      </c>
    </row>
    <row r="240">
      <c r="I240" s="275">
        <f>DISCIPLINAS!B239</f>
        <v/>
      </c>
    </row>
    <row r="241">
      <c r="I241" s="275">
        <f>DISCIPLINAS!B240</f>
        <v/>
      </c>
    </row>
    <row r="242">
      <c r="I242" s="275">
        <f>DISCIPLINAS!B241</f>
        <v/>
      </c>
    </row>
    <row r="243">
      <c r="I243" s="275">
        <f>DISCIPLINAS!B242</f>
        <v/>
      </c>
    </row>
    <row r="244">
      <c r="I244" s="275">
        <f>DISCIPLINAS!B243</f>
        <v/>
      </c>
    </row>
    <row r="245">
      <c r="I245" s="275">
        <f>DISCIPLINAS!B244</f>
        <v/>
      </c>
    </row>
    <row r="246">
      <c r="I246" s="275">
        <f>DISCIPLINAS!B245</f>
        <v/>
      </c>
    </row>
    <row r="247">
      <c r="I247" s="275">
        <f>DISCIPLINAS!B246</f>
        <v/>
      </c>
    </row>
    <row r="248">
      <c r="I248" s="275">
        <f>DISCIPLINAS!B247</f>
        <v/>
      </c>
    </row>
    <row r="249">
      <c r="I249" s="275">
        <f>DISCIPLINAS!B248</f>
        <v/>
      </c>
    </row>
    <row r="250">
      <c r="I250" s="275">
        <f>DISCIPLINAS!B249</f>
        <v/>
      </c>
    </row>
    <row r="251">
      <c r="I251" s="275">
        <f>DISCIPLINAS!B250</f>
        <v/>
      </c>
    </row>
    <row r="252">
      <c r="I252" s="275">
        <f>DISCIPLINAS!B251</f>
        <v/>
      </c>
    </row>
    <row r="253">
      <c r="I253" s="275">
        <f>DISCIPLINAS!B252</f>
        <v/>
      </c>
    </row>
    <row r="254">
      <c r="I254" s="275">
        <f>DISCIPLINAS!B253</f>
        <v/>
      </c>
    </row>
    <row r="255">
      <c r="I255" s="275">
        <f>DISCIPLINAS!B254</f>
        <v/>
      </c>
    </row>
    <row r="256">
      <c r="I256" s="275">
        <f>DISCIPLINAS!B255</f>
        <v/>
      </c>
    </row>
    <row r="257">
      <c r="I257" s="275">
        <f>DISCIPLINAS!B256</f>
        <v/>
      </c>
    </row>
    <row r="258">
      <c r="I258" s="275">
        <f>DISCIPLINAS!B257</f>
        <v/>
      </c>
    </row>
    <row r="259">
      <c r="I259" s="275">
        <f>DISCIPLINAS!B258</f>
        <v/>
      </c>
    </row>
    <row r="260">
      <c r="I260" s="275">
        <f>DISCIPLINAS!B259</f>
        <v/>
      </c>
    </row>
    <row r="261">
      <c r="I261" s="275">
        <f>DISCIPLINAS!B260</f>
        <v/>
      </c>
    </row>
    <row r="262">
      <c r="I262" s="275">
        <f>DISCIPLINAS!B261</f>
        <v/>
      </c>
    </row>
    <row r="263">
      <c r="I263" s="275">
        <f>DISCIPLINAS!B262</f>
        <v/>
      </c>
    </row>
    <row r="264">
      <c r="I264" s="275">
        <f>DISCIPLINAS!B263</f>
        <v/>
      </c>
    </row>
    <row r="265">
      <c r="I265" s="275">
        <f>DISCIPLINAS!B264</f>
        <v/>
      </c>
    </row>
    <row r="266">
      <c r="I266" s="275">
        <f>DISCIPLINAS!B265</f>
        <v/>
      </c>
    </row>
    <row r="267">
      <c r="I267" s="275">
        <f>DISCIPLINAS!B266</f>
        <v/>
      </c>
    </row>
    <row r="268">
      <c r="I268" s="275">
        <f>DISCIPLINAS!B267</f>
        <v/>
      </c>
    </row>
    <row r="269">
      <c r="I269" s="275">
        <f>DISCIPLINAS!B268</f>
        <v/>
      </c>
    </row>
    <row r="270">
      <c r="I270" s="275">
        <f>DISCIPLINAS!B269</f>
        <v/>
      </c>
    </row>
    <row r="271">
      <c r="I271" s="275">
        <f>DISCIPLINAS!B270</f>
        <v/>
      </c>
    </row>
    <row r="272">
      <c r="I272" s="275">
        <f>DISCIPLINAS!B271</f>
        <v/>
      </c>
    </row>
    <row r="273">
      <c r="I273" s="275">
        <f>DISCIPLINAS!B272</f>
        <v/>
      </c>
    </row>
    <row r="274">
      <c r="I274" s="275">
        <f>DISCIPLINAS!B273</f>
        <v/>
      </c>
    </row>
    <row r="275">
      <c r="I275" s="275">
        <f>DISCIPLINAS!B274</f>
        <v/>
      </c>
    </row>
    <row r="276">
      <c r="I276" s="275">
        <f>DISCIPLINAS!B275</f>
        <v/>
      </c>
    </row>
    <row r="277">
      <c r="I277" s="275">
        <f>DISCIPLINAS!B276</f>
        <v/>
      </c>
    </row>
    <row r="278">
      <c r="I278" s="275">
        <f>DISCIPLINAS!B277</f>
        <v/>
      </c>
    </row>
    <row r="279">
      <c r="I279" s="275">
        <f>DISCIPLINAS!B278</f>
        <v/>
      </c>
    </row>
    <row r="280">
      <c r="I280" s="275">
        <f>DISCIPLINAS!B279</f>
        <v/>
      </c>
    </row>
    <row r="281">
      <c r="I281" s="275">
        <f>DISCIPLINAS!B280</f>
        <v/>
      </c>
    </row>
    <row r="282">
      <c r="I282" s="275">
        <f>DISCIPLINAS!B281</f>
        <v/>
      </c>
    </row>
    <row r="283">
      <c r="I283" s="275">
        <f>DISCIPLINAS!B282</f>
        <v/>
      </c>
    </row>
    <row r="284">
      <c r="I284" s="275">
        <f>DISCIPLINAS!B283</f>
        <v/>
      </c>
    </row>
    <row r="285">
      <c r="I285" s="275">
        <f>DISCIPLINAS!B284</f>
        <v/>
      </c>
    </row>
    <row r="286">
      <c r="I286" s="275">
        <f>DISCIPLINAS!B285</f>
        <v/>
      </c>
    </row>
    <row r="287">
      <c r="I287" s="275">
        <f>DISCIPLINAS!B286</f>
        <v/>
      </c>
    </row>
    <row r="288">
      <c r="I288" s="275">
        <f>DISCIPLINAS!B287</f>
        <v/>
      </c>
    </row>
    <row r="289">
      <c r="I289" s="275">
        <f>DISCIPLINAS!B288</f>
        <v/>
      </c>
    </row>
    <row r="290">
      <c r="I290" s="275">
        <f>DISCIPLINAS!B289</f>
        <v/>
      </c>
    </row>
    <row r="291">
      <c r="I291" s="275">
        <f>DISCIPLINAS!B290</f>
        <v/>
      </c>
    </row>
    <row r="292">
      <c r="I292" s="275">
        <f>DISCIPLINAS!B291</f>
        <v/>
      </c>
    </row>
    <row r="293">
      <c r="I293" s="275">
        <f>DISCIPLINAS!B292</f>
        <v/>
      </c>
    </row>
    <row r="294">
      <c r="I294" s="275">
        <f>DISCIPLINAS!B293</f>
        <v/>
      </c>
    </row>
    <row r="295">
      <c r="I295" s="275">
        <f>DISCIPLINAS!B294</f>
        <v/>
      </c>
    </row>
    <row r="296">
      <c r="I296" s="275">
        <f>DISCIPLINAS!B295</f>
        <v/>
      </c>
    </row>
    <row r="297">
      <c r="I297" s="275">
        <f>DISCIPLINAS!B296</f>
        <v/>
      </c>
    </row>
    <row r="298">
      <c r="I298" s="275">
        <f>DISCIPLINAS!B297</f>
        <v/>
      </c>
    </row>
    <row r="299">
      <c r="I299" s="275">
        <f>DISCIPLINAS!B298</f>
        <v/>
      </c>
    </row>
    <row r="300">
      <c r="I300" s="275">
        <f>DISCIPLINAS!B299</f>
        <v/>
      </c>
    </row>
    <row r="301">
      <c r="I301" s="275">
        <f>DISCIPLINAS!B300</f>
        <v/>
      </c>
    </row>
    <row r="302">
      <c r="I302" s="275">
        <f>DISCIPLINAS!B301</f>
        <v/>
      </c>
    </row>
    <row r="303">
      <c r="I303" s="275">
        <f>DISCIPLINAS!B302</f>
        <v/>
      </c>
    </row>
    <row r="304">
      <c r="I304" s="275">
        <f>DISCIPLINAS!B303</f>
        <v/>
      </c>
    </row>
    <row r="305">
      <c r="I305" s="275">
        <f>DISCIPLINAS!B304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E29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130" min="1" max="1"/>
    <col width="12" customWidth="1" style="130" min="2" max="4"/>
    <col width="14" customWidth="1" style="131" min="3" max="3"/>
    <col width="18" customWidth="1" style="131" min="4" max="4"/>
    <col width="18" customWidth="1" style="130" min="5" max="5"/>
  </cols>
  <sheetData>
    <row r="1" ht="24" customHeight="1" s="131">
      <c r="A1" s="262" t="inlineStr">
        <is>
          <t>DIMENSÃO DE SEMESTRES</t>
        </is>
      </c>
    </row>
    <row r="2" ht="30" customHeight="1" s="131">
      <c r="A2" s="263" t="inlineStr">
        <is>
          <t>Lista usada pelos seletores e cálculos semestrais.</t>
        </is>
      </c>
    </row>
    <row r="3"/>
    <row r="4" ht="30" customHeight="1" s="131">
      <c r="A4" s="282" t="inlineStr">
        <is>
          <t>Semestral</t>
        </is>
      </c>
      <c r="B4" s="282" t="inlineStr">
        <is>
          <t>Ano</t>
        </is>
      </c>
      <c r="C4" s="282" t="inlineStr">
        <is>
          <t>Semestre nº</t>
        </is>
      </c>
      <c r="D4" s="282" t="inlineStr">
        <is>
          <t>Mês inicial</t>
        </is>
      </c>
      <c r="E4" s="282" t="inlineStr">
        <is>
          <t>Mês final</t>
        </is>
      </c>
    </row>
    <row r="5" ht="15" customHeight="1" s="131">
      <c r="A5" s="164" t="inlineStr">
        <is>
          <t>2024-SEM1</t>
        </is>
      </c>
      <c r="B5" s="164" t="n">
        <v>2024</v>
      </c>
      <c r="C5" s="164" t="n">
        <v>1</v>
      </c>
      <c r="D5" s="164" t="inlineStr">
        <is>
          <t>2024-01</t>
        </is>
      </c>
      <c r="E5" s="164" t="inlineStr">
        <is>
          <t>2024-06</t>
        </is>
      </c>
    </row>
    <row r="6" ht="15" customHeight="1" s="131">
      <c r="A6" s="164" t="inlineStr">
        <is>
          <t>2024-SEM2</t>
        </is>
      </c>
      <c r="B6" s="164" t="n">
        <v>2024</v>
      </c>
      <c r="C6" s="164" t="n">
        <v>2</v>
      </c>
      <c r="D6" s="164" t="inlineStr">
        <is>
          <t>2024-07</t>
        </is>
      </c>
      <c r="E6" s="164" t="inlineStr">
        <is>
          <t>2024-12</t>
        </is>
      </c>
    </row>
    <row r="7" ht="15" customHeight="1" s="131">
      <c r="A7" s="164" t="inlineStr">
        <is>
          <t>2025-SEM1</t>
        </is>
      </c>
      <c r="B7" s="164" t="n">
        <v>2025</v>
      </c>
      <c r="C7" s="164" t="n">
        <v>1</v>
      </c>
      <c r="D7" s="164" t="inlineStr">
        <is>
          <t>2025-01</t>
        </is>
      </c>
      <c r="E7" s="164" t="inlineStr">
        <is>
          <t>2025-06</t>
        </is>
      </c>
    </row>
    <row r="8" ht="15" customHeight="1" s="131">
      <c r="A8" s="164" t="inlineStr">
        <is>
          <t>2025-SEM2</t>
        </is>
      </c>
      <c r="B8" s="164" t="n">
        <v>2025</v>
      </c>
      <c r="C8" s="164" t="n">
        <v>2</v>
      </c>
      <c r="D8" s="164" t="inlineStr">
        <is>
          <t>2025-07</t>
        </is>
      </c>
      <c r="E8" s="164" t="inlineStr">
        <is>
          <t>2025-12</t>
        </is>
      </c>
    </row>
    <row r="9" ht="15" customHeight="1" s="131">
      <c r="A9" s="164" t="inlineStr">
        <is>
          <t>2026-SEM1</t>
        </is>
      </c>
      <c r="B9" s="164" t="n">
        <v>2026</v>
      </c>
      <c r="C9" s="164" t="n">
        <v>1</v>
      </c>
      <c r="D9" s="164" t="inlineStr">
        <is>
          <t>2026-01</t>
        </is>
      </c>
      <c r="E9" s="164" t="inlineStr">
        <is>
          <t>2026-06</t>
        </is>
      </c>
    </row>
    <row r="10" ht="15" customHeight="1" s="131">
      <c r="A10" s="164" t="inlineStr">
        <is>
          <t>2026-SEM2</t>
        </is>
      </c>
      <c r="B10" s="164" t="n">
        <v>2026</v>
      </c>
      <c r="C10" s="164" t="n">
        <v>2</v>
      </c>
      <c r="D10" s="164" t="inlineStr">
        <is>
          <t>2026-07</t>
        </is>
      </c>
      <c r="E10" s="164" t="inlineStr">
        <is>
          <t>2026-12</t>
        </is>
      </c>
    </row>
    <row r="11" ht="15" customHeight="1" s="131">
      <c r="A11" s="164" t="inlineStr">
        <is>
          <t>2027-SEM1</t>
        </is>
      </c>
      <c r="B11" s="164" t="n">
        <v>2027</v>
      </c>
      <c r="C11" s="164" t="n">
        <v>1</v>
      </c>
      <c r="D11" s="164" t="inlineStr">
        <is>
          <t>2027-01</t>
        </is>
      </c>
      <c r="E11" s="164" t="inlineStr">
        <is>
          <t>2027-06</t>
        </is>
      </c>
    </row>
    <row r="12" ht="15" customHeight="1" s="131">
      <c r="A12" s="164" t="inlineStr">
        <is>
          <t>2027-SEM2</t>
        </is>
      </c>
      <c r="B12" s="164" t="n">
        <v>2027</v>
      </c>
      <c r="C12" s="164" t="n">
        <v>2</v>
      </c>
      <c r="D12" s="164" t="inlineStr">
        <is>
          <t>2027-07</t>
        </is>
      </c>
      <c r="E12" s="164" t="inlineStr">
        <is>
          <t>2027-12</t>
        </is>
      </c>
    </row>
    <row r="13" ht="15" customHeight="1" s="131">
      <c r="A13" s="164" t="inlineStr">
        <is>
          <t>2028-SEM1</t>
        </is>
      </c>
      <c r="B13" s="164" t="n">
        <v>2028</v>
      </c>
      <c r="C13" s="164" t="n">
        <v>1</v>
      </c>
      <c r="D13" t="inlineStr">
        <is>
          <t>2028-01</t>
        </is>
      </c>
      <c r="E13" s="164" t="inlineStr">
        <is>
          <t>2028-06</t>
        </is>
      </c>
    </row>
    <row r="14" ht="15" customHeight="1" s="131">
      <c r="A14" s="164" t="inlineStr">
        <is>
          <t>2028-SEM2</t>
        </is>
      </c>
      <c r="B14" s="164" t="n">
        <v>2028</v>
      </c>
      <c r="C14" s="164" t="n">
        <v>2</v>
      </c>
      <c r="D14" t="inlineStr">
        <is>
          <t>2028-07</t>
        </is>
      </c>
      <c r="E14" s="164" t="inlineStr">
        <is>
          <t>2028-12</t>
        </is>
      </c>
    </row>
    <row r="15" ht="15" customHeight="1" s="131">
      <c r="A15" s="164" t="inlineStr">
        <is>
          <t>2029-SEM1</t>
        </is>
      </c>
      <c r="B15" s="164" t="n">
        <v>2029</v>
      </c>
      <c r="C15" s="164" t="n">
        <v>1</v>
      </c>
      <c r="D15" t="inlineStr">
        <is>
          <t>2029-01</t>
        </is>
      </c>
      <c r="E15" s="164" t="inlineStr">
        <is>
          <t>2029-06</t>
        </is>
      </c>
    </row>
    <row r="16" ht="15" customHeight="1" s="131">
      <c r="A16" s="164" t="inlineStr">
        <is>
          <t>2029-SEM2</t>
        </is>
      </c>
      <c r="B16" s="164" t="n">
        <v>2029</v>
      </c>
      <c r="C16" s="164" t="n">
        <v>2</v>
      </c>
      <c r="D16" t="inlineStr">
        <is>
          <t>2029-07</t>
        </is>
      </c>
      <c r="E16" s="164" t="inlineStr">
        <is>
          <t>2029-12</t>
        </is>
      </c>
    </row>
    <row r="17" ht="15" customHeight="1" s="131">
      <c r="A17" s="164" t="inlineStr">
        <is>
          <t>2030-SEM1</t>
        </is>
      </c>
      <c r="B17" s="164" t="n">
        <v>2030</v>
      </c>
      <c r="C17" s="164" t="n">
        <v>1</v>
      </c>
      <c r="D17" t="inlineStr">
        <is>
          <t>2030-01</t>
        </is>
      </c>
      <c r="E17" s="164" t="inlineStr">
        <is>
          <t>2030-06</t>
        </is>
      </c>
    </row>
    <row r="18" ht="15" customHeight="1" s="131">
      <c r="A18" s="164" t="inlineStr">
        <is>
          <t>2030-SEM2</t>
        </is>
      </c>
      <c r="B18" s="164" t="n">
        <v>2030</v>
      </c>
      <c r="C18" s="164" t="n">
        <v>2</v>
      </c>
      <c r="D18" t="inlineStr">
        <is>
          <t>2030-07</t>
        </is>
      </c>
      <c r="E18" s="164" t="inlineStr">
        <is>
          <t>2030-12</t>
        </is>
      </c>
    </row>
    <row r="19" ht="15" customHeight="1" s="131">
      <c r="A19" s="164" t="inlineStr">
        <is>
          <t>2031-SEM1</t>
        </is>
      </c>
      <c r="B19" s="164" t="n">
        <v>2031</v>
      </c>
      <c r="C19" s="164" t="n">
        <v>1</v>
      </c>
      <c r="D19" t="inlineStr">
        <is>
          <t>2031-01</t>
        </is>
      </c>
      <c r="E19" s="164" t="inlineStr">
        <is>
          <t>2031-06</t>
        </is>
      </c>
    </row>
    <row r="20" ht="15" customHeight="1" s="131">
      <c r="A20" s="164" t="inlineStr">
        <is>
          <t>2031-SEM2</t>
        </is>
      </c>
      <c r="B20" s="164" t="n">
        <v>2031</v>
      </c>
      <c r="C20" s="164" t="n">
        <v>2</v>
      </c>
      <c r="D20" t="inlineStr">
        <is>
          <t>2031-07</t>
        </is>
      </c>
      <c r="E20" s="164" t="inlineStr">
        <is>
          <t>2031-12</t>
        </is>
      </c>
    </row>
    <row r="21" ht="15" customHeight="1" s="131">
      <c r="A21" s="164" t="inlineStr">
        <is>
          <t>2032-SEM1</t>
        </is>
      </c>
      <c r="B21" s="164" t="n">
        <v>2032</v>
      </c>
      <c r="C21" s="164" t="n">
        <v>1</v>
      </c>
      <c r="D21" t="inlineStr">
        <is>
          <t>2032-01</t>
        </is>
      </c>
      <c r="E21" s="164" t="inlineStr">
        <is>
          <t>2032-06</t>
        </is>
      </c>
    </row>
    <row r="22" ht="15" customHeight="1" s="131">
      <c r="A22" s="164" t="inlineStr">
        <is>
          <t>2032-SEM2</t>
        </is>
      </c>
      <c r="B22" s="164" t="n">
        <v>2032</v>
      </c>
      <c r="C22" s="164" t="n">
        <v>2</v>
      </c>
      <c r="D22" t="inlineStr">
        <is>
          <t>2032-07</t>
        </is>
      </c>
      <c r="E22" s="164" t="inlineStr">
        <is>
          <t>2032-12</t>
        </is>
      </c>
    </row>
    <row r="23" ht="15" customHeight="1" s="131">
      <c r="A23" s="164" t="inlineStr">
        <is>
          <t>2033-SEM1</t>
        </is>
      </c>
      <c r="B23" s="164" t="n">
        <v>2033</v>
      </c>
      <c r="C23" s="164" t="n">
        <v>1</v>
      </c>
      <c r="D23" t="inlineStr">
        <is>
          <t>2033-01</t>
        </is>
      </c>
      <c r="E23" s="164" t="inlineStr">
        <is>
          <t>2033-06</t>
        </is>
      </c>
    </row>
    <row r="24" ht="15" customHeight="1" s="131">
      <c r="A24" s="164" t="inlineStr">
        <is>
          <t>2033-SEM2</t>
        </is>
      </c>
      <c r="B24" s="164" t="n">
        <v>2033</v>
      </c>
      <c r="C24" s="164" t="n">
        <v>2</v>
      </c>
      <c r="D24" t="inlineStr">
        <is>
          <t>2033-07</t>
        </is>
      </c>
      <c r="E24" s="164" t="inlineStr">
        <is>
          <t>2033-12</t>
        </is>
      </c>
    </row>
    <row r="25" ht="15" customHeight="1" s="131">
      <c r="A25" s="164" t="inlineStr">
        <is>
          <t>2034-SEM1</t>
        </is>
      </c>
      <c r="B25" s="164" t="n">
        <v>2034</v>
      </c>
      <c r="C25" s="164" t="n">
        <v>1</v>
      </c>
      <c r="D25" t="inlineStr">
        <is>
          <t>2034-01</t>
        </is>
      </c>
      <c r="E25" s="164" t="inlineStr">
        <is>
          <t>2034-06</t>
        </is>
      </c>
    </row>
    <row r="26" ht="15" customHeight="1" s="131">
      <c r="A26" s="164" t="inlineStr">
        <is>
          <t>2034-SEM2</t>
        </is>
      </c>
      <c r="B26" s="164" t="n">
        <v>2034</v>
      </c>
      <c r="C26" s="164" t="n">
        <v>2</v>
      </c>
      <c r="D26" t="inlineStr">
        <is>
          <t>2034-07</t>
        </is>
      </c>
      <c r="E26" s="164" t="inlineStr">
        <is>
          <t>2034-12</t>
        </is>
      </c>
    </row>
    <row r="27" ht="15" customHeight="1" s="131">
      <c r="A27" s="164" t="inlineStr">
        <is>
          <t>2035-SEM1</t>
        </is>
      </c>
      <c r="B27" s="164" t="n">
        <v>2035</v>
      </c>
      <c r="C27" s="164" t="n">
        <v>1</v>
      </c>
      <c r="D27" t="inlineStr">
        <is>
          <t>2035-01</t>
        </is>
      </c>
      <c r="E27" s="164" t="inlineStr">
        <is>
          <t>2035-06</t>
        </is>
      </c>
    </row>
    <row r="28" ht="15" customHeight="1" s="131">
      <c r="A28" s="164" t="inlineStr">
        <is>
          <t>2035-SEM2</t>
        </is>
      </c>
      <c r="B28" s="164" t="n">
        <v>2035</v>
      </c>
      <c r="C28" s="164" t="n">
        <v>2</v>
      </c>
      <c r="D28" t="inlineStr">
        <is>
          <t>2035-07</t>
        </is>
      </c>
      <c r="E28" s="164" t="inlineStr">
        <is>
          <t>2035-12</t>
        </is>
      </c>
    </row>
    <row r="29" ht="15" customHeight="1" s="131">
      <c r="A29" s="164" t="inlineStr">
        <is>
          <t>2036-SEM1</t>
        </is>
      </c>
      <c r="B29" s="164" t="n">
        <v>2036</v>
      </c>
      <c r="C29" s="164" t="n">
        <v>1</v>
      </c>
      <c r="D29" t="inlineStr">
        <is>
          <t>2036-01</t>
        </is>
      </c>
      <c r="E29" s="164" t="inlineStr">
        <is>
          <t>2036-06</t>
        </is>
      </c>
    </row>
    <row r="30" ht="15" customHeight="1" s="131">
      <c r="A30" s="164" t="inlineStr">
        <is>
          <t>2036-SEM2</t>
        </is>
      </c>
      <c r="B30" s="164" t="n">
        <v>2036</v>
      </c>
      <c r="C30" s="164" t="n">
        <v>2</v>
      </c>
      <c r="D30" t="inlineStr">
        <is>
          <t>2036-07</t>
        </is>
      </c>
      <c r="E30" s="164" t="inlineStr">
        <is>
          <t>2036-12</t>
        </is>
      </c>
    </row>
    <row r="31" ht="15" customHeight="1" s="131">
      <c r="A31" s="164" t="n"/>
      <c r="B31" s="164" t="n"/>
      <c r="C31" s="164" t="n"/>
      <c r="E31" s="164" t="n"/>
    </row>
    <row r="32" ht="15" customHeight="1" s="131">
      <c r="A32" s="164" t="n"/>
      <c r="B32" s="164" t="n"/>
      <c r="C32" s="164" t="n"/>
      <c r="E32" s="164" t="n"/>
    </row>
    <row r="33" ht="15" customHeight="1" s="131">
      <c r="A33" s="164" t="n"/>
      <c r="B33" s="164" t="n"/>
      <c r="C33" s="164" t="n"/>
      <c r="E33" s="164" t="n"/>
    </row>
    <row r="34" ht="15" customHeight="1" s="131">
      <c r="A34" s="164" t="n"/>
      <c r="B34" s="164" t="n"/>
      <c r="C34" s="164" t="n"/>
      <c r="E34" s="164" t="n"/>
    </row>
    <row r="35" ht="15" customHeight="1" s="131">
      <c r="A35" s="164" t="n"/>
      <c r="B35" s="164" t="n"/>
      <c r="C35" s="164" t="n"/>
      <c r="E35" s="164" t="n"/>
    </row>
    <row r="36" ht="15" customHeight="1" s="131">
      <c r="A36" s="164" t="n"/>
      <c r="B36" s="164" t="n"/>
      <c r="C36" s="164" t="n"/>
      <c r="E36" s="164" t="n"/>
    </row>
    <row r="37" ht="15" customHeight="1" s="131">
      <c r="A37" s="164" t="n"/>
      <c r="B37" s="164" t="n"/>
      <c r="C37" s="164" t="n"/>
      <c r="E37" s="164" t="n"/>
    </row>
    <row r="38" ht="15" customHeight="1" s="131">
      <c r="A38" s="164" t="n"/>
      <c r="B38" s="164" t="n"/>
      <c r="C38" s="164" t="n"/>
      <c r="E38" s="164" t="n"/>
    </row>
    <row r="39" ht="15" customHeight="1" s="131">
      <c r="A39" s="164" t="n"/>
      <c r="B39" s="164" t="n"/>
      <c r="C39" s="164" t="n"/>
      <c r="E39" s="164" t="n"/>
    </row>
    <row r="40" ht="15" customHeight="1" s="131">
      <c r="A40" s="164" t="n"/>
      <c r="B40" s="164" t="n"/>
      <c r="C40" s="164" t="n"/>
      <c r="E40" s="164" t="n"/>
    </row>
    <row r="41" ht="15" customHeight="1" s="131">
      <c r="A41" s="164" t="n"/>
      <c r="B41" s="164" t="n"/>
      <c r="C41" s="164" t="n"/>
      <c r="E41" s="164" t="n"/>
    </row>
    <row r="42" ht="15" customHeight="1" s="131">
      <c r="A42" s="164" t="n"/>
      <c r="B42" s="164" t="n"/>
      <c r="C42" s="164" t="n"/>
      <c r="E42" s="164" t="n"/>
    </row>
    <row r="43" ht="15" customHeight="1" s="131">
      <c r="A43" s="164" t="n"/>
      <c r="B43" s="164" t="n"/>
      <c r="C43" s="164" t="n"/>
      <c r="E43" s="164" t="n"/>
    </row>
    <row r="44" ht="15" customHeight="1" s="131">
      <c r="A44" s="164" t="n"/>
      <c r="B44" s="164" t="n"/>
      <c r="C44" s="164" t="n"/>
      <c r="E44" s="164" t="n"/>
    </row>
    <row r="45" ht="15" customHeight="1" s="131">
      <c r="A45" s="164" t="n"/>
      <c r="B45" s="164" t="n"/>
      <c r="C45" s="164" t="n"/>
      <c r="E45" s="164" t="n"/>
    </row>
    <row r="46" ht="15" customHeight="1" s="131">
      <c r="A46" s="164" t="n"/>
      <c r="B46" s="164" t="n"/>
      <c r="C46" s="164" t="n"/>
      <c r="E46" s="164" t="n"/>
    </row>
    <row r="47" ht="15" customHeight="1" s="131">
      <c r="A47" s="164" t="n"/>
      <c r="B47" s="164" t="n"/>
      <c r="C47" s="164" t="n"/>
      <c r="E47" s="164" t="n"/>
    </row>
    <row r="48" ht="15" customHeight="1" s="131">
      <c r="A48" s="164" t="n"/>
      <c r="B48" s="164" t="n"/>
      <c r="C48" s="164" t="n"/>
      <c r="E48" s="164" t="n"/>
    </row>
    <row r="49" ht="15" customHeight="1" s="131">
      <c r="A49" s="164" t="n"/>
      <c r="B49" s="164" t="n"/>
      <c r="C49" s="164" t="n"/>
      <c r="E49" s="164" t="n"/>
    </row>
    <row r="50" ht="15" customHeight="1" s="131">
      <c r="A50" s="164" t="n"/>
      <c r="B50" s="164" t="n"/>
      <c r="C50" s="164" t="n"/>
      <c r="E50" s="164" t="n"/>
    </row>
    <row r="51" ht="15" customHeight="1" s="131">
      <c r="A51" s="164" t="n"/>
      <c r="B51" s="164" t="n"/>
      <c r="C51" s="164" t="n"/>
      <c r="E51" s="164" t="n"/>
    </row>
    <row r="52" ht="15" customHeight="1" s="131">
      <c r="A52" s="164" t="n"/>
      <c r="B52" s="164" t="n"/>
      <c r="C52" s="164" t="n"/>
      <c r="E52" s="164" t="n"/>
    </row>
    <row r="53" ht="15" customHeight="1" s="131">
      <c r="B53" s="164" t="n"/>
      <c r="C53" s="164" t="n"/>
      <c r="E53" s="164" t="n"/>
    </row>
    <row r="54" ht="15" customHeight="1" s="131">
      <c r="B54" s="164" t="n"/>
      <c r="C54" s="164" t="n"/>
      <c r="E54" s="164" t="n"/>
    </row>
    <row r="55" ht="15" customHeight="1" s="131">
      <c r="B55" s="164" t="n"/>
      <c r="C55" s="164" t="n"/>
      <c r="E55" s="164" t="n"/>
    </row>
    <row r="56" ht="15" customHeight="1" s="131">
      <c r="B56" s="164" t="n"/>
      <c r="C56" s="164" t="n"/>
      <c r="E56" s="164" t="n"/>
    </row>
    <row r="57" ht="15" customHeight="1" s="131">
      <c r="B57" s="164" t="n"/>
      <c r="C57" s="164" t="n"/>
      <c r="E57" s="164" t="n"/>
    </row>
    <row r="58" ht="15" customHeight="1" s="131">
      <c r="B58" s="164" t="n"/>
      <c r="C58" s="164" t="n"/>
      <c r="E58" s="164" t="n"/>
    </row>
    <row r="59" ht="15" customHeight="1" s="131">
      <c r="B59" s="164" t="n"/>
      <c r="C59" s="164" t="n"/>
      <c r="E59" s="164" t="n"/>
    </row>
    <row r="60" ht="15" customHeight="1" s="131">
      <c r="B60" s="164" t="n"/>
      <c r="C60" s="164" t="n"/>
      <c r="E60" s="164" t="n"/>
    </row>
    <row r="61" ht="15" customHeight="1" s="131">
      <c r="B61" s="164" t="n"/>
      <c r="C61" s="164" t="n"/>
      <c r="E61" s="164" t="n"/>
    </row>
    <row r="62" ht="15" customHeight="1" s="131">
      <c r="B62" s="164" t="n"/>
      <c r="C62" s="164" t="n"/>
      <c r="E62" s="164" t="n"/>
    </row>
    <row r="63" ht="15" customHeight="1" s="131">
      <c r="B63" s="164" t="n"/>
      <c r="C63" s="164" t="n"/>
      <c r="E63" s="164" t="n"/>
    </row>
    <row r="64" ht="15" customHeight="1" s="131">
      <c r="B64" s="164" t="n"/>
      <c r="C64" s="164" t="n"/>
      <c r="E64" s="164" t="n"/>
    </row>
    <row r="65" ht="15" customHeight="1" s="131">
      <c r="B65" s="164" t="n"/>
      <c r="C65" s="164" t="n"/>
      <c r="E65" s="164" t="n"/>
    </row>
    <row r="66" ht="15" customHeight="1" s="131">
      <c r="B66" s="164" t="n"/>
      <c r="C66" s="164" t="n"/>
      <c r="E66" s="164" t="n"/>
    </row>
    <row r="67" ht="15" customHeight="1" s="131">
      <c r="B67" s="164" t="n"/>
      <c r="C67" s="164" t="n"/>
      <c r="E67" s="164" t="n"/>
    </row>
    <row r="68" ht="15" customHeight="1" s="131">
      <c r="B68" s="164" t="n"/>
      <c r="C68" s="164" t="n"/>
      <c r="E68" s="164" t="n"/>
    </row>
    <row r="69" ht="15" customHeight="1" s="131">
      <c r="B69" s="164" t="n"/>
      <c r="C69" s="164" t="n"/>
      <c r="E69" s="164" t="n"/>
    </row>
    <row r="70" ht="15" customHeight="1" s="131">
      <c r="B70" s="164" t="n"/>
      <c r="C70" s="164" t="n"/>
      <c r="E70" s="164" t="n"/>
    </row>
    <row r="71" ht="15" customHeight="1" s="131">
      <c r="B71" s="164" t="n"/>
      <c r="C71" s="164" t="n"/>
      <c r="E71" s="164" t="n"/>
    </row>
    <row r="72" ht="15" customHeight="1" s="131">
      <c r="B72" s="164" t="n"/>
      <c r="C72" s="164" t="n"/>
      <c r="E72" s="164" t="n"/>
    </row>
    <row r="73" ht="15" customHeight="1" s="131">
      <c r="B73" s="164" t="n"/>
      <c r="C73" s="164" t="n"/>
      <c r="E73" s="164" t="n"/>
    </row>
    <row r="74" ht="15" customHeight="1" s="131">
      <c r="B74" s="164" t="n"/>
      <c r="C74" s="164" t="n"/>
      <c r="E74" s="164" t="n"/>
    </row>
    <row r="75" ht="15" customHeight="1" s="131">
      <c r="B75" s="164" t="n"/>
      <c r="C75" s="164" t="n"/>
      <c r="E75" s="164" t="n"/>
    </row>
    <row r="76" ht="15" customHeight="1" s="131">
      <c r="B76" s="164" t="n"/>
      <c r="C76" s="164" t="n"/>
      <c r="E76" s="164" t="n"/>
    </row>
    <row r="77" ht="15" customHeight="1" s="131">
      <c r="B77" s="164" t="n"/>
      <c r="C77" s="164" t="n"/>
      <c r="E77" s="164" t="n"/>
    </row>
    <row r="78" ht="15" customHeight="1" s="131">
      <c r="B78" s="164" t="n"/>
      <c r="C78" s="164" t="n"/>
      <c r="E78" s="164" t="n"/>
    </row>
    <row r="79" ht="15" customHeight="1" s="131">
      <c r="B79" s="164" t="n"/>
      <c r="C79" s="164" t="n"/>
      <c r="E79" s="164" t="n"/>
    </row>
    <row r="80" ht="15" customHeight="1" s="131">
      <c r="B80" s="164" t="n"/>
      <c r="C80" s="164" t="n"/>
      <c r="E80" s="164" t="n"/>
    </row>
    <row r="81" ht="15" customHeight="1" s="131">
      <c r="B81" s="164" t="n"/>
      <c r="C81" s="164" t="n"/>
      <c r="E81" s="164" t="n"/>
    </row>
    <row r="82" ht="15" customHeight="1" s="131">
      <c r="B82" s="164" t="n"/>
      <c r="C82" s="164" t="n"/>
      <c r="E82" s="164" t="n"/>
    </row>
    <row r="83" ht="15" customHeight="1" s="131">
      <c r="B83" s="164" t="n"/>
      <c r="C83" s="164" t="n"/>
      <c r="E83" s="164" t="n"/>
    </row>
    <row r="84" ht="15" customHeight="1" s="131">
      <c r="B84" s="164" t="n"/>
      <c r="C84" s="164" t="n"/>
      <c r="E84" s="164" t="n"/>
    </row>
    <row r="85" ht="15" customHeight="1" s="131">
      <c r="B85" s="164" t="n"/>
      <c r="C85" s="164" t="n"/>
      <c r="E85" s="164" t="n"/>
    </row>
    <row r="86" ht="15" customHeight="1" s="131">
      <c r="B86" s="164" t="n"/>
      <c r="C86" s="164" t="n"/>
      <c r="E86" s="164" t="n"/>
    </row>
    <row r="87" ht="15" customHeight="1" s="131">
      <c r="B87" s="164" t="n"/>
      <c r="C87" s="164" t="n"/>
      <c r="E87" s="164" t="n"/>
    </row>
    <row r="88" ht="15" customHeight="1" s="131">
      <c r="B88" s="164" t="n"/>
      <c r="C88" s="164" t="n"/>
      <c r="E88" s="164" t="n"/>
    </row>
    <row r="89" ht="15" customHeight="1" s="131">
      <c r="B89" s="164" t="n"/>
      <c r="C89" s="164" t="n"/>
      <c r="E89" s="164" t="n"/>
    </row>
    <row r="90" ht="15" customHeight="1" s="131">
      <c r="B90" s="164" t="n"/>
      <c r="C90" s="164" t="n"/>
      <c r="E90" s="164" t="n"/>
    </row>
    <row r="91" ht="15" customHeight="1" s="131">
      <c r="B91" s="164" t="n"/>
      <c r="C91" s="164" t="n"/>
      <c r="E91" s="164" t="n"/>
    </row>
    <row r="92" ht="15" customHeight="1" s="131">
      <c r="B92" s="164" t="n"/>
      <c r="C92" s="164" t="n"/>
      <c r="E92" s="164" t="n"/>
    </row>
    <row r="93" ht="15" customHeight="1" s="131">
      <c r="B93" s="164" t="n"/>
      <c r="C93" s="164" t="n"/>
      <c r="E93" s="164" t="n"/>
    </row>
    <row r="94" ht="15" customHeight="1" s="131">
      <c r="B94" s="164" t="n"/>
      <c r="C94" s="164" t="n"/>
      <c r="E94" s="164" t="n"/>
    </row>
    <row r="95" ht="15" customHeight="1" s="131">
      <c r="B95" s="164" t="n"/>
      <c r="C95" s="164" t="n"/>
      <c r="E95" s="164" t="n"/>
    </row>
    <row r="96" ht="15" customHeight="1" s="131">
      <c r="B96" s="164" t="n"/>
      <c r="C96" s="164" t="n"/>
      <c r="E96" s="164" t="n"/>
    </row>
    <row r="97" ht="15" customHeight="1" s="131">
      <c r="B97" s="164" t="n"/>
      <c r="C97" s="164" t="n"/>
      <c r="E97" s="164" t="n"/>
    </row>
    <row r="98" ht="15" customHeight="1" s="131">
      <c r="B98" s="164" t="n"/>
      <c r="C98" s="164" t="n"/>
      <c r="E98" s="164" t="n"/>
    </row>
    <row r="99" ht="15" customHeight="1" s="131">
      <c r="B99" s="164" t="n"/>
      <c r="C99" s="164" t="n"/>
      <c r="E99" s="164" t="n"/>
    </row>
    <row r="100" ht="15" customHeight="1" s="131">
      <c r="B100" s="164" t="n"/>
      <c r="C100" s="164" t="n"/>
      <c r="E100" s="164" t="n"/>
    </row>
    <row r="101" ht="15" customHeight="1" s="131">
      <c r="C101" s="164" t="n"/>
      <c r="E101" s="164" t="n"/>
    </row>
    <row r="102" ht="15" customHeight="1" s="131">
      <c r="C102" s="164" t="n"/>
      <c r="E102" s="164" t="n"/>
    </row>
    <row r="103" ht="15" customHeight="1" s="131">
      <c r="C103" s="164" t="n"/>
      <c r="E103" s="164" t="n"/>
    </row>
    <row r="104" ht="15" customHeight="1" s="131">
      <c r="C104" s="164" t="n"/>
      <c r="E104" s="164" t="n"/>
    </row>
    <row r="105" ht="15" customHeight="1" s="131">
      <c r="C105" s="164" t="n"/>
      <c r="E105" s="164" t="n"/>
    </row>
    <row r="106" ht="15" customHeight="1" s="131">
      <c r="C106" s="164" t="n"/>
      <c r="E106" s="164" t="n"/>
    </row>
    <row r="107" ht="15" customHeight="1" s="131">
      <c r="C107" s="164" t="n"/>
      <c r="E107" s="164" t="n"/>
    </row>
    <row r="108" ht="15" customHeight="1" s="131">
      <c r="C108" s="164" t="n"/>
      <c r="E108" s="164" t="n"/>
    </row>
    <row r="109" ht="15" customHeight="1" s="131">
      <c r="C109" s="164" t="n"/>
      <c r="E109" s="164" t="n"/>
    </row>
    <row r="110" ht="15" customHeight="1" s="131">
      <c r="C110" s="164" t="n"/>
      <c r="E110" s="164" t="n"/>
    </row>
    <row r="111" ht="15" customHeight="1" s="131">
      <c r="C111" s="164" t="n"/>
      <c r="E111" s="164" t="n"/>
    </row>
    <row r="112" ht="15" customHeight="1" s="131">
      <c r="C112" s="164" t="n"/>
      <c r="E112" s="164" t="n"/>
    </row>
    <row r="113" ht="15" customHeight="1" s="131">
      <c r="C113" s="164" t="n"/>
      <c r="E113" s="164" t="n"/>
    </row>
    <row r="114" ht="15" customHeight="1" s="131">
      <c r="C114" s="164" t="n"/>
      <c r="E114" s="164" t="n"/>
    </row>
    <row r="115" ht="15" customHeight="1" s="131">
      <c r="C115" s="164" t="n"/>
      <c r="E115" s="164" t="n"/>
    </row>
    <row r="116" ht="15" customHeight="1" s="131">
      <c r="C116" s="164" t="n"/>
      <c r="E116" s="164" t="n"/>
    </row>
    <row r="117" ht="15" customHeight="1" s="131">
      <c r="C117" s="164" t="n"/>
      <c r="E117" s="164" t="n"/>
    </row>
    <row r="118" ht="15" customHeight="1" s="131">
      <c r="C118" s="164" t="n"/>
      <c r="E118" s="164" t="n"/>
    </row>
    <row r="119" ht="15" customHeight="1" s="131">
      <c r="C119" s="164" t="n"/>
      <c r="E119" s="164" t="n"/>
    </row>
    <row r="120" ht="15" customHeight="1" s="131">
      <c r="C120" s="164" t="n"/>
      <c r="E120" s="164" t="n"/>
    </row>
    <row r="121" ht="15" customHeight="1" s="131">
      <c r="C121" s="164" t="n"/>
      <c r="E121" s="164" t="n"/>
    </row>
    <row r="122" ht="15" customHeight="1" s="131">
      <c r="C122" s="164" t="n"/>
      <c r="E122" s="164" t="n"/>
    </row>
    <row r="123" ht="15" customHeight="1" s="131">
      <c r="C123" s="164" t="n"/>
      <c r="E123" s="164" t="n"/>
    </row>
    <row r="124" ht="15" customHeight="1" s="131">
      <c r="C124" s="164" t="n"/>
      <c r="E124" s="164" t="n"/>
    </row>
    <row r="125" ht="15" customHeight="1" s="131">
      <c r="C125" s="164" t="n"/>
      <c r="E125" s="164" t="n"/>
    </row>
    <row r="126" ht="15" customHeight="1" s="131">
      <c r="C126" s="164" t="n"/>
      <c r="E126" s="164" t="n"/>
    </row>
    <row r="127" ht="15" customHeight="1" s="131">
      <c r="C127" s="164" t="n"/>
      <c r="E127" s="164" t="n"/>
    </row>
    <row r="128" ht="15" customHeight="1" s="131">
      <c r="C128" s="164" t="n"/>
      <c r="E128" s="164" t="n"/>
    </row>
    <row r="129" ht="15" customHeight="1" s="131">
      <c r="C129" s="164" t="n"/>
      <c r="E129" s="164" t="n"/>
    </row>
    <row r="130" ht="15" customHeight="1" s="131">
      <c r="C130" s="164" t="n"/>
      <c r="E130" s="164" t="n"/>
    </row>
    <row r="131" ht="15" customHeight="1" s="131">
      <c r="C131" s="164" t="n"/>
      <c r="E131" s="164" t="n"/>
    </row>
    <row r="132" ht="15" customHeight="1" s="131">
      <c r="C132" s="164" t="n"/>
      <c r="E132" s="164" t="n"/>
    </row>
    <row r="133" ht="15" customHeight="1" s="131">
      <c r="C133" s="164" t="n"/>
      <c r="E133" s="164" t="n"/>
    </row>
    <row r="134" ht="15" customHeight="1" s="131">
      <c r="C134" s="164" t="n"/>
      <c r="E134" s="164" t="n"/>
    </row>
    <row r="135" ht="15" customHeight="1" s="131">
      <c r="C135" s="164" t="n"/>
      <c r="E135" s="164" t="n"/>
    </row>
    <row r="136" ht="15" customHeight="1" s="131">
      <c r="C136" s="164" t="n"/>
      <c r="E136" s="164" t="n"/>
    </row>
    <row r="137" ht="15" customHeight="1" s="131">
      <c r="C137" s="164" t="n"/>
      <c r="E137" s="164" t="n"/>
    </row>
    <row r="138" ht="15" customHeight="1" s="131">
      <c r="C138" s="164" t="n"/>
      <c r="E138" s="164" t="n"/>
    </row>
    <row r="139" ht="15" customHeight="1" s="131">
      <c r="C139" s="164" t="n"/>
      <c r="E139" s="164" t="n"/>
    </row>
    <row r="140" ht="15" customHeight="1" s="131">
      <c r="C140" s="164" t="n"/>
      <c r="E140" s="164" t="n"/>
    </row>
    <row r="141" ht="15" customHeight="1" s="131">
      <c r="C141" s="164" t="n"/>
      <c r="E141" s="164" t="n"/>
    </row>
    <row r="142" ht="15" customHeight="1" s="131">
      <c r="C142" s="164" t="n"/>
      <c r="E142" s="164" t="n"/>
    </row>
    <row r="143" ht="15" customHeight="1" s="131">
      <c r="C143" s="164" t="n"/>
      <c r="E143" s="164" t="n"/>
    </row>
    <row r="144" ht="15" customHeight="1" s="131">
      <c r="C144" s="164" t="n"/>
      <c r="E144" s="164" t="n"/>
    </row>
    <row r="145" ht="15" customHeight="1" s="131">
      <c r="C145" s="164" t="n"/>
      <c r="E145" s="164" t="n"/>
    </row>
    <row r="146" ht="15" customHeight="1" s="131">
      <c r="C146" s="164" t="n"/>
      <c r="E146" s="164" t="n"/>
    </row>
    <row r="147" ht="15" customHeight="1" s="131">
      <c r="C147" s="164" t="n"/>
      <c r="E147" s="164" t="n"/>
    </row>
    <row r="148" ht="15" customHeight="1" s="131">
      <c r="C148" s="164" t="n"/>
      <c r="E148" s="164" t="n"/>
    </row>
    <row r="149" ht="15" customHeight="1" s="131">
      <c r="C149" s="164" t="n"/>
      <c r="E149" s="164" t="n"/>
    </row>
    <row r="150" ht="15" customHeight="1" s="131">
      <c r="C150" s="164" t="n"/>
      <c r="E150" s="164" t="n"/>
    </row>
    <row r="151" ht="15" customHeight="1" s="131">
      <c r="C151" s="164" t="n"/>
      <c r="E151" s="164" t="n"/>
    </row>
    <row r="152" ht="15" customHeight="1" s="131">
      <c r="C152" s="164" t="n"/>
      <c r="E152" s="164" t="n"/>
    </row>
    <row r="153" ht="15" customHeight="1" s="131">
      <c r="C153" s="164" t="n"/>
      <c r="E153" s="164" t="n"/>
    </row>
    <row r="154" ht="15" customHeight="1" s="131">
      <c r="C154" s="164" t="n"/>
      <c r="E154" s="164" t="n"/>
    </row>
    <row r="155" ht="15" customHeight="1" s="131">
      <c r="C155" s="164" t="n"/>
      <c r="E155" s="164" t="n"/>
    </row>
    <row r="156" ht="15" customHeight="1" s="131">
      <c r="C156" s="164" t="n"/>
      <c r="E156" s="164" t="n"/>
    </row>
    <row r="157" ht="15" customHeight="1" s="131">
      <c r="C157" s="164" t="n"/>
      <c r="E157" s="164" t="n"/>
    </row>
    <row r="158" ht="15" customHeight="1" s="131">
      <c r="C158" s="164" t="n"/>
      <c r="E158" s="164" t="n"/>
    </row>
    <row r="159" ht="15" customHeight="1" s="131">
      <c r="C159" s="164" t="n"/>
      <c r="E159" s="164" t="n"/>
    </row>
    <row r="160" ht="15" customHeight="1" s="131">
      <c r="C160" s="164" t="n"/>
      <c r="E160" s="164" t="n"/>
    </row>
    <row r="161" ht="15" customHeight="1" s="131">
      <c r="C161" s="164" t="n"/>
      <c r="E161" s="164" t="n"/>
    </row>
    <row r="162" ht="15" customHeight="1" s="131">
      <c r="C162" s="164" t="n"/>
      <c r="E162" s="164" t="n"/>
    </row>
    <row r="163" ht="15" customHeight="1" s="131">
      <c r="C163" s="164" t="n"/>
      <c r="E163" s="164" t="n"/>
    </row>
    <row r="164" ht="15" customHeight="1" s="131">
      <c r="C164" s="164" t="n"/>
      <c r="E164" s="164" t="n"/>
    </row>
    <row r="165" ht="15" customHeight="1" s="131">
      <c r="C165" s="164" t="n"/>
      <c r="E165" s="164" t="n"/>
    </row>
    <row r="166" ht="15" customHeight="1" s="131">
      <c r="C166" s="164" t="n"/>
      <c r="E166" s="164" t="n"/>
    </row>
    <row r="167" ht="15" customHeight="1" s="131">
      <c r="C167" s="164" t="n"/>
      <c r="E167" s="164" t="n"/>
    </row>
    <row r="168" ht="15" customHeight="1" s="131">
      <c r="C168" s="164" t="n"/>
      <c r="E168" s="164" t="n"/>
    </row>
    <row r="169" ht="15" customHeight="1" s="131">
      <c r="C169" s="164" t="n"/>
      <c r="E169" s="164" t="n"/>
    </row>
    <row r="170" ht="15" customHeight="1" s="131">
      <c r="C170" s="164" t="n"/>
      <c r="E170" s="164" t="n"/>
    </row>
    <row r="171" ht="15" customHeight="1" s="131">
      <c r="C171" s="164" t="n"/>
      <c r="E171" s="164" t="n"/>
    </row>
    <row r="172" ht="15" customHeight="1" s="131">
      <c r="C172" s="164" t="n"/>
      <c r="E172" s="164" t="n"/>
    </row>
    <row r="173" ht="15" customHeight="1" s="131">
      <c r="C173" s="164" t="n"/>
      <c r="E173" s="164" t="n"/>
    </row>
    <row r="174" ht="15" customHeight="1" s="131">
      <c r="C174" s="164" t="n"/>
      <c r="E174" s="164" t="n"/>
    </row>
    <row r="175" ht="15" customHeight="1" s="131">
      <c r="C175" s="164" t="n"/>
      <c r="E175" s="164" t="n"/>
    </row>
    <row r="176" ht="15" customHeight="1" s="131">
      <c r="C176" s="164" t="n"/>
      <c r="E176" s="164" t="n"/>
    </row>
    <row r="177" ht="15" customHeight="1" s="131">
      <c r="C177" s="164" t="n"/>
      <c r="E177" s="164" t="n"/>
    </row>
    <row r="178" ht="15" customHeight="1" s="131">
      <c r="C178" s="164" t="n"/>
      <c r="E178" s="164" t="n"/>
    </row>
    <row r="179" ht="15" customHeight="1" s="131">
      <c r="C179" s="164" t="n"/>
      <c r="E179" s="164" t="n"/>
    </row>
    <row r="180" ht="15" customHeight="1" s="131">
      <c r="C180" s="164" t="n"/>
      <c r="E180" s="164" t="n"/>
    </row>
    <row r="181" ht="15" customHeight="1" s="131">
      <c r="C181" s="164" t="n"/>
      <c r="E181" s="164" t="n"/>
    </row>
    <row r="182" ht="15" customHeight="1" s="131">
      <c r="C182" s="164" t="n"/>
      <c r="E182" s="164" t="n"/>
    </row>
    <row r="183" ht="15" customHeight="1" s="131">
      <c r="C183" s="164" t="n"/>
      <c r="E183" s="164" t="n"/>
    </row>
    <row r="184" ht="15" customHeight="1" s="131">
      <c r="C184" s="164" t="n"/>
      <c r="E184" s="164" t="n"/>
    </row>
    <row r="185" ht="15" customHeight="1" s="131">
      <c r="C185" s="164" t="n"/>
      <c r="E185" s="164" t="n"/>
    </row>
    <row r="186" ht="15" customHeight="1" s="131">
      <c r="C186" s="164" t="n"/>
      <c r="E186" s="164" t="n"/>
    </row>
    <row r="187" ht="15" customHeight="1" s="131">
      <c r="C187" s="164" t="n"/>
      <c r="E187" s="164" t="n"/>
    </row>
    <row r="188" ht="15" customHeight="1" s="131">
      <c r="C188" s="164" t="n"/>
      <c r="E188" s="164" t="n"/>
    </row>
    <row r="189" ht="15" customHeight="1" s="131">
      <c r="C189" s="164" t="n"/>
      <c r="E189" s="164" t="n"/>
    </row>
    <row r="190" ht="15" customHeight="1" s="131">
      <c r="C190" s="164" t="n"/>
      <c r="E190" s="164" t="n"/>
    </row>
    <row r="191" ht="15" customHeight="1" s="131">
      <c r="C191" s="164" t="n"/>
      <c r="E191" s="164" t="n"/>
    </row>
    <row r="192" ht="15" customHeight="1" s="131">
      <c r="C192" s="164" t="n"/>
      <c r="E192" s="164" t="n"/>
    </row>
    <row r="193" ht="15" customHeight="1" s="131">
      <c r="C193" s="164" t="n"/>
      <c r="E193" s="164" t="n"/>
    </row>
    <row r="194" ht="15" customHeight="1" s="131">
      <c r="C194" s="164" t="n"/>
      <c r="E194" s="164" t="n"/>
    </row>
    <row r="195" ht="15" customHeight="1" s="131">
      <c r="C195" s="164" t="n"/>
      <c r="E195" s="164" t="n"/>
    </row>
    <row r="196" ht="15" customHeight="1" s="131">
      <c r="C196" s="164" t="n"/>
      <c r="E196" s="164" t="n"/>
    </row>
    <row r="197" ht="15" customHeight="1" s="131">
      <c r="C197" s="164" t="n"/>
      <c r="E197" s="164" t="n"/>
    </row>
    <row r="198" ht="15" customHeight="1" s="131">
      <c r="C198" s="164" t="n"/>
      <c r="E198" s="164" t="n"/>
    </row>
    <row r="199" ht="15" customHeight="1" s="131">
      <c r="C199" s="164" t="n"/>
      <c r="E199" s="164" t="n"/>
    </row>
    <row r="200" ht="15" customHeight="1" s="131">
      <c r="C200" s="164" t="n"/>
      <c r="E200" s="164" t="n"/>
    </row>
    <row r="201" ht="15" customHeight="1" s="131">
      <c r="C201" s="164" t="n"/>
      <c r="E201" s="164" t="n"/>
    </row>
    <row r="202" ht="15" customHeight="1" s="131">
      <c r="C202" s="164" t="n"/>
      <c r="E202" s="164" t="n"/>
    </row>
    <row r="203" ht="15" customHeight="1" s="131">
      <c r="C203" s="164" t="n"/>
      <c r="E203" s="164" t="n"/>
    </row>
    <row r="204" ht="15" customHeight="1" s="131">
      <c r="C204" s="164" t="n"/>
      <c r="E204" s="164" t="n"/>
    </row>
    <row r="205" ht="15" customHeight="1" s="131">
      <c r="C205" s="164" t="n"/>
      <c r="E205" s="164" t="n"/>
    </row>
    <row r="206" ht="15" customHeight="1" s="131">
      <c r="C206" s="164" t="n"/>
      <c r="E206" s="164" t="n"/>
    </row>
    <row r="207" ht="15" customHeight="1" s="131">
      <c r="C207" s="164" t="n"/>
      <c r="E207" s="164" t="n"/>
    </row>
    <row r="208" ht="15" customHeight="1" s="131">
      <c r="C208" s="164" t="n"/>
      <c r="E208" s="164" t="n"/>
    </row>
    <row r="209" ht="15" customHeight="1" s="131">
      <c r="C209" s="164" t="n"/>
      <c r="E209" s="164" t="n"/>
    </row>
    <row r="210" ht="15" customHeight="1" s="131">
      <c r="C210" s="164" t="n"/>
      <c r="E210" s="164" t="n"/>
    </row>
    <row r="211" ht="15" customHeight="1" s="131">
      <c r="C211" s="164" t="n"/>
      <c r="E211" s="164" t="n"/>
    </row>
    <row r="212" ht="15" customHeight="1" s="131">
      <c r="C212" s="164" t="n"/>
      <c r="E212" s="164" t="n"/>
    </row>
    <row r="213" ht="15" customHeight="1" s="131">
      <c r="C213" s="164" t="n"/>
      <c r="E213" s="164" t="n"/>
    </row>
    <row r="214" ht="15" customHeight="1" s="131">
      <c r="C214" s="164" t="n"/>
      <c r="E214" s="164" t="n"/>
    </row>
    <row r="215" ht="15" customHeight="1" s="131">
      <c r="C215" s="164" t="n"/>
      <c r="E215" s="164" t="n"/>
    </row>
    <row r="216" ht="15" customHeight="1" s="131">
      <c r="C216" s="164" t="n"/>
      <c r="E216" s="164" t="n"/>
    </row>
    <row r="217" ht="15" customHeight="1" s="131">
      <c r="C217" s="164" t="n"/>
      <c r="E217" s="164" t="n"/>
    </row>
    <row r="218" ht="15" customHeight="1" s="131">
      <c r="C218" s="164" t="n"/>
      <c r="E218" s="164" t="n"/>
    </row>
    <row r="219" ht="15" customHeight="1" s="131">
      <c r="C219" s="164" t="n"/>
      <c r="E219" s="164" t="n"/>
    </row>
    <row r="220" ht="15" customHeight="1" s="131">
      <c r="C220" s="164" t="n"/>
      <c r="E220" s="164" t="n"/>
    </row>
    <row r="221" ht="15" customHeight="1" s="131">
      <c r="C221" s="164" t="n"/>
      <c r="E221" s="164" t="n"/>
    </row>
    <row r="222" ht="15" customHeight="1" s="131">
      <c r="C222" s="164" t="n"/>
      <c r="E222" s="164" t="n"/>
    </row>
    <row r="223" ht="15" customHeight="1" s="131">
      <c r="C223" s="164" t="n"/>
      <c r="E223" s="164" t="n"/>
    </row>
    <row r="224" ht="15" customHeight="1" s="131">
      <c r="C224" s="164" t="n"/>
      <c r="E224" s="164" t="n"/>
    </row>
    <row r="225" ht="15" customHeight="1" s="131">
      <c r="C225" s="164" t="n"/>
      <c r="E225" s="164" t="n"/>
    </row>
    <row r="226" ht="15" customHeight="1" s="131">
      <c r="C226" s="164" t="n"/>
      <c r="E226" s="164" t="n"/>
    </row>
    <row r="227" ht="15" customHeight="1" s="131">
      <c r="C227" s="164" t="n"/>
      <c r="E227" s="164" t="n"/>
    </row>
    <row r="228" ht="15" customHeight="1" s="131">
      <c r="C228" s="164" t="n"/>
      <c r="E228" s="164" t="n"/>
    </row>
    <row r="229" ht="15" customHeight="1" s="131">
      <c r="C229" s="164" t="n"/>
      <c r="E229" s="164" t="n"/>
    </row>
    <row r="230" ht="15" customHeight="1" s="131">
      <c r="C230" s="164" t="n"/>
      <c r="E230" s="164" t="n"/>
    </row>
    <row r="231" ht="15" customHeight="1" s="131">
      <c r="C231" s="164" t="n"/>
      <c r="E231" s="164" t="n"/>
    </row>
    <row r="232" ht="15" customHeight="1" s="131">
      <c r="C232" s="164" t="n"/>
      <c r="E232" s="164" t="n"/>
    </row>
    <row r="233" ht="15" customHeight="1" s="131">
      <c r="C233" s="164" t="n"/>
      <c r="E233" s="164" t="n"/>
    </row>
    <row r="234" ht="15" customHeight="1" s="131">
      <c r="C234" s="164" t="n"/>
      <c r="E234" s="164" t="n"/>
    </row>
    <row r="235" ht="15" customHeight="1" s="131">
      <c r="C235" s="164" t="n"/>
      <c r="E235" s="164" t="n"/>
    </row>
    <row r="236" ht="15" customHeight="1" s="131">
      <c r="C236" s="164" t="n"/>
      <c r="E236" s="164" t="n"/>
    </row>
    <row r="237" ht="15" customHeight="1" s="131">
      <c r="C237" s="164" t="n"/>
      <c r="E237" s="164" t="n"/>
    </row>
    <row r="238" ht="15" customHeight="1" s="131">
      <c r="C238" s="164" t="n"/>
      <c r="E238" s="164" t="n"/>
    </row>
    <row r="239" ht="15" customHeight="1" s="131">
      <c r="C239" s="164" t="n"/>
      <c r="E239" s="164" t="n"/>
    </row>
    <row r="240" ht="15" customHeight="1" s="131">
      <c r="C240" s="164" t="n"/>
      <c r="E240" s="164" t="n"/>
    </row>
    <row r="241" ht="15" customHeight="1" s="131">
      <c r="C241" s="164" t="n"/>
      <c r="E241" s="164" t="n"/>
    </row>
    <row r="242" ht="15" customHeight="1" s="131">
      <c r="C242" s="164" t="n"/>
      <c r="E242" s="164" t="n"/>
    </row>
    <row r="243" ht="15" customHeight="1" s="131">
      <c r="C243" s="164" t="n"/>
      <c r="E243" s="164" t="n"/>
    </row>
    <row r="244" ht="15" customHeight="1" s="131">
      <c r="C244" s="164" t="n"/>
      <c r="E244" s="164" t="n"/>
    </row>
    <row r="245" ht="15" customHeight="1" s="131">
      <c r="E245" s="164" t="n"/>
    </row>
    <row r="246" ht="15" customHeight="1" s="131">
      <c r="E246" s="164" t="n"/>
    </row>
    <row r="247" ht="15" customHeight="1" s="131">
      <c r="E247" s="164" t="n"/>
    </row>
    <row r="248" ht="15" customHeight="1" s="131">
      <c r="E248" s="164" t="n"/>
    </row>
    <row r="249" ht="15" customHeight="1" s="131">
      <c r="E249" s="164" t="n"/>
    </row>
    <row r="250" ht="15" customHeight="1" s="131">
      <c r="E250" s="164" t="n"/>
    </row>
    <row r="251" ht="15" customHeight="1" s="131">
      <c r="E251" s="164" t="n"/>
    </row>
    <row r="252" ht="15" customHeight="1" s="131">
      <c r="E252" s="164" t="n"/>
    </row>
    <row r="253" ht="15" customHeight="1" s="131">
      <c r="E253" s="164" t="n"/>
    </row>
    <row r="254" ht="15" customHeight="1" s="131">
      <c r="E254" s="164" t="n"/>
    </row>
    <row r="255" ht="15" customHeight="1" s="131">
      <c r="E255" s="164" t="n"/>
    </row>
    <row r="256" ht="15" customHeight="1" s="131">
      <c r="E256" s="164" t="n"/>
    </row>
    <row r="257" ht="15" customHeight="1" s="131">
      <c r="E257" s="164" t="n"/>
    </row>
    <row r="258" ht="15" customHeight="1" s="131">
      <c r="E258" s="164" t="n"/>
    </row>
    <row r="259" ht="15" customHeight="1" s="131">
      <c r="E259" s="164" t="n"/>
    </row>
    <row r="260" ht="15" customHeight="1" s="131">
      <c r="E260" s="164" t="n"/>
    </row>
    <row r="261" ht="15" customHeight="1" s="131">
      <c r="E261" s="164" t="n"/>
    </row>
    <row r="262" ht="15" customHeight="1" s="131">
      <c r="E262" s="164" t="n"/>
    </row>
    <row r="263" ht="15" customHeight="1" s="131">
      <c r="E263" s="164" t="n"/>
    </row>
    <row r="264" ht="15" customHeight="1" s="131">
      <c r="E264" s="164" t="n"/>
    </row>
    <row r="265" ht="15" customHeight="1" s="131">
      <c r="E265" s="164" t="n"/>
    </row>
    <row r="266" ht="15" customHeight="1" s="131">
      <c r="E266" s="164" t="n"/>
    </row>
    <row r="267" ht="15" customHeight="1" s="131">
      <c r="E267" s="164" t="n"/>
    </row>
    <row r="268" ht="15" customHeight="1" s="131">
      <c r="E268" s="164" t="n"/>
    </row>
    <row r="269" ht="15" customHeight="1" s="131">
      <c r="E269" s="164" t="n"/>
    </row>
    <row r="270" ht="15" customHeight="1" s="131">
      <c r="E270" s="164" t="n"/>
    </row>
    <row r="271" ht="15" customHeight="1" s="131">
      <c r="E271" s="164" t="n"/>
    </row>
    <row r="272" ht="15" customHeight="1" s="131">
      <c r="E272" s="164" t="n"/>
    </row>
    <row r="273" ht="15" customHeight="1" s="131">
      <c r="E273" s="164" t="n"/>
    </row>
    <row r="274" ht="15" customHeight="1" s="131">
      <c r="E274" s="164" t="n"/>
    </row>
    <row r="275" ht="15" customHeight="1" s="131">
      <c r="E275" s="164" t="n"/>
    </row>
    <row r="276" ht="15" customHeight="1" s="131">
      <c r="E276" s="164" t="n"/>
    </row>
    <row r="277" ht="15" customHeight="1" s="131">
      <c r="E277" s="164" t="n"/>
    </row>
    <row r="278" ht="15" customHeight="1" s="131">
      <c r="E278" s="164" t="n"/>
    </row>
    <row r="279" ht="15" customHeight="1" s="131">
      <c r="E279" s="164" t="n"/>
    </row>
    <row r="280" ht="15" customHeight="1" s="131">
      <c r="E280" s="164" t="n"/>
    </row>
    <row r="281" ht="15" customHeight="1" s="131">
      <c r="E281" s="164" t="n"/>
    </row>
    <row r="282" ht="15" customHeight="1" s="131">
      <c r="E282" s="164" t="n"/>
    </row>
    <row r="283" ht="15" customHeight="1" s="131">
      <c r="E283" s="164" t="n"/>
    </row>
    <row r="284" ht="15" customHeight="1" s="131">
      <c r="E284" s="164" t="n"/>
    </row>
    <row r="285" ht="15" customHeight="1" s="131">
      <c r="E285" s="164" t="n"/>
    </row>
    <row r="286" ht="15" customHeight="1" s="131">
      <c r="E286" s="164" t="n"/>
    </row>
    <row r="287" ht="15" customHeight="1" s="131">
      <c r="E287" s="164" t="n"/>
    </row>
    <row r="288" ht="15" customHeight="1" s="131">
      <c r="E288" s="164" t="n"/>
    </row>
    <row r="289" ht="15" customHeight="1" s="131">
      <c r="E289" s="164" t="n"/>
    </row>
    <row r="290" ht="15" customHeight="1" s="131">
      <c r="E290" s="164" t="n"/>
    </row>
    <row r="291" ht="15" customHeight="1" s="131">
      <c r="E291" s="164" t="n"/>
    </row>
    <row r="292" ht="15" customHeight="1" s="131">
      <c r="E292" s="164" t="n"/>
    </row>
  </sheetData>
  <mergeCells count="2">
    <mergeCell ref="A1:E1"/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H1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18" customWidth="1" style="130" min="2" max="2"/>
    <col width="12" customWidth="1" style="130" min="3" max="3"/>
    <col width="12" customWidth="1" style="130" min="4" max="4"/>
    <col width="18" customWidth="1" style="130" min="5" max="5"/>
    <col width="16" customWidth="1" style="130" min="6" max="7"/>
    <col width="20" customWidth="1" style="131" min="7" max="7"/>
    <col width="14" customWidth="1" style="130" min="8" max="8"/>
  </cols>
  <sheetData>
    <row r="1" ht="24" customHeight="1" s="131">
      <c r="A1" s="262" t="inlineStr">
        <is>
          <t>DIMENSÃO DE MESES (EXIBIÇÃO)</t>
        </is>
      </c>
    </row>
    <row r="2" ht="30" customHeight="1" s="131">
      <c r="A2" s="263" t="inlineStr">
        <is>
          <t>Todo semestre possui seis meses. Dados semestrais aparecem repetidos quando a visualização é Mensal.</t>
        </is>
      </c>
    </row>
    <row r="3"/>
    <row r="4" ht="30" customHeight="1" s="131">
      <c r="A4" s="282" t="inlineStr">
        <is>
          <t>Data</t>
        </is>
      </c>
      <c r="B4" s="282" t="inlineStr">
        <is>
          <t>Mês (AAAA-MM)</t>
        </is>
      </c>
      <c r="C4" s="282" t="inlineStr">
        <is>
          <t>Ano</t>
        </is>
      </c>
      <c r="D4" s="282" t="inlineStr">
        <is>
          <t>Mês nº</t>
        </is>
      </c>
      <c r="E4" s="282" t="inlineStr">
        <is>
          <t>Semestre</t>
        </is>
      </c>
      <c r="F4" s="282" t="inlineStr">
        <is>
          <t>Rótulo</t>
        </is>
      </c>
      <c r="G4" s="282" t="inlineStr">
        <is>
          <t>Linhas disponíveis</t>
        </is>
      </c>
      <c r="H4" s="282" t="inlineStr">
        <is>
          <t>Chave</t>
        </is>
      </c>
    </row>
    <row r="5" ht="15" customHeight="1" s="131">
      <c r="A5" s="361" t="n">
        <v>45292</v>
      </c>
      <c r="B5" s="171" t="inlineStr">
        <is>
          <t>2024-01</t>
        </is>
      </c>
      <c r="C5" s="164" t="n">
        <v>2024</v>
      </c>
      <c r="D5" s="164" t="n">
        <v>1</v>
      </c>
      <c r="E5" s="164" t="inlineStr">
        <is>
          <t>2024-SEM1</t>
        </is>
      </c>
      <c r="F5" s="164" t="inlineStr">
        <is>
          <t>01/2024</t>
        </is>
      </c>
      <c r="G5" s="360">
        <f>COUNTIFS(TabelaNPS[Período],$B5)+COUNTIFS(TabelaNPS[Período],$E5)+COUNTIFS(TabelaAvaliacaoDocente[Período],$E5)+COUNTIFS(TabelaResultadosAcademicos[Período],$E5)</f>
        <v/>
      </c>
      <c r="H5" s="256" t="n">
        <v>202401</v>
      </c>
    </row>
    <row r="6" ht="15" customHeight="1" s="131">
      <c r="A6" s="361" t="n">
        <v>45323</v>
      </c>
      <c r="B6" s="171" t="inlineStr">
        <is>
          <t>2024-02</t>
        </is>
      </c>
      <c r="C6" s="164" t="n">
        <v>2024</v>
      </c>
      <c r="D6" s="164" t="n">
        <v>2</v>
      </c>
      <c r="E6" s="164" t="inlineStr">
        <is>
          <t>2024-SEM1</t>
        </is>
      </c>
      <c r="F6" s="164" t="inlineStr">
        <is>
          <t>02/2024</t>
        </is>
      </c>
      <c r="G6" s="360">
        <f>COUNTIFS(TabelaNPS[Período],$B6)+COUNTIFS(TabelaNPS[Período],$E6)+COUNTIFS(TabelaAvaliacaoDocente[Período],$E6)+COUNTIFS(TabelaResultadosAcademicos[Período],$E6)</f>
        <v/>
      </c>
      <c r="H6" s="256" t="n">
        <v>202402</v>
      </c>
    </row>
    <row r="7" ht="15" customHeight="1" s="131">
      <c r="A7" s="361" t="n">
        <v>45352</v>
      </c>
      <c r="B7" s="171" t="inlineStr">
        <is>
          <t>2024-03</t>
        </is>
      </c>
      <c r="C7" s="164" t="n">
        <v>2024</v>
      </c>
      <c r="D7" s="164" t="n">
        <v>3</v>
      </c>
      <c r="E7" s="164" t="inlineStr">
        <is>
          <t>2024-SEM1</t>
        </is>
      </c>
      <c r="F7" s="164" t="inlineStr">
        <is>
          <t>03/2024</t>
        </is>
      </c>
      <c r="G7" s="360">
        <f>COUNTIFS(TabelaNPS[Período],$B7)+COUNTIFS(TabelaNPS[Período],$E7)+COUNTIFS(TabelaAvaliacaoDocente[Período],$E7)+COUNTIFS(TabelaResultadosAcademicos[Período],$E7)</f>
        <v/>
      </c>
      <c r="H7" s="256" t="n">
        <v>202403</v>
      </c>
    </row>
    <row r="8" ht="15" customHeight="1" s="131">
      <c r="A8" s="361" t="n">
        <v>45383</v>
      </c>
      <c r="B8" s="171" t="inlineStr">
        <is>
          <t>2024-04</t>
        </is>
      </c>
      <c r="C8" s="164" t="n">
        <v>2024</v>
      </c>
      <c r="D8" s="164" t="n">
        <v>4</v>
      </c>
      <c r="E8" s="164" t="inlineStr">
        <is>
          <t>2024-SEM1</t>
        </is>
      </c>
      <c r="F8" s="164" t="inlineStr">
        <is>
          <t>04/2024</t>
        </is>
      </c>
      <c r="G8" s="360">
        <f>COUNTIFS(TabelaNPS[Período],$B8)+COUNTIFS(TabelaNPS[Período],$E8)+COUNTIFS(TabelaAvaliacaoDocente[Período],$E8)+COUNTIFS(TabelaResultadosAcademicos[Período],$E8)</f>
        <v/>
      </c>
      <c r="H8" s="256" t="n">
        <v>202404</v>
      </c>
    </row>
    <row r="9" ht="15" customHeight="1" s="131">
      <c r="A9" s="361" t="n">
        <v>45413</v>
      </c>
      <c r="B9" s="171" t="inlineStr">
        <is>
          <t>2024-05</t>
        </is>
      </c>
      <c r="C9" s="164" t="n">
        <v>2024</v>
      </c>
      <c r="D9" s="164" t="n">
        <v>5</v>
      </c>
      <c r="E9" s="164" t="inlineStr">
        <is>
          <t>2024-SEM1</t>
        </is>
      </c>
      <c r="F9" s="164" t="inlineStr">
        <is>
          <t>05/2024</t>
        </is>
      </c>
      <c r="G9" s="360">
        <f>COUNTIFS(TabelaNPS[Período],$B9)+COUNTIFS(TabelaNPS[Período],$E9)+COUNTIFS(TabelaAvaliacaoDocente[Período],$E9)+COUNTIFS(TabelaResultadosAcademicos[Período],$E9)</f>
        <v/>
      </c>
      <c r="H9" s="256" t="n">
        <v>202405</v>
      </c>
    </row>
    <row r="10" ht="15" customHeight="1" s="131">
      <c r="A10" s="361" t="n">
        <v>45444</v>
      </c>
      <c r="B10" s="171" t="inlineStr">
        <is>
          <t>2024-06</t>
        </is>
      </c>
      <c r="C10" s="164" t="n">
        <v>2024</v>
      </c>
      <c r="D10" s="164" t="n">
        <v>6</v>
      </c>
      <c r="E10" s="164" t="inlineStr">
        <is>
          <t>2024-SEM1</t>
        </is>
      </c>
      <c r="F10" s="164" t="inlineStr">
        <is>
          <t>06/2024</t>
        </is>
      </c>
      <c r="G10" s="360">
        <f>COUNTIFS(TabelaNPS[Período],$B10)+COUNTIFS(TabelaNPS[Período],$E10)+COUNTIFS(TabelaAvaliacaoDocente[Período],$E10)+COUNTIFS(TabelaResultadosAcademicos[Período],$E10)</f>
        <v/>
      </c>
      <c r="H10" s="256" t="n">
        <v>202406</v>
      </c>
    </row>
    <row r="11" ht="15" customHeight="1" s="131">
      <c r="A11" s="361" t="n">
        <v>45474</v>
      </c>
      <c r="B11" s="171" t="inlineStr">
        <is>
          <t>2024-07</t>
        </is>
      </c>
      <c r="C11" s="164" t="n">
        <v>2024</v>
      </c>
      <c r="D11" s="164" t="n">
        <v>7</v>
      </c>
      <c r="E11" s="164" t="inlineStr">
        <is>
          <t>2024-SEM2</t>
        </is>
      </c>
      <c r="F11" s="164" t="inlineStr">
        <is>
          <t>07/2024</t>
        </is>
      </c>
      <c r="G11" s="360">
        <f>COUNTIFS(TabelaNPS[Período],$B11)+COUNTIFS(TabelaNPS[Período],$E11)+COUNTIFS(TabelaAvaliacaoDocente[Período],$E11)+COUNTIFS(TabelaResultadosAcademicos[Período],$E11)</f>
        <v/>
      </c>
      <c r="H11" s="256" t="n">
        <v>202407</v>
      </c>
    </row>
    <row r="12" ht="15" customHeight="1" s="131">
      <c r="A12" s="361" t="n">
        <v>45505</v>
      </c>
      <c r="B12" s="171" t="inlineStr">
        <is>
          <t>2024-08</t>
        </is>
      </c>
      <c r="C12" s="164" t="n">
        <v>2024</v>
      </c>
      <c r="D12" s="164" t="n">
        <v>8</v>
      </c>
      <c r="E12" s="164" t="inlineStr">
        <is>
          <t>2024-SEM2</t>
        </is>
      </c>
      <c r="F12" s="164" t="inlineStr">
        <is>
          <t>08/2024</t>
        </is>
      </c>
      <c r="G12" s="360">
        <f>COUNTIFS(TabelaNPS[Período],$B12)+COUNTIFS(TabelaNPS[Período],$E12)+COUNTIFS(TabelaAvaliacaoDocente[Período],$E12)+COUNTIFS(TabelaResultadosAcademicos[Período],$E12)</f>
        <v/>
      </c>
      <c r="H12" s="256" t="n">
        <v>202408</v>
      </c>
    </row>
    <row r="13" ht="15" customHeight="1" s="131">
      <c r="A13" s="361" t="n">
        <v>45536</v>
      </c>
      <c r="B13" s="171" t="inlineStr">
        <is>
          <t>2024-09</t>
        </is>
      </c>
      <c r="C13" s="164" t="n">
        <v>2024</v>
      </c>
      <c r="D13" s="164" t="n">
        <v>9</v>
      </c>
      <c r="E13" s="164" t="inlineStr">
        <is>
          <t>2024-SEM2</t>
        </is>
      </c>
      <c r="F13" s="164" t="inlineStr">
        <is>
          <t>09/2024</t>
        </is>
      </c>
      <c r="G13" s="360">
        <f>COUNTIFS(TabelaNPS[Período],$B13)+COUNTIFS(TabelaNPS[Período],$E13)+COUNTIFS(TabelaAvaliacaoDocente[Período],$E13)+COUNTIFS(TabelaResultadosAcademicos[Período],$E13)</f>
        <v/>
      </c>
      <c r="H13" s="256" t="n">
        <v>202409</v>
      </c>
    </row>
    <row r="14" ht="15" customHeight="1" s="131">
      <c r="A14" s="361" t="n">
        <v>45566</v>
      </c>
      <c r="B14" s="171" t="inlineStr">
        <is>
          <t>2024-10</t>
        </is>
      </c>
      <c r="C14" s="164" t="n">
        <v>2024</v>
      </c>
      <c r="D14" s="164" t="n">
        <v>10</v>
      </c>
      <c r="E14" s="164" t="inlineStr">
        <is>
          <t>2024-SEM2</t>
        </is>
      </c>
      <c r="F14" s="164" t="inlineStr">
        <is>
          <t>10/2024</t>
        </is>
      </c>
      <c r="G14" s="360">
        <f>COUNTIFS(TabelaNPS[Período],$B14)+COUNTIFS(TabelaNPS[Período],$E14)+COUNTIFS(TabelaAvaliacaoDocente[Período],$E14)+COUNTIFS(TabelaResultadosAcademicos[Período],$E14)</f>
        <v/>
      </c>
      <c r="H14" s="256" t="n">
        <v>202410</v>
      </c>
    </row>
    <row r="15" ht="15" customHeight="1" s="131">
      <c r="A15" s="361" t="n">
        <v>45597</v>
      </c>
      <c r="B15" s="171" t="inlineStr">
        <is>
          <t>2024-11</t>
        </is>
      </c>
      <c r="C15" s="164" t="n">
        <v>2024</v>
      </c>
      <c r="D15" s="164" t="n">
        <v>11</v>
      </c>
      <c r="E15" s="164" t="inlineStr">
        <is>
          <t>2024-SEM2</t>
        </is>
      </c>
      <c r="F15" s="164" t="inlineStr">
        <is>
          <t>11/2024</t>
        </is>
      </c>
      <c r="G15" s="360">
        <f>COUNTIFS(TabelaNPS[Período],$B15)+COUNTIFS(TabelaNPS[Período],$E15)+COUNTIFS(TabelaAvaliacaoDocente[Período],$E15)+COUNTIFS(TabelaResultadosAcademicos[Período],$E15)</f>
        <v/>
      </c>
      <c r="H15" s="256" t="n">
        <v>202411</v>
      </c>
    </row>
    <row r="16" ht="15" customHeight="1" s="131">
      <c r="A16" s="361" t="n">
        <v>45627</v>
      </c>
      <c r="B16" s="171" t="inlineStr">
        <is>
          <t>2024-12</t>
        </is>
      </c>
      <c r="C16" s="164" t="n">
        <v>2024</v>
      </c>
      <c r="D16" s="164" t="n">
        <v>12</v>
      </c>
      <c r="E16" s="164" t="inlineStr">
        <is>
          <t>2024-SEM2</t>
        </is>
      </c>
      <c r="F16" s="164" t="inlineStr">
        <is>
          <t>12/2024</t>
        </is>
      </c>
      <c r="G16" s="360">
        <f>COUNTIFS(TabelaNPS[Período],$B16)+COUNTIFS(TabelaNPS[Período],$E16)+COUNTIFS(TabelaAvaliacaoDocente[Período],$E16)+COUNTIFS(TabelaResultadosAcademicos[Período],$E16)</f>
        <v/>
      </c>
      <c r="H16" s="256" t="n">
        <v>202412</v>
      </c>
    </row>
    <row r="17" ht="15" customHeight="1" s="131">
      <c r="A17" s="361" t="n">
        <v>45658</v>
      </c>
      <c r="B17" s="171" t="inlineStr">
        <is>
          <t>2025-01</t>
        </is>
      </c>
      <c r="C17" s="164" t="n">
        <v>2025</v>
      </c>
      <c r="D17" s="164" t="n">
        <v>1</v>
      </c>
      <c r="E17" s="164" t="inlineStr">
        <is>
          <t>2025-SEM1</t>
        </is>
      </c>
      <c r="F17" s="164" t="inlineStr">
        <is>
          <t>01/2025</t>
        </is>
      </c>
      <c r="G17" s="360">
        <f>COUNTIFS(TabelaNPS[Período],$B17)+COUNTIFS(TabelaNPS[Período],$E17)+COUNTIFS(TabelaAvaliacaoDocente[Período],$E17)+COUNTIFS(TabelaResultadosAcademicos[Período],$E17)</f>
        <v/>
      </c>
      <c r="H17" s="256" t="n">
        <v>202501</v>
      </c>
    </row>
    <row r="18" ht="15" customHeight="1" s="131">
      <c r="A18" s="361" t="n">
        <v>45689</v>
      </c>
      <c r="B18" s="171" t="inlineStr">
        <is>
          <t>2025-02</t>
        </is>
      </c>
      <c r="C18" s="164" t="n">
        <v>2025</v>
      </c>
      <c r="D18" s="164" t="n">
        <v>2</v>
      </c>
      <c r="E18" s="164" t="inlineStr">
        <is>
          <t>2025-SEM1</t>
        </is>
      </c>
      <c r="F18" s="164" t="inlineStr">
        <is>
          <t>02/2025</t>
        </is>
      </c>
      <c r="G18" s="360">
        <f>COUNTIFS(TabelaNPS[Período],$B18)+COUNTIFS(TabelaNPS[Período],$E18)+COUNTIFS(TabelaAvaliacaoDocente[Período],$E18)+COUNTIFS(TabelaResultadosAcademicos[Período],$E18)</f>
        <v/>
      </c>
      <c r="H18" s="256" t="n">
        <v>202502</v>
      </c>
    </row>
    <row r="19" ht="15" customHeight="1" s="131">
      <c r="A19" s="361" t="n">
        <v>45717</v>
      </c>
      <c r="B19" s="171" t="inlineStr">
        <is>
          <t>2025-03</t>
        </is>
      </c>
      <c r="C19" s="164" t="n">
        <v>2025</v>
      </c>
      <c r="D19" s="164" t="n">
        <v>3</v>
      </c>
      <c r="E19" s="164" t="inlineStr">
        <is>
          <t>2025-SEM1</t>
        </is>
      </c>
      <c r="F19" s="164" t="inlineStr">
        <is>
          <t>03/2025</t>
        </is>
      </c>
      <c r="G19" s="360">
        <f>COUNTIFS(TabelaNPS[Período],$B19)+COUNTIFS(TabelaNPS[Período],$E19)+COUNTIFS(TabelaAvaliacaoDocente[Período],$E19)+COUNTIFS(TabelaResultadosAcademicos[Período],$E19)</f>
        <v/>
      </c>
      <c r="H19" s="256" t="n">
        <v>202503</v>
      </c>
    </row>
    <row r="20" ht="15" customHeight="1" s="131">
      <c r="A20" s="361" t="n">
        <v>45748</v>
      </c>
      <c r="B20" s="171" t="inlineStr">
        <is>
          <t>2025-04</t>
        </is>
      </c>
      <c r="C20" s="164" t="n">
        <v>2025</v>
      </c>
      <c r="D20" s="164" t="n">
        <v>4</v>
      </c>
      <c r="E20" s="164" t="inlineStr">
        <is>
          <t>2025-SEM1</t>
        </is>
      </c>
      <c r="F20" s="164" t="inlineStr">
        <is>
          <t>04/2025</t>
        </is>
      </c>
      <c r="G20" s="360">
        <f>COUNTIFS(TabelaNPS[Período],$B20)+COUNTIFS(TabelaNPS[Período],$E20)+COUNTIFS(TabelaAvaliacaoDocente[Período],$E20)+COUNTIFS(TabelaResultadosAcademicos[Período],$E20)</f>
        <v/>
      </c>
      <c r="H20" s="256" t="n">
        <v>202504</v>
      </c>
    </row>
    <row r="21" ht="15" customHeight="1" s="131">
      <c r="A21" s="361" t="n">
        <v>45778</v>
      </c>
      <c r="B21" s="171" t="inlineStr">
        <is>
          <t>2025-05</t>
        </is>
      </c>
      <c r="C21" s="164" t="n">
        <v>2025</v>
      </c>
      <c r="D21" s="164" t="n">
        <v>5</v>
      </c>
      <c r="E21" s="164" t="inlineStr">
        <is>
          <t>2025-SEM1</t>
        </is>
      </c>
      <c r="F21" s="164" t="inlineStr">
        <is>
          <t>05/2025</t>
        </is>
      </c>
      <c r="G21" s="360">
        <f>COUNTIFS(TabelaNPS[Período],$B21)+COUNTIFS(TabelaNPS[Período],$E21)+COUNTIFS(TabelaAvaliacaoDocente[Período],$E21)+COUNTIFS(TabelaResultadosAcademicos[Período],$E21)</f>
        <v/>
      </c>
      <c r="H21" s="256" t="n">
        <v>202505</v>
      </c>
    </row>
    <row r="22" ht="15" customHeight="1" s="131">
      <c r="A22" s="361" t="n">
        <v>45809</v>
      </c>
      <c r="B22" s="171" t="inlineStr">
        <is>
          <t>2025-06</t>
        </is>
      </c>
      <c r="C22" s="164" t="n">
        <v>2025</v>
      </c>
      <c r="D22" s="164" t="n">
        <v>6</v>
      </c>
      <c r="E22" s="164" t="inlineStr">
        <is>
          <t>2025-SEM1</t>
        </is>
      </c>
      <c r="F22" s="164" t="inlineStr">
        <is>
          <t>06/2025</t>
        </is>
      </c>
      <c r="G22" s="360">
        <f>COUNTIFS(TabelaNPS[Período],$B22)+COUNTIFS(TabelaNPS[Período],$E22)+COUNTIFS(TabelaAvaliacaoDocente[Período],$E22)+COUNTIFS(TabelaResultadosAcademicos[Período],$E22)</f>
        <v/>
      </c>
      <c r="H22" s="256" t="n">
        <v>202506</v>
      </c>
    </row>
    <row r="23" ht="15" customHeight="1" s="131">
      <c r="A23" s="361" t="n">
        <v>45839</v>
      </c>
      <c r="B23" s="171" t="inlineStr">
        <is>
          <t>2025-07</t>
        </is>
      </c>
      <c r="C23" s="164" t="n">
        <v>2025</v>
      </c>
      <c r="D23" s="164" t="n">
        <v>7</v>
      </c>
      <c r="E23" s="164" t="inlineStr">
        <is>
          <t>2025-SEM2</t>
        </is>
      </c>
      <c r="F23" s="164" t="inlineStr">
        <is>
          <t>07/2025</t>
        </is>
      </c>
      <c r="G23" s="360">
        <f>COUNTIFS(TabelaNPS[Período],$B23)+COUNTIFS(TabelaNPS[Período],$E23)+COUNTIFS(TabelaAvaliacaoDocente[Período],$E23)+COUNTIFS(TabelaResultadosAcademicos[Período],$E23)</f>
        <v/>
      </c>
      <c r="H23" s="256" t="n">
        <v>202507</v>
      </c>
    </row>
    <row r="24" ht="15" customHeight="1" s="131">
      <c r="A24" s="361" t="n">
        <v>45870</v>
      </c>
      <c r="B24" s="171" t="inlineStr">
        <is>
          <t>2025-08</t>
        </is>
      </c>
      <c r="C24" s="164" t="n">
        <v>2025</v>
      </c>
      <c r="D24" s="164" t="n">
        <v>8</v>
      </c>
      <c r="E24" s="164" t="inlineStr">
        <is>
          <t>2025-SEM2</t>
        </is>
      </c>
      <c r="F24" s="164" t="inlineStr">
        <is>
          <t>08/2025</t>
        </is>
      </c>
      <c r="G24" s="360">
        <f>COUNTIFS(TabelaNPS[Período],$B24)+COUNTIFS(TabelaNPS[Período],$E24)+COUNTIFS(TabelaAvaliacaoDocente[Período],$E24)+COUNTIFS(TabelaResultadosAcademicos[Período],$E24)</f>
        <v/>
      </c>
      <c r="H24" s="256" t="n">
        <v>202508</v>
      </c>
    </row>
    <row r="25" ht="15" customHeight="1" s="131">
      <c r="A25" s="361" t="n">
        <v>45901</v>
      </c>
      <c r="B25" s="171" t="inlineStr">
        <is>
          <t>2025-09</t>
        </is>
      </c>
      <c r="C25" s="164" t="n">
        <v>2025</v>
      </c>
      <c r="D25" s="164" t="n">
        <v>9</v>
      </c>
      <c r="E25" s="164" t="inlineStr">
        <is>
          <t>2025-SEM2</t>
        </is>
      </c>
      <c r="F25" s="164" t="inlineStr">
        <is>
          <t>09/2025</t>
        </is>
      </c>
      <c r="G25" s="360">
        <f>COUNTIFS(TabelaNPS[Período],$B25)+COUNTIFS(TabelaNPS[Período],$E25)+COUNTIFS(TabelaAvaliacaoDocente[Período],$E25)+COUNTIFS(TabelaResultadosAcademicos[Período],$E25)</f>
        <v/>
      </c>
      <c r="H25" s="256" t="n">
        <v>202509</v>
      </c>
    </row>
    <row r="26" ht="15" customHeight="1" s="131">
      <c r="A26" s="361" t="n">
        <v>45931</v>
      </c>
      <c r="B26" s="171" t="inlineStr">
        <is>
          <t>2025-10</t>
        </is>
      </c>
      <c r="C26" s="164" t="n">
        <v>2025</v>
      </c>
      <c r="D26" s="164" t="n">
        <v>10</v>
      </c>
      <c r="E26" s="164" t="inlineStr">
        <is>
          <t>2025-SEM2</t>
        </is>
      </c>
      <c r="F26" s="164" t="inlineStr">
        <is>
          <t>10/2025</t>
        </is>
      </c>
      <c r="G26" s="360">
        <f>COUNTIFS(TabelaNPS[Período],$B26)+COUNTIFS(TabelaNPS[Período],$E26)+COUNTIFS(TabelaAvaliacaoDocente[Período],$E26)+COUNTIFS(TabelaResultadosAcademicos[Período],$E26)</f>
        <v/>
      </c>
      <c r="H26" s="256" t="n">
        <v>202510</v>
      </c>
    </row>
    <row r="27" ht="15" customHeight="1" s="131">
      <c r="A27" s="361" t="n">
        <v>45962</v>
      </c>
      <c r="B27" s="171" t="inlineStr">
        <is>
          <t>2025-11</t>
        </is>
      </c>
      <c r="C27" s="164" t="n">
        <v>2025</v>
      </c>
      <c r="D27" s="164" t="n">
        <v>11</v>
      </c>
      <c r="E27" s="164" t="inlineStr">
        <is>
          <t>2025-SEM2</t>
        </is>
      </c>
      <c r="F27" s="164" t="inlineStr">
        <is>
          <t>11/2025</t>
        </is>
      </c>
      <c r="G27" s="360">
        <f>COUNTIFS(TabelaNPS[Período],$B27)+COUNTIFS(TabelaNPS[Período],$E27)+COUNTIFS(TabelaAvaliacaoDocente[Período],$E27)+COUNTIFS(TabelaResultadosAcademicos[Período],$E27)</f>
        <v/>
      </c>
      <c r="H27" s="256" t="n">
        <v>202511</v>
      </c>
    </row>
    <row r="28" ht="15" customHeight="1" s="131">
      <c r="A28" s="361" t="n">
        <v>45992</v>
      </c>
      <c r="B28" s="171" t="inlineStr">
        <is>
          <t>2025-12</t>
        </is>
      </c>
      <c r="C28" s="164" t="n">
        <v>2025</v>
      </c>
      <c r="D28" s="164" t="n">
        <v>12</v>
      </c>
      <c r="E28" s="164" t="inlineStr">
        <is>
          <t>2025-SEM2</t>
        </is>
      </c>
      <c r="F28" s="164" t="inlineStr">
        <is>
          <t>12/2025</t>
        </is>
      </c>
      <c r="G28" s="360">
        <f>COUNTIFS(TabelaNPS[Período],$B28)+COUNTIFS(TabelaNPS[Período],$E28)+COUNTIFS(TabelaAvaliacaoDocente[Período],$E28)+COUNTIFS(TabelaResultadosAcademicos[Período],$E28)</f>
        <v/>
      </c>
      <c r="H28" s="256" t="n">
        <v>202512</v>
      </c>
    </row>
    <row r="29" ht="15" customHeight="1" s="131">
      <c r="A29" s="361" t="n">
        <v>46023</v>
      </c>
      <c r="B29" s="171" t="inlineStr">
        <is>
          <t>2026-01</t>
        </is>
      </c>
      <c r="C29" s="164" t="n">
        <v>2026</v>
      </c>
      <c r="D29" s="164" t="n">
        <v>1</v>
      </c>
      <c r="E29" s="164" t="inlineStr">
        <is>
          <t>2026-SEM1</t>
        </is>
      </c>
      <c r="F29" s="164" t="inlineStr">
        <is>
          <t>01/2026</t>
        </is>
      </c>
      <c r="G29" s="360">
        <f>COUNTIFS(TabelaNPS[Período],$B29)+COUNTIFS(TabelaNPS[Período],$E29)+COUNTIFS(TabelaAvaliacaoDocente[Período],$E29)+COUNTIFS(TabelaResultadosAcademicos[Período],$E29)</f>
        <v/>
      </c>
      <c r="H29" s="256" t="n">
        <v>202601</v>
      </c>
    </row>
    <row r="30" ht="15" customHeight="1" s="131">
      <c r="A30" s="361" t="n">
        <v>46054</v>
      </c>
      <c r="B30" s="171" t="inlineStr">
        <is>
          <t>2026-02</t>
        </is>
      </c>
      <c r="C30" s="164" t="n">
        <v>2026</v>
      </c>
      <c r="D30" s="164" t="n">
        <v>2</v>
      </c>
      <c r="E30" s="164" t="inlineStr">
        <is>
          <t>2026-SEM1</t>
        </is>
      </c>
      <c r="F30" s="164" t="inlineStr">
        <is>
          <t>02/2026</t>
        </is>
      </c>
      <c r="G30" s="360">
        <f>COUNTIFS(TabelaNPS[Período],$B30)+COUNTIFS(TabelaNPS[Período],$E30)+COUNTIFS(TabelaAvaliacaoDocente[Período],$E30)+COUNTIFS(TabelaResultadosAcademicos[Período],$E30)</f>
        <v/>
      </c>
      <c r="H30" s="256" t="n">
        <v>202602</v>
      </c>
    </row>
    <row r="31" ht="15" customHeight="1" s="131">
      <c r="A31" s="361" t="n">
        <v>46082</v>
      </c>
      <c r="B31" s="171" t="inlineStr">
        <is>
          <t>2026-03</t>
        </is>
      </c>
      <c r="C31" s="164" t="n">
        <v>2026</v>
      </c>
      <c r="D31" s="164" t="n">
        <v>3</v>
      </c>
      <c r="E31" s="164" t="inlineStr">
        <is>
          <t>2026-SEM1</t>
        </is>
      </c>
      <c r="F31" s="164" t="inlineStr">
        <is>
          <t>03/2026</t>
        </is>
      </c>
      <c r="G31" s="360">
        <f>COUNTIFS(TabelaNPS[Período],$B31)+COUNTIFS(TabelaNPS[Período],$E31)+COUNTIFS(TabelaAvaliacaoDocente[Período],$E31)+COUNTIFS(TabelaResultadosAcademicos[Período],$E31)</f>
        <v/>
      </c>
      <c r="H31" s="256" t="n">
        <v>202603</v>
      </c>
    </row>
    <row r="32" ht="15" customHeight="1" s="131">
      <c r="A32" s="361" t="n">
        <v>46113</v>
      </c>
      <c r="B32" s="171" t="inlineStr">
        <is>
          <t>2026-04</t>
        </is>
      </c>
      <c r="C32" s="164" t="n">
        <v>2026</v>
      </c>
      <c r="D32" s="164" t="n">
        <v>4</v>
      </c>
      <c r="E32" s="164" t="inlineStr">
        <is>
          <t>2026-SEM1</t>
        </is>
      </c>
      <c r="F32" s="164" t="inlineStr">
        <is>
          <t>04/2026</t>
        </is>
      </c>
      <c r="G32" s="360">
        <f>COUNTIFS(TabelaNPS[Período],$B32)+COUNTIFS(TabelaNPS[Período],$E32)+COUNTIFS(TabelaAvaliacaoDocente[Período],$E32)+COUNTIFS(TabelaResultadosAcademicos[Período],$E32)</f>
        <v/>
      </c>
      <c r="H32" s="256" t="n">
        <v>202604</v>
      </c>
    </row>
    <row r="33" ht="15" customHeight="1" s="131">
      <c r="A33" s="361" t="n">
        <v>46143</v>
      </c>
      <c r="B33" s="171" t="inlineStr">
        <is>
          <t>2026-05</t>
        </is>
      </c>
      <c r="C33" s="164" t="n">
        <v>2026</v>
      </c>
      <c r="D33" s="164" t="n">
        <v>5</v>
      </c>
      <c r="E33" s="164" t="inlineStr">
        <is>
          <t>2026-SEM1</t>
        </is>
      </c>
      <c r="F33" s="164" t="inlineStr">
        <is>
          <t>05/2026</t>
        </is>
      </c>
      <c r="G33" s="360">
        <f>COUNTIFS(TabelaNPS[Período],$B33)+COUNTIFS(TabelaNPS[Período],$E33)+COUNTIFS(TabelaAvaliacaoDocente[Período],$E33)+COUNTIFS(TabelaResultadosAcademicos[Período],$E33)</f>
        <v/>
      </c>
      <c r="H33" s="256" t="n">
        <v>202605</v>
      </c>
    </row>
    <row r="34" ht="15" customHeight="1" s="131">
      <c r="A34" s="361" t="n">
        <v>46174</v>
      </c>
      <c r="B34" s="171" t="inlineStr">
        <is>
          <t>2026-06</t>
        </is>
      </c>
      <c r="C34" s="164" t="n">
        <v>2026</v>
      </c>
      <c r="D34" s="164" t="n">
        <v>6</v>
      </c>
      <c r="E34" s="164" t="inlineStr">
        <is>
          <t>2026-SEM1</t>
        </is>
      </c>
      <c r="F34" s="164" t="inlineStr">
        <is>
          <t>06/2026</t>
        </is>
      </c>
      <c r="G34" s="360">
        <f>COUNTIFS(TabelaNPS[Período],$B34)+COUNTIFS(TabelaNPS[Período],$E34)+COUNTIFS(TabelaAvaliacaoDocente[Período],$E34)+COUNTIFS(TabelaResultadosAcademicos[Período],$E34)</f>
        <v/>
      </c>
      <c r="H34" s="256" t="n">
        <v>202606</v>
      </c>
    </row>
    <row r="35" ht="15" customHeight="1" s="131">
      <c r="A35" s="361" t="n">
        <v>46204</v>
      </c>
      <c r="B35" s="171" t="inlineStr">
        <is>
          <t>2026-07</t>
        </is>
      </c>
      <c r="C35" s="164" t="n">
        <v>2026</v>
      </c>
      <c r="D35" s="164" t="n">
        <v>7</v>
      </c>
      <c r="E35" s="164" t="inlineStr">
        <is>
          <t>2026-SEM2</t>
        </is>
      </c>
      <c r="F35" s="164" t="inlineStr">
        <is>
          <t>07/2026</t>
        </is>
      </c>
      <c r="G35" s="360">
        <f>COUNTIFS(TabelaNPS[Período],$B35)+COUNTIFS(TabelaNPS[Período],$E35)+COUNTIFS(TabelaAvaliacaoDocente[Período],$E35)+COUNTIFS(TabelaResultadosAcademicos[Período],$E35)</f>
        <v/>
      </c>
      <c r="H35" s="256" t="n">
        <v>202607</v>
      </c>
    </row>
    <row r="36" ht="15" customHeight="1" s="131">
      <c r="A36" s="361" t="n">
        <v>46235</v>
      </c>
      <c r="B36" s="171" t="inlineStr">
        <is>
          <t>2026-08</t>
        </is>
      </c>
      <c r="C36" s="164" t="n">
        <v>2026</v>
      </c>
      <c r="D36" s="164" t="n">
        <v>8</v>
      </c>
      <c r="E36" s="164" t="inlineStr">
        <is>
          <t>2026-SEM2</t>
        </is>
      </c>
      <c r="F36" s="164" t="inlineStr">
        <is>
          <t>08/2026</t>
        </is>
      </c>
      <c r="G36" s="360">
        <f>COUNTIFS(TabelaNPS[Período],$B36)+COUNTIFS(TabelaNPS[Período],$E36)+COUNTIFS(TabelaAvaliacaoDocente[Período],$E36)+COUNTIFS(TabelaResultadosAcademicos[Período],$E36)</f>
        <v/>
      </c>
      <c r="H36" s="256" t="n">
        <v>202608</v>
      </c>
    </row>
    <row r="37" ht="15" customHeight="1" s="131">
      <c r="A37" s="361" t="n">
        <v>46266</v>
      </c>
      <c r="B37" s="171" t="inlineStr">
        <is>
          <t>2026-09</t>
        </is>
      </c>
      <c r="C37" s="164" t="n">
        <v>2026</v>
      </c>
      <c r="D37" s="164" t="n">
        <v>9</v>
      </c>
      <c r="E37" s="164" t="inlineStr">
        <is>
          <t>2026-SEM2</t>
        </is>
      </c>
      <c r="F37" s="164" t="inlineStr">
        <is>
          <t>09/2026</t>
        </is>
      </c>
      <c r="G37" s="360">
        <f>COUNTIFS(TabelaNPS[Período],$B37)+COUNTIFS(TabelaNPS[Período],$E37)+COUNTIFS(TabelaAvaliacaoDocente[Período],$E37)+COUNTIFS(TabelaResultadosAcademicos[Período],$E37)</f>
        <v/>
      </c>
      <c r="H37" s="256" t="n">
        <v>202609</v>
      </c>
    </row>
    <row r="38" ht="15" customHeight="1" s="131">
      <c r="A38" s="361" t="n">
        <v>46296</v>
      </c>
      <c r="B38" s="171" t="inlineStr">
        <is>
          <t>2026-10</t>
        </is>
      </c>
      <c r="C38" s="164" t="n">
        <v>2026</v>
      </c>
      <c r="D38" s="164" t="n">
        <v>10</v>
      </c>
      <c r="E38" s="164" t="inlineStr">
        <is>
          <t>2026-SEM2</t>
        </is>
      </c>
      <c r="F38" s="164" t="inlineStr">
        <is>
          <t>10/2026</t>
        </is>
      </c>
      <c r="G38" s="360">
        <f>COUNTIFS(TabelaNPS[Período],$B38)+COUNTIFS(TabelaNPS[Período],$E38)+COUNTIFS(TabelaAvaliacaoDocente[Período],$E38)+COUNTIFS(TabelaResultadosAcademicos[Período],$E38)</f>
        <v/>
      </c>
      <c r="H38" s="256" t="n">
        <v>202610</v>
      </c>
    </row>
    <row r="39" ht="15" customHeight="1" s="131">
      <c r="A39" s="361" t="n">
        <v>46327</v>
      </c>
      <c r="B39" s="171" t="inlineStr">
        <is>
          <t>2026-11</t>
        </is>
      </c>
      <c r="C39" s="164" t="n">
        <v>2026</v>
      </c>
      <c r="D39" s="164" t="n">
        <v>11</v>
      </c>
      <c r="E39" s="164" t="inlineStr">
        <is>
          <t>2026-SEM2</t>
        </is>
      </c>
      <c r="F39" s="164" t="inlineStr">
        <is>
          <t>11/2026</t>
        </is>
      </c>
      <c r="G39" s="360">
        <f>COUNTIFS(TabelaNPS[Período],$B39)+COUNTIFS(TabelaNPS[Período],$E39)+COUNTIFS(TabelaAvaliacaoDocente[Período],$E39)+COUNTIFS(TabelaResultadosAcademicos[Período],$E39)</f>
        <v/>
      </c>
      <c r="H39" s="256" t="n">
        <v>202611</v>
      </c>
    </row>
    <row r="40" ht="15" customHeight="1" s="131">
      <c r="A40" s="361" t="n">
        <v>46357</v>
      </c>
      <c r="B40" s="171" t="inlineStr">
        <is>
          <t>2026-12</t>
        </is>
      </c>
      <c r="C40" s="164" t="n">
        <v>2026</v>
      </c>
      <c r="D40" s="164" t="n">
        <v>12</v>
      </c>
      <c r="E40" s="164" t="inlineStr">
        <is>
          <t>2026-SEM2</t>
        </is>
      </c>
      <c r="F40" s="164" t="inlineStr">
        <is>
          <t>12/2026</t>
        </is>
      </c>
      <c r="G40" s="360">
        <f>COUNTIFS(TabelaNPS[Período],$B40)+COUNTIFS(TabelaNPS[Período],$E40)+COUNTIFS(TabelaAvaliacaoDocente[Período],$E40)+COUNTIFS(TabelaResultadosAcademicos[Período],$E40)</f>
        <v/>
      </c>
      <c r="H40" s="256" t="n">
        <v>202612</v>
      </c>
    </row>
    <row r="41" ht="15" customHeight="1" s="131">
      <c r="A41" s="361" t="n">
        <v>46388</v>
      </c>
      <c r="B41" s="171" t="inlineStr">
        <is>
          <t>2027-01</t>
        </is>
      </c>
      <c r="C41" s="164" t="n">
        <v>2027</v>
      </c>
      <c r="D41" s="164" t="n">
        <v>1</v>
      </c>
      <c r="E41" s="164" t="inlineStr">
        <is>
          <t>2027-SEM1</t>
        </is>
      </c>
      <c r="F41" s="164" t="inlineStr">
        <is>
          <t>01/2027</t>
        </is>
      </c>
      <c r="G41" s="360">
        <f>COUNTIFS(TabelaNPS[Período],$B41)+COUNTIFS(TabelaNPS[Período],$E41)+COUNTIFS(TabelaAvaliacaoDocente[Período],$E41)+COUNTIFS(TabelaResultadosAcademicos[Período],$E41)</f>
        <v/>
      </c>
      <c r="H41" s="256" t="n">
        <v>202701</v>
      </c>
    </row>
    <row r="42" ht="15" customHeight="1" s="131">
      <c r="A42" s="361" t="n">
        <v>46419</v>
      </c>
      <c r="B42" s="171" t="inlineStr">
        <is>
          <t>2027-02</t>
        </is>
      </c>
      <c r="C42" s="164" t="n">
        <v>2027</v>
      </c>
      <c r="D42" s="164" t="n">
        <v>2</v>
      </c>
      <c r="E42" s="164" t="inlineStr">
        <is>
          <t>2027-SEM1</t>
        </is>
      </c>
      <c r="F42" s="164" t="inlineStr">
        <is>
          <t>02/2027</t>
        </is>
      </c>
      <c r="G42" s="360">
        <f>COUNTIFS(TabelaNPS[Período],$B42)+COUNTIFS(TabelaNPS[Período],$E42)+COUNTIFS(TabelaAvaliacaoDocente[Período],$E42)+COUNTIFS(TabelaResultadosAcademicos[Período],$E42)</f>
        <v/>
      </c>
      <c r="H42" s="256" t="n">
        <v>202702</v>
      </c>
    </row>
    <row r="43" ht="15" customHeight="1" s="131">
      <c r="A43" s="361" t="n">
        <v>46447</v>
      </c>
      <c r="B43" s="171" t="inlineStr">
        <is>
          <t>2027-03</t>
        </is>
      </c>
      <c r="C43" s="164" t="n">
        <v>2027</v>
      </c>
      <c r="D43" s="164" t="n">
        <v>3</v>
      </c>
      <c r="E43" s="164" t="inlineStr">
        <is>
          <t>2027-SEM1</t>
        </is>
      </c>
      <c r="F43" s="164" t="inlineStr">
        <is>
          <t>03/2027</t>
        </is>
      </c>
      <c r="G43" s="360">
        <f>COUNTIFS(TabelaNPS[Período],$B43)+COUNTIFS(TabelaNPS[Período],$E43)+COUNTIFS(TabelaAvaliacaoDocente[Período],$E43)+COUNTIFS(TabelaResultadosAcademicos[Período],$E43)</f>
        <v/>
      </c>
      <c r="H43" s="256" t="n">
        <v>202703</v>
      </c>
    </row>
    <row r="44" ht="15" customHeight="1" s="131">
      <c r="A44" s="361" t="n">
        <v>46478</v>
      </c>
      <c r="B44" s="171" t="inlineStr">
        <is>
          <t>2027-04</t>
        </is>
      </c>
      <c r="C44" s="164" t="n">
        <v>2027</v>
      </c>
      <c r="D44" s="164" t="n">
        <v>4</v>
      </c>
      <c r="E44" s="164" t="inlineStr">
        <is>
          <t>2027-SEM1</t>
        </is>
      </c>
      <c r="F44" s="164" t="inlineStr">
        <is>
          <t>04/2027</t>
        </is>
      </c>
      <c r="G44" s="360">
        <f>COUNTIFS(TabelaNPS[Período],$B44)+COUNTIFS(TabelaNPS[Período],$E44)+COUNTIFS(TabelaAvaliacaoDocente[Período],$E44)+COUNTIFS(TabelaResultadosAcademicos[Período],$E44)</f>
        <v/>
      </c>
      <c r="H44" s="256" t="n">
        <v>202704</v>
      </c>
    </row>
    <row r="45" ht="15" customHeight="1" s="131">
      <c r="A45" s="361" t="n">
        <v>46508</v>
      </c>
      <c r="B45" s="171" t="inlineStr">
        <is>
          <t>2027-05</t>
        </is>
      </c>
      <c r="C45" s="164" t="n">
        <v>2027</v>
      </c>
      <c r="D45" s="164" t="n">
        <v>5</v>
      </c>
      <c r="E45" s="164" t="inlineStr">
        <is>
          <t>2027-SEM1</t>
        </is>
      </c>
      <c r="F45" s="164" t="inlineStr">
        <is>
          <t>05/2027</t>
        </is>
      </c>
      <c r="G45" s="360">
        <f>COUNTIFS(TabelaNPS[Período],$B45)+COUNTIFS(TabelaNPS[Período],$E45)+COUNTIFS(TabelaAvaliacaoDocente[Período],$E45)+COUNTIFS(TabelaResultadosAcademicos[Período],$E45)</f>
        <v/>
      </c>
      <c r="H45" s="256" t="n">
        <v>202705</v>
      </c>
    </row>
    <row r="46" ht="15" customHeight="1" s="131">
      <c r="A46" s="361" t="n">
        <v>46539</v>
      </c>
      <c r="B46" s="171" t="inlineStr">
        <is>
          <t>2027-06</t>
        </is>
      </c>
      <c r="C46" s="164" t="n">
        <v>2027</v>
      </c>
      <c r="D46" s="164" t="n">
        <v>6</v>
      </c>
      <c r="E46" s="164" t="inlineStr">
        <is>
          <t>2027-SEM1</t>
        </is>
      </c>
      <c r="F46" s="164" t="inlineStr">
        <is>
          <t>06/2027</t>
        </is>
      </c>
      <c r="G46" s="360">
        <f>COUNTIFS(TabelaNPS[Período],$B46)+COUNTIFS(TabelaNPS[Período],$E46)+COUNTIFS(TabelaAvaliacaoDocente[Período],$E46)+COUNTIFS(TabelaResultadosAcademicos[Período],$E46)</f>
        <v/>
      </c>
      <c r="H46" s="256" t="n">
        <v>202706</v>
      </c>
    </row>
    <row r="47" ht="15" customHeight="1" s="131">
      <c r="A47" s="361" t="n">
        <v>46569</v>
      </c>
      <c r="B47" s="171" t="inlineStr">
        <is>
          <t>2027-07</t>
        </is>
      </c>
      <c r="C47" s="164" t="n">
        <v>2027</v>
      </c>
      <c r="D47" s="164" t="n">
        <v>7</v>
      </c>
      <c r="E47" s="164" t="inlineStr">
        <is>
          <t>2027-SEM2</t>
        </is>
      </c>
      <c r="F47" s="164" t="inlineStr">
        <is>
          <t>07/2027</t>
        </is>
      </c>
      <c r="G47" s="360">
        <f>COUNTIFS(TabelaNPS[Período],$B47)+COUNTIFS(TabelaNPS[Período],$E47)+COUNTIFS(TabelaAvaliacaoDocente[Período],$E47)+COUNTIFS(TabelaResultadosAcademicos[Período],$E47)</f>
        <v/>
      </c>
      <c r="H47" s="256" t="n">
        <v>202707</v>
      </c>
    </row>
    <row r="48" ht="15" customHeight="1" s="131">
      <c r="A48" s="361" t="n">
        <v>46600</v>
      </c>
      <c r="B48" s="171" t="inlineStr">
        <is>
          <t>2027-08</t>
        </is>
      </c>
      <c r="C48" s="164" t="n">
        <v>2027</v>
      </c>
      <c r="D48" s="164" t="n">
        <v>8</v>
      </c>
      <c r="E48" s="164" t="inlineStr">
        <is>
          <t>2027-SEM2</t>
        </is>
      </c>
      <c r="F48" s="164" t="inlineStr">
        <is>
          <t>08/2027</t>
        </is>
      </c>
      <c r="G48" s="360">
        <f>COUNTIFS(TabelaNPS[Período],$B48)+COUNTIFS(TabelaNPS[Período],$E48)+COUNTIFS(TabelaAvaliacaoDocente[Período],$E48)+COUNTIFS(TabelaResultadosAcademicos[Período],$E48)</f>
        <v/>
      </c>
      <c r="H48" s="256" t="n">
        <v>202708</v>
      </c>
    </row>
    <row r="49" ht="15" customHeight="1" s="131">
      <c r="A49" s="361" t="n">
        <v>46631</v>
      </c>
      <c r="B49" s="171" t="inlineStr">
        <is>
          <t>2027-09</t>
        </is>
      </c>
      <c r="C49" s="164" t="n">
        <v>2027</v>
      </c>
      <c r="D49" s="164" t="n">
        <v>9</v>
      </c>
      <c r="E49" s="164" t="inlineStr">
        <is>
          <t>2027-SEM2</t>
        </is>
      </c>
      <c r="F49" s="164" t="inlineStr">
        <is>
          <t>09/2027</t>
        </is>
      </c>
      <c r="G49" s="360">
        <f>COUNTIFS(TabelaNPS[Período],$B49)+COUNTIFS(TabelaNPS[Período],$E49)+COUNTIFS(TabelaAvaliacaoDocente[Período],$E49)+COUNTIFS(TabelaResultadosAcademicos[Período],$E49)</f>
        <v/>
      </c>
      <c r="H49" s="256" t="n">
        <v>202709</v>
      </c>
    </row>
    <row r="50" ht="15" customHeight="1" s="131">
      <c r="A50" s="361" t="n">
        <v>46661</v>
      </c>
      <c r="B50" s="171" t="inlineStr">
        <is>
          <t>2027-10</t>
        </is>
      </c>
      <c r="C50" s="164" t="n">
        <v>2027</v>
      </c>
      <c r="D50" s="164" t="n">
        <v>10</v>
      </c>
      <c r="E50" s="164" t="inlineStr">
        <is>
          <t>2027-SEM2</t>
        </is>
      </c>
      <c r="F50" s="164" t="inlineStr">
        <is>
          <t>10/2027</t>
        </is>
      </c>
      <c r="G50" s="360">
        <f>COUNTIFS(TabelaNPS[Período],$B50)+COUNTIFS(TabelaNPS[Período],$E50)+COUNTIFS(TabelaAvaliacaoDocente[Período],$E50)+COUNTIFS(TabelaResultadosAcademicos[Período],$E50)</f>
        <v/>
      </c>
      <c r="H50" s="256" t="n">
        <v>202710</v>
      </c>
    </row>
    <row r="51" ht="15" customHeight="1" s="131">
      <c r="A51" s="361" t="n">
        <v>46692</v>
      </c>
      <c r="B51" s="171" t="inlineStr">
        <is>
          <t>2027-11</t>
        </is>
      </c>
      <c r="C51" s="164" t="n">
        <v>2027</v>
      </c>
      <c r="D51" s="164" t="n">
        <v>11</v>
      </c>
      <c r="E51" s="164" t="inlineStr">
        <is>
          <t>2027-SEM2</t>
        </is>
      </c>
      <c r="F51" s="164" t="inlineStr">
        <is>
          <t>11/2027</t>
        </is>
      </c>
      <c r="G51" s="360">
        <f>COUNTIFS(TabelaNPS[Período],$B51)+COUNTIFS(TabelaNPS[Período],$E51)+COUNTIFS(TabelaAvaliacaoDocente[Período],$E51)+COUNTIFS(TabelaResultadosAcademicos[Período],$E51)</f>
        <v/>
      </c>
      <c r="H51" s="256" t="n">
        <v>202711</v>
      </c>
    </row>
    <row r="52" ht="15" customHeight="1" s="131">
      <c r="A52" s="361" t="n">
        <v>46722</v>
      </c>
      <c r="B52" s="171" t="inlineStr">
        <is>
          <t>2027-12</t>
        </is>
      </c>
      <c r="C52" s="164" t="n">
        <v>2027</v>
      </c>
      <c r="D52" s="164" t="n">
        <v>12</v>
      </c>
      <c r="E52" s="164" t="inlineStr">
        <is>
          <t>2027-SEM2</t>
        </is>
      </c>
      <c r="F52" s="164" t="inlineStr">
        <is>
          <t>12/2027</t>
        </is>
      </c>
      <c r="G52" s="360">
        <f>COUNTIFS(TabelaNPS[Período],$B52)+COUNTIFS(TabelaNPS[Período],$E52)+COUNTIFS(TabelaAvaliacaoDocente[Período],$E52)+COUNTIFS(TabelaResultadosAcademicos[Período],$E52)</f>
        <v/>
      </c>
      <c r="H52" s="256" t="n">
        <v>202712</v>
      </c>
    </row>
    <row r="53" ht="15" customHeight="1" s="131">
      <c r="A53" s="361" t="n">
        <v>46753</v>
      </c>
      <c r="B53" s="171" t="inlineStr">
        <is>
          <t>2028-01</t>
        </is>
      </c>
      <c r="C53" s="164" t="n">
        <v>2028</v>
      </c>
      <c r="D53" s="164" t="n">
        <v>1</v>
      </c>
      <c r="E53" s="164" t="inlineStr">
        <is>
          <t>2028-SEM1</t>
        </is>
      </c>
      <c r="F53" s="164" t="inlineStr">
        <is>
          <t>01/2028</t>
        </is>
      </c>
      <c r="G53" s="360">
        <f>COUNTIFS(TabelaNPS[Período],$B53)+COUNTIFS(TabelaNPS[Período],$E53)+COUNTIFS(TabelaAvaliacaoDocente[Período],$E53)+COUNTIFS(TabelaResultadosAcademicos[Período],$E53)</f>
        <v/>
      </c>
      <c r="H53" s="256" t="n">
        <v>202801</v>
      </c>
    </row>
    <row r="54" ht="15" customHeight="1" s="131">
      <c r="A54" s="361" t="n">
        <v>46784</v>
      </c>
      <c r="B54" s="171" t="inlineStr">
        <is>
          <t>2028-02</t>
        </is>
      </c>
      <c r="C54" s="164" t="n">
        <v>2028</v>
      </c>
      <c r="D54" s="164" t="n">
        <v>2</v>
      </c>
      <c r="E54" s="164" t="inlineStr">
        <is>
          <t>2028-SEM1</t>
        </is>
      </c>
      <c r="F54" s="164" t="inlineStr">
        <is>
          <t>02/2028</t>
        </is>
      </c>
      <c r="G54" s="360">
        <f>COUNTIFS(TabelaNPS[Período],$B54)+COUNTIFS(TabelaNPS[Período],$E54)+COUNTIFS(TabelaAvaliacaoDocente[Período],$E54)+COUNTIFS(TabelaResultadosAcademicos[Período],$E54)</f>
        <v/>
      </c>
      <c r="H54" s="256" t="n">
        <v>202802</v>
      </c>
    </row>
    <row r="55" ht="15" customHeight="1" s="131">
      <c r="A55" s="361" t="n">
        <v>46813</v>
      </c>
      <c r="B55" s="171" t="inlineStr">
        <is>
          <t>2028-03</t>
        </is>
      </c>
      <c r="C55" s="164" t="n">
        <v>2028</v>
      </c>
      <c r="D55" s="164" t="n">
        <v>3</v>
      </c>
      <c r="E55" s="164" t="inlineStr">
        <is>
          <t>2028-SEM1</t>
        </is>
      </c>
      <c r="F55" s="164" t="inlineStr">
        <is>
          <t>03/2028</t>
        </is>
      </c>
      <c r="G55" s="360">
        <f>COUNTIFS(TabelaNPS[Período],$B55)+COUNTIFS(TabelaNPS[Período],$E55)+COUNTIFS(TabelaAvaliacaoDocente[Período],$E55)+COUNTIFS(TabelaResultadosAcademicos[Período],$E55)</f>
        <v/>
      </c>
      <c r="H55" s="256" t="n">
        <v>202803</v>
      </c>
    </row>
    <row r="56" ht="15" customHeight="1" s="131">
      <c r="A56" s="361" t="n">
        <v>46844</v>
      </c>
      <c r="B56" s="171" t="inlineStr">
        <is>
          <t>2028-04</t>
        </is>
      </c>
      <c r="C56" s="164" t="n">
        <v>2028</v>
      </c>
      <c r="D56" s="164" t="n">
        <v>4</v>
      </c>
      <c r="E56" s="164" t="inlineStr">
        <is>
          <t>2028-SEM1</t>
        </is>
      </c>
      <c r="F56" s="164" t="inlineStr">
        <is>
          <t>04/2028</t>
        </is>
      </c>
      <c r="G56" s="360">
        <f>COUNTIFS(TabelaNPS[Período],$B56)+COUNTIFS(TabelaNPS[Período],$E56)+COUNTIFS(TabelaAvaliacaoDocente[Período],$E56)+COUNTIFS(TabelaResultadosAcademicos[Período],$E56)</f>
        <v/>
      </c>
      <c r="H56" s="256" t="n">
        <v>202804</v>
      </c>
    </row>
    <row r="57" ht="15" customHeight="1" s="131">
      <c r="A57" s="361" t="n">
        <v>46874</v>
      </c>
      <c r="B57" s="171" t="inlineStr">
        <is>
          <t>2028-05</t>
        </is>
      </c>
      <c r="C57" s="164" t="n">
        <v>2028</v>
      </c>
      <c r="D57" s="164" t="n">
        <v>5</v>
      </c>
      <c r="E57" s="164" t="inlineStr">
        <is>
          <t>2028-SEM1</t>
        </is>
      </c>
      <c r="F57" s="164" t="inlineStr">
        <is>
          <t>05/2028</t>
        </is>
      </c>
      <c r="G57" s="360">
        <f>COUNTIFS(TabelaNPS[Período],$B57)+COUNTIFS(TabelaNPS[Período],$E57)+COUNTIFS(TabelaAvaliacaoDocente[Período],$E57)+COUNTIFS(TabelaResultadosAcademicos[Período],$E57)</f>
        <v/>
      </c>
      <c r="H57" s="256" t="n">
        <v>202805</v>
      </c>
    </row>
    <row r="58" ht="15" customHeight="1" s="131">
      <c r="A58" s="361" t="n">
        <v>46905</v>
      </c>
      <c r="B58" s="171" t="inlineStr">
        <is>
          <t>2028-06</t>
        </is>
      </c>
      <c r="C58" s="164" t="n">
        <v>2028</v>
      </c>
      <c r="D58" s="164" t="n">
        <v>6</v>
      </c>
      <c r="E58" s="164" t="inlineStr">
        <is>
          <t>2028-SEM1</t>
        </is>
      </c>
      <c r="F58" s="164" t="inlineStr">
        <is>
          <t>06/2028</t>
        </is>
      </c>
      <c r="G58" s="360">
        <f>COUNTIFS(TabelaNPS[Período],$B58)+COUNTIFS(TabelaNPS[Período],$E58)+COUNTIFS(TabelaAvaliacaoDocente[Período],$E58)+COUNTIFS(TabelaResultadosAcademicos[Período],$E58)</f>
        <v/>
      </c>
      <c r="H58" s="256" t="n">
        <v>202806</v>
      </c>
    </row>
    <row r="59" ht="15" customHeight="1" s="131">
      <c r="A59" s="361" t="n">
        <v>46935</v>
      </c>
      <c r="B59" s="171" t="inlineStr">
        <is>
          <t>2028-07</t>
        </is>
      </c>
      <c r="C59" s="164" t="n">
        <v>2028</v>
      </c>
      <c r="D59" s="164" t="n">
        <v>7</v>
      </c>
      <c r="E59" s="164" t="inlineStr">
        <is>
          <t>2028-SEM2</t>
        </is>
      </c>
      <c r="F59" s="164" t="inlineStr">
        <is>
          <t>07/2028</t>
        </is>
      </c>
      <c r="G59" s="360">
        <f>COUNTIFS(TabelaNPS[Período],$B59)+COUNTIFS(TabelaNPS[Período],$E59)+COUNTIFS(TabelaAvaliacaoDocente[Período],$E59)+COUNTIFS(TabelaResultadosAcademicos[Período],$E59)</f>
        <v/>
      </c>
      <c r="H59" s="256" t="n">
        <v>202807</v>
      </c>
    </row>
    <row r="60" ht="15" customHeight="1" s="131">
      <c r="A60" s="361" t="n">
        <v>46966</v>
      </c>
      <c r="B60" s="171" t="inlineStr">
        <is>
          <t>2028-08</t>
        </is>
      </c>
      <c r="C60" s="164" t="n">
        <v>2028</v>
      </c>
      <c r="D60" s="164" t="n">
        <v>8</v>
      </c>
      <c r="E60" s="164" t="inlineStr">
        <is>
          <t>2028-SEM2</t>
        </is>
      </c>
      <c r="F60" s="164" t="inlineStr">
        <is>
          <t>08/2028</t>
        </is>
      </c>
      <c r="G60" s="360">
        <f>COUNTIFS(TabelaNPS[Período],$B60)+COUNTIFS(TabelaNPS[Período],$E60)+COUNTIFS(TabelaAvaliacaoDocente[Período],$E60)+COUNTIFS(TabelaResultadosAcademicos[Período],$E60)</f>
        <v/>
      </c>
      <c r="H60" s="256" t="n">
        <v>202808</v>
      </c>
    </row>
    <row r="61" ht="15" customHeight="1" s="131">
      <c r="A61" s="361" t="n">
        <v>46997</v>
      </c>
      <c r="B61" s="171" t="inlineStr">
        <is>
          <t>2028-09</t>
        </is>
      </c>
      <c r="C61" s="164" t="n">
        <v>2028</v>
      </c>
      <c r="D61" s="164" t="n">
        <v>9</v>
      </c>
      <c r="E61" s="164" t="inlineStr">
        <is>
          <t>2028-SEM2</t>
        </is>
      </c>
      <c r="F61" s="164" t="inlineStr">
        <is>
          <t>09/2028</t>
        </is>
      </c>
      <c r="G61" s="360">
        <f>COUNTIFS(TabelaNPS[Período],$B61)+COUNTIFS(TabelaNPS[Período],$E61)+COUNTIFS(TabelaAvaliacaoDocente[Período],$E61)+COUNTIFS(TabelaResultadosAcademicos[Período],$E61)</f>
        <v/>
      </c>
      <c r="H61" s="256" t="n">
        <v>202809</v>
      </c>
    </row>
    <row r="62" ht="15" customHeight="1" s="131">
      <c r="A62" s="361" t="n">
        <v>47027</v>
      </c>
      <c r="B62" s="171" t="inlineStr">
        <is>
          <t>2028-10</t>
        </is>
      </c>
      <c r="C62" s="164" t="n">
        <v>2028</v>
      </c>
      <c r="D62" s="164" t="n">
        <v>10</v>
      </c>
      <c r="E62" s="164" t="inlineStr">
        <is>
          <t>2028-SEM2</t>
        </is>
      </c>
      <c r="F62" s="164" t="inlineStr">
        <is>
          <t>10/2028</t>
        </is>
      </c>
      <c r="G62" s="360">
        <f>COUNTIFS(TabelaNPS[Período],$B62)+COUNTIFS(TabelaNPS[Período],$E62)+COUNTIFS(TabelaAvaliacaoDocente[Período],$E62)+COUNTIFS(TabelaResultadosAcademicos[Período],$E62)</f>
        <v/>
      </c>
      <c r="H62" s="256" t="n">
        <v>202810</v>
      </c>
    </row>
    <row r="63" ht="15" customHeight="1" s="131">
      <c r="A63" s="361" t="n">
        <v>47058</v>
      </c>
      <c r="B63" s="171" t="inlineStr">
        <is>
          <t>2028-11</t>
        </is>
      </c>
      <c r="C63" s="164" t="n">
        <v>2028</v>
      </c>
      <c r="D63" s="164" t="n">
        <v>11</v>
      </c>
      <c r="E63" s="164" t="inlineStr">
        <is>
          <t>2028-SEM2</t>
        </is>
      </c>
      <c r="F63" s="164" t="inlineStr">
        <is>
          <t>11/2028</t>
        </is>
      </c>
      <c r="G63" s="360">
        <f>COUNTIFS(TabelaNPS[Período],$B63)+COUNTIFS(TabelaNPS[Período],$E63)+COUNTIFS(TabelaAvaliacaoDocente[Período],$E63)+COUNTIFS(TabelaResultadosAcademicos[Período],$E63)</f>
        <v/>
      </c>
      <c r="H63" s="256" t="n">
        <v>202811</v>
      </c>
    </row>
    <row r="64" ht="15" customHeight="1" s="131">
      <c r="A64" s="361" t="n">
        <v>47088</v>
      </c>
      <c r="B64" s="171" t="inlineStr">
        <is>
          <t>2028-12</t>
        </is>
      </c>
      <c r="C64" s="164" t="n">
        <v>2028</v>
      </c>
      <c r="D64" s="164" t="n">
        <v>12</v>
      </c>
      <c r="E64" s="164" t="inlineStr">
        <is>
          <t>2028-SEM2</t>
        </is>
      </c>
      <c r="F64" s="164" t="inlineStr">
        <is>
          <t>12/2028</t>
        </is>
      </c>
      <c r="G64" s="360">
        <f>COUNTIFS(TabelaNPS[Período],$B64)+COUNTIFS(TabelaNPS[Período],$E64)+COUNTIFS(TabelaAvaliacaoDocente[Período],$E64)+COUNTIFS(TabelaResultadosAcademicos[Período],$E64)</f>
        <v/>
      </c>
      <c r="H64" s="256" t="n">
        <v>202812</v>
      </c>
    </row>
    <row r="65" ht="15" customHeight="1" s="131">
      <c r="A65" s="361" t="n">
        <v>47119</v>
      </c>
      <c r="B65" s="171" t="inlineStr">
        <is>
          <t>2029-01</t>
        </is>
      </c>
      <c r="C65" s="164" t="n">
        <v>2029</v>
      </c>
      <c r="D65" s="164" t="n">
        <v>1</v>
      </c>
      <c r="E65" s="164" t="inlineStr">
        <is>
          <t>2029-SEM1</t>
        </is>
      </c>
      <c r="F65" s="164" t="inlineStr">
        <is>
          <t>01/2029</t>
        </is>
      </c>
      <c r="G65" s="360">
        <f>COUNTIFS(TabelaNPS[Período],$B65)+COUNTIFS(TabelaNPS[Período],$E65)+COUNTIFS(TabelaAvaliacaoDocente[Período],$E65)+COUNTIFS(TabelaResultadosAcademicos[Período],$E65)</f>
        <v/>
      </c>
      <c r="H65" s="256" t="n">
        <v>202901</v>
      </c>
    </row>
    <row r="66" ht="15" customHeight="1" s="131">
      <c r="A66" s="361" t="n">
        <v>47150</v>
      </c>
      <c r="B66" s="171" t="inlineStr">
        <is>
          <t>2029-02</t>
        </is>
      </c>
      <c r="C66" s="164" t="n">
        <v>2029</v>
      </c>
      <c r="D66" s="164" t="n">
        <v>2</v>
      </c>
      <c r="E66" s="164" t="inlineStr">
        <is>
          <t>2029-SEM1</t>
        </is>
      </c>
      <c r="F66" s="164" t="inlineStr">
        <is>
          <t>02/2029</t>
        </is>
      </c>
      <c r="G66" s="360">
        <f>COUNTIFS(TabelaNPS[Período],$B66)+COUNTIFS(TabelaNPS[Período],$E66)+COUNTIFS(TabelaAvaliacaoDocente[Período],$E66)+COUNTIFS(TabelaResultadosAcademicos[Período],$E66)</f>
        <v/>
      </c>
      <c r="H66" s="256" t="n">
        <v>202902</v>
      </c>
    </row>
    <row r="67" ht="15" customHeight="1" s="131">
      <c r="A67" s="361" t="n">
        <v>47178</v>
      </c>
      <c r="B67" s="171" t="inlineStr">
        <is>
          <t>2029-03</t>
        </is>
      </c>
      <c r="C67" s="164" t="n">
        <v>2029</v>
      </c>
      <c r="D67" s="164" t="n">
        <v>3</v>
      </c>
      <c r="E67" s="164" t="inlineStr">
        <is>
          <t>2029-SEM1</t>
        </is>
      </c>
      <c r="F67" s="164" t="inlineStr">
        <is>
          <t>03/2029</t>
        </is>
      </c>
      <c r="G67" s="360">
        <f>COUNTIFS(TabelaNPS[Período],$B67)+COUNTIFS(TabelaNPS[Período],$E67)+COUNTIFS(TabelaAvaliacaoDocente[Período],$E67)+COUNTIFS(TabelaResultadosAcademicos[Período],$E67)</f>
        <v/>
      </c>
      <c r="H67" s="256" t="n">
        <v>202903</v>
      </c>
    </row>
    <row r="68" ht="15" customHeight="1" s="131">
      <c r="A68" s="361" t="n">
        <v>47209</v>
      </c>
      <c r="B68" s="171" t="inlineStr">
        <is>
          <t>2029-04</t>
        </is>
      </c>
      <c r="C68" s="164" t="n">
        <v>2029</v>
      </c>
      <c r="D68" s="164" t="n">
        <v>4</v>
      </c>
      <c r="E68" s="164" t="inlineStr">
        <is>
          <t>2029-SEM1</t>
        </is>
      </c>
      <c r="F68" s="164" t="inlineStr">
        <is>
          <t>04/2029</t>
        </is>
      </c>
      <c r="G68" s="360">
        <f>COUNTIFS(TabelaNPS[Período],$B68)+COUNTIFS(TabelaNPS[Período],$E68)+COUNTIFS(TabelaAvaliacaoDocente[Período],$E68)+COUNTIFS(TabelaResultadosAcademicos[Período],$E68)</f>
        <v/>
      </c>
      <c r="H68" s="256" t="n">
        <v>202904</v>
      </c>
    </row>
    <row r="69" ht="15" customHeight="1" s="131">
      <c r="A69" s="361" t="n">
        <v>47239</v>
      </c>
      <c r="B69" s="171" t="inlineStr">
        <is>
          <t>2029-05</t>
        </is>
      </c>
      <c r="C69" s="164" t="n">
        <v>2029</v>
      </c>
      <c r="D69" s="164" t="n">
        <v>5</v>
      </c>
      <c r="E69" s="164" t="inlineStr">
        <is>
          <t>2029-SEM1</t>
        </is>
      </c>
      <c r="F69" s="164" t="inlineStr">
        <is>
          <t>05/2029</t>
        </is>
      </c>
      <c r="G69" s="360">
        <f>COUNTIFS(TabelaNPS[Período],$B69)+COUNTIFS(TabelaNPS[Período],$E69)+COUNTIFS(TabelaAvaliacaoDocente[Período],$E69)+COUNTIFS(TabelaResultadosAcademicos[Período],$E69)</f>
        <v/>
      </c>
      <c r="H69" s="256" t="n">
        <v>202905</v>
      </c>
    </row>
    <row r="70" ht="15" customHeight="1" s="131">
      <c r="A70" s="361" t="n">
        <v>47270</v>
      </c>
      <c r="B70" s="171" t="inlineStr">
        <is>
          <t>2029-06</t>
        </is>
      </c>
      <c r="C70" s="164" t="n">
        <v>2029</v>
      </c>
      <c r="D70" s="164" t="n">
        <v>6</v>
      </c>
      <c r="E70" s="164" t="inlineStr">
        <is>
          <t>2029-SEM1</t>
        </is>
      </c>
      <c r="F70" s="164" t="inlineStr">
        <is>
          <t>06/2029</t>
        </is>
      </c>
      <c r="G70" s="360">
        <f>COUNTIFS(TabelaNPS[Período],$B70)+COUNTIFS(TabelaNPS[Período],$E70)+COUNTIFS(TabelaAvaliacaoDocente[Período],$E70)+COUNTIFS(TabelaResultadosAcademicos[Período],$E70)</f>
        <v/>
      </c>
      <c r="H70" s="256" t="n">
        <v>202906</v>
      </c>
    </row>
    <row r="71" ht="15" customHeight="1" s="131">
      <c r="A71" s="361" t="n">
        <v>47300</v>
      </c>
      <c r="B71" s="171" t="inlineStr">
        <is>
          <t>2029-07</t>
        </is>
      </c>
      <c r="C71" s="164" t="n">
        <v>2029</v>
      </c>
      <c r="D71" s="164" t="n">
        <v>7</v>
      </c>
      <c r="E71" s="164" t="inlineStr">
        <is>
          <t>2029-SEM2</t>
        </is>
      </c>
      <c r="F71" s="164" t="inlineStr">
        <is>
          <t>07/2029</t>
        </is>
      </c>
      <c r="G71" s="360">
        <f>COUNTIFS(TabelaNPS[Período],$B71)+COUNTIFS(TabelaNPS[Período],$E71)+COUNTIFS(TabelaAvaliacaoDocente[Período],$E71)+COUNTIFS(TabelaResultadosAcademicos[Período],$E71)</f>
        <v/>
      </c>
      <c r="H71" s="256" t="n">
        <v>202907</v>
      </c>
    </row>
    <row r="72" ht="15" customHeight="1" s="131">
      <c r="A72" s="361" t="n">
        <v>47331</v>
      </c>
      <c r="B72" s="171" t="inlineStr">
        <is>
          <t>2029-08</t>
        </is>
      </c>
      <c r="C72" s="164" t="n">
        <v>2029</v>
      </c>
      <c r="D72" s="164" t="n">
        <v>8</v>
      </c>
      <c r="E72" s="164" t="inlineStr">
        <is>
          <t>2029-SEM2</t>
        </is>
      </c>
      <c r="F72" s="164" t="inlineStr">
        <is>
          <t>08/2029</t>
        </is>
      </c>
      <c r="G72" s="360">
        <f>COUNTIFS(TabelaNPS[Período],$B72)+COUNTIFS(TabelaNPS[Período],$E72)+COUNTIFS(TabelaAvaliacaoDocente[Período],$E72)+COUNTIFS(TabelaResultadosAcademicos[Período],$E72)</f>
        <v/>
      </c>
      <c r="H72" s="256" t="n">
        <v>202908</v>
      </c>
    </row>
    <row r="73" ht="15" customHeight="1" s="131">
      <c r="A73" s="361" t="n">
        <v>47362</v>
      </c>
      <c r="B73" s="171" t="inlineStr">
        <is>
          <t>2029-09</t>
        </is>
      </c>
      <c r="C73" s="164" t="n">
        <v>2029</v>
      </c>
      <c r="D73" s="164" t="n">
        <v>9</v>
      </c>
      <c r="E73" s="164" t="inlineStr">
        <is>
          <t>2029-SEM2</t>
        </is>
      </c>
      <c r="F73" s="164" t="inlineStr">
        <is>
          <t>09/2029</t>
        </is>
      </c>
      <c r="G73" s="360">
        <f>COUNTIFS(TabelaNPS[Período],$B73)+COUNTIFS(TabelaNPS[Período],$E73)+COUNTIFS(TabelaAvaliacaoDocente[Período],$E73)+COUNTIFS(TabelaResultadosAcademicos[Período],$E73)</f>
        <v/>
      </c>
      <c r="H73" s="256" t="n">
        <v>202909</v>
      </c>
    </row>
    <row r="74" ht="15" customHeight="1" s="131">
      <c r="A74" s="361" t="n">
        <v>47392</v>
      </c>
      <c r="B74" s="171" t="inlineStr">
        <is>
          <t>2029-10</t>
        </is>
      </c>
      <c r="C74" s="164" t="n">
        <v>2029</v>
      </c>
      <c r="D74" s="164" t="n">
        <v>10</v>
      </c>
      <c r="E74" s="164" t="inlineStr">
        <is>
          <t>2029-SEM2</t>
        </is>
      </c>
      <c r="F74" s="164" t="inlineStr">
        <is>
          <t>10/2029</t>
        </is>
      </c>
      <c r="G74" s="360">
        <f>COUNTIFS(TabelaNPS[Período],$B74)+COUNTIFS(TabelaNPS[Período],$E74)+COUNTIFS(TabelaAvaliacaoDocente[Período],$E74)+COUNTIFS(TabelaResultadosAcademicos[Período],$E74)</f>
        <v/>
      </c>
      <c r="H74" s="256" t="n">
        <v>202910</v>
      </c>
    </row>
    <row r="75" ht="15" customHeight="1" s="131">
      <c r="A75" s="361" t="n">
        <v>47423</v>
      </c>
      <c r="B75" s="171" t="inlineStr">
        <is>
          <t>2029-11</t>
        </is>
      </c>
      <c r="C75" s="164" t="n">
        <v>2029</v>
      </c>
      <c r="D75" s="164" t="n">
        <v>11</v>
      </c>
      <c r="E75" s="164" t="inlineStr">
        <is>
          <t>2029-SEM2</t>
        </is>
      </c>
      <c r="F75" s="164" t="inlineStr">
        <is>
          <t>11/2029</t>
        </is>
      </c>
      <c r="G75" s="360">
        <f>COUNTIFS(TabelaNPS[Período],$B75)+COUNTIFS(TabelaNPS[Período],$E75)+COUNTIFS(TabelaAvaliacaoDocente[Período],$E75)+COUNTIFS(TabelaResultadosAcademicos[Período],$E75)</f>
        <v/>
      </c>
      <c r="H75" s="256" t="n">
        <v>202911</v>
      </c>
    </row>
    <row r="76" ht="15" customHeight="1" s="131">
      <c r="A76" s="361" t="n">
        <v>47453</v>
      </c>
      <c r="B76" s="171" t="inlineStr">
        <is>
          <t>2029-12</t>
        </is>
      </c>
      <c r="C76" s="164" t="n">
        <v>2029</v>
      </c>
      <c r="D76" s="164" t="n">
        <v>12</v>
      </c>
      <c r="E76" s="164" t="inlineStr">
        <is>
          <t>2029-SEM2</t>
        </is>
      </c>
      <c r="F76" s="164" t="inlineStr">
        <is>
          <t>12/2029</t>
        </is>
      </c>
      <c r="G76" s="360">
        <f>COUNTIFS(TabelaNPS[Período],$B76)+COUNTIFS(TabelaNPS[Período],$E76)+COUNTIFS(TabelaAvaliacaoDocente[Período],$E76)+COUNTIFS(TabelaResultadosAcademicos[Período],$E76)</f>
        <v/>
      </c>
      <c r="H76" s="256" t="n">
        <v>202912</v>
      </c>
    </row>
    <row r="77" ht="15" customHeight="1" s="131">
      <c r="A77" s="361" t="n">
        <v>47484</v>
      </c>
      <c r="B77" s="171" t="inlineStr">
        <is>
          <t>2030-01</t>
        </is>
      </c>
      <c r="C77" s="164" t="n">
        <v>2030</v>
      </c>
      <c r="D77" s="164" t="n">
        <v>1</v>
      </c>
      <c r="E77" s="164" t="inlineStr">
        <is>
          <t>2030-SEM1</t>
        </is>
      </c>
      <c r="F77" s="164" t="inlineStr">
        <is>
          <t>01/2030</t>
        </is>
      </c>
      <c r="G77" s="360">
        <f>COUNTIFS(TabelaNPS[Período],$B77)+COUNTIFS(TabelaNPS[Período],$E77)+COUNTIFS(TabelaAvaliacaoDocente[Período],$E77)+COUNTIFS(TabelaResultadosAcademicos[Período],$E77)</f>
        <v/>
      </c>
      <c r="H77" s="256" t="n">
        <v>203001</v>
      </c>
    </row>
    <row r="78" ht="15" customHeight="1" s="131">
      <c r="A78" s="361" t="n">
        <v>47515</v>
      </c>
      <c r="B78" s="171" t="inlineStr">
        <is>
          <t>2030-02</t>
        </is>
      </c>
      <c r="C78" s="164" t="n">
        <v>2030</v>
      </c>
      <c r="D78" s="164" t="n">
        <v>2</v>
      </c>
      <c r="E78" s="164" t="inlineStr">
        <is>
          <t>2030-SEM1</t>
        </is>
      </c>
      <c r="F78" s="164" t="inlineStr">
        <is>
          <t>02/2030</t>
        </is>
      </c>
      <c r="G78" s="360">
        <f>COUNTIFS(TabelaNPS[Período],$B78)+COUNTIFS(TabelaNPS[Período],$E78)+COUNTIFS(TabelaAvaliacaoDocente[Período],$E78)+COUNTIFS(TabelaResultadosAcademicos[Período],$E78)</f>
        <v/>
      </c>
      <c r="H78" s="256" t="n">
        <v>203002</v>
      </c>
    </row>
    <row r="79" ht="15" customHeight="1" s="131">
      <c r="A79" s="361" t="n">
        <v>47543</v>
      </c>
      <c r="B79" s="171" t="inlineStr">
        <is>
          <t>2030-03</t>
        </is>
      </c>
      <c r="C79" s="164" t="n">
        <v>2030</v>
      </c>
      <c r="D79" s="164" t="n">
        <v>3</v>
      </c>
      <c r="E79" s="164" t="inlineStr">
        <is>
          <t>2030-SEM1</t>
        </is>
      </c>
      <c r="F79" s="164" t="inlineStr">
        <is>
          <t>03/2030</t>
        </is>
      </c>
      <c r="G79" s="360">
        <f>COUNTIFS(TabelaNPS[Período],$B79)+COUNTIFS(TabelaNPS[Período],$E79)+COUNTIFS(TabelaAvaliacaoDocente[Período],$E79)+COUNTIFS(TabelaResultadosAcademicos[Período],$E79)</f>
        <v/>
      </c>
      <c r="H79" s="256" t="n">
        <v>203003</v>
      </c>
    </row>
    <row r="80" ht="15" customHeight="1" s="131">
      <c r="A80" s="361" t="n">
        <v>47574</v>
      </c>
      <c r="B80" s="171" t="inlineStr">
        <is>
          <t>2030-04</t>
        </is>
      </c>
      <c r="C80" s="164" t="n">
        <v>2030</v>
      </c>
      <c r="D80" s="164" t="n">
        <v>4</v>
      </c>
      <c r="E80" s="164" t="inlineStr">
        <is>
          <t>2030-SEM1</t>
        </is>
      </c>
      <c r="F80" s="164" t="inlineStr">
        <is>
          <t>04/2030</t>
        </is>
      </c>
      <c r="G80" s="360">
        <f>COUNTIFS(TabelaNPS[Período],$B80)+COUNTIFS(TabelaNPS[Período],$E80)+COUNTIFS(TabelaAvaliacaoDocente[Período],$E80)+COUNTIFS(TabelaResultadosAcademicos[Período],$E80)</f>
        <v/>
      </c>
      <c r="H80" s="256" t="n">
        <v>203004</v>
      </c>
    </row>
    <row r="81" ht="15" customHeight="1" s="131">
      <c r="A81" s="361" t="n">
        <v>47604</v>
      </c>
      <c r="B81" s="171" t="inlineStr">
        <is>
          <t>2030-05</t>
        </is>
      </c>
      <c r="C81" s="164" t="n">
        <v>2030</v>
      </c>
      <c r="D81" s="164" t="n">
        <v>5</v>
      </c>
      <c r="E81" s="164" t="inlineStr">
        <is>
          <t>2030-SEM1</t>
        </is>
      </c>
      <c r="F81" s="164" t="inlineStr">
        <is>
          <t>05/2030</t>
        </is>
      </c>
      <c r="G81" s="360">
        <f>COUNTIFS(TabelaNPS[Período],$B81)+COUNTIFS(TabelaNPS[Período],$E81)+COUNTIFS(TabelaAvaliacaoDocente[Período],$E81)+COUNTIFS(TabelaResultadosAcademicos[Período],$E81)</f>
        <v/>
      </c>
      <c r="H81" s="256" t="n">
        <v>203005</v>
      </c>
    </row>
    <row r="82" ht="15" customHeight="1" s="131">
      <c r="A82" s="361" t="n">
        <v>47635</v>
      </c>
      <c r="B82" s="171" t="inlineStr">
        <is>
          <t>2030-06</t>
        </is>
      </c>
      <c r="C82" s="164" t="n">
        <v>2030</v>
      </c>
      <c r="D82" s="164" t="n">
        <v>6</v>
      </c>
      <c r="E82" s="164" t="inlineStr">
        <is>
          <t>2030-SEM1</t>
        </is>
      </c>
      <c r="F82" s="164" t="inlineStr">
        <is>
          <t>06/2030</t>
        </is>
      </c>
      <c r="G82" s="360">
        <f>COUNTIFS(TabelaNPS[Período],$B82)+COUNTIFS(TabelaNPS[Período],$E82)+COUNTIFS(TabelaAvaliacaoDocente[Período],$E82)+COUNTIFS(TabelaResultadosAcademicos[Período],$E82)</f>
        <v/>
      </c>
      <c r="H82" s="256" t="n">
        <v>203006</v>
      </c>
    </row>
    <row r="83" ht="15" customHeight="1" s="131">
      <c r="A83" s="361" t="n">
        <v>47665</v>
      </c>
      <c r="B83" s="171" t="inlineStr">
        <is>
          <t>2030-07</t>
        </is>
      </c>
      <c r="C83" s="164" t="n">
        <v>2030</v>
      </c>
      <c r="D83" s="164" t="n">
        <v>7</v>
      </c>
      <c r="E83" s="164" t="inlineStr">
        <is>
          <t>2030-SEM2</t>
        </is>
      </c>
      <c r="F83" s="164" t="inlineStr">
        <is>
          <t>07/2030</t>
        </is>
      </c>
      <c r="G83" s="360">
        <f>COUNTIFS(TabelaNPS[Período],$B83)+COUNTIFS(TabelaNPS[Período],$E83)+COUNTIFS(TabelaAvaliacaoDocente[Período],$E83)+COUNTIFS(TabelaResultadosAcademicos[Período],$E83)</f>
        <v/>
      </c>
      <c r="H83" s="256" t="n">
        <v>203007</v>
      </c>
    </row>
    <row r="84" ht="15" customHeight="1" s="131">
      <c r="A84" s="361" t="n">
        <v>47696</v>
      </c>
      <c r="B84" s="171" t="inlineStr">
        <is>
          <t>2030-08</t>
        </is>
      </c>
      <c r="C84" s="164" t="n">
        <v>2030</v>
      </c>
      <c r="D84" s="164" t="n">
        <v>8</v>
      </c>
      <c r="E84" s="164" t="inlineStr">
        <is>
          <t>2030-SEM2</t>
        </is>
      </c>
      <c r="F84" s="164" t="inlineStr">
        <is>
          <t>08/2030</t>
        </is>
      </c>
      <c r="G84" s="360">
        <f>COUNTIFS(TabelaNPS[Período],$B84)+COUNTIFS(TabelaNPS[Período],$E84)+COUNTIFS(TabelaAvaliacaoDocente[Período],$E84)+COUNTIFS(TabelaResultadosAcademicos[Período],$E84)</f>
        <v/>
      </c>
      <c r="H84" s="256" t="n">
        <v>203008</v>
      </c>
    </row>
    <row r="85" ht="15" customHeight="1" s="131">
      <c r="A85" s="361" t="n">
        <v>47727</v>
      </c>
      <c r="B85" s="171" t="inlineStr">
        <is>
          <t>2030-09</t>
        </is>
      </c>
      <c r="C85" s="164" t="n">
        <v>2030</v>
      </c>
      <c r="D85" s="164" t="n">
        <v>9</v>
      </c>
      <c r="E85" s="164" t="inlineStr">
        <is>
          <t>2030-SEM2</t>
        </is>
      </c>
      <c r="F85" s="164" t="inlineStr">
        <is>
          <t>09/2030</t>
        </is>
      </c>
      <c r="G85" s="360">
        <f>COUNTIFS(TabelaNPS[Período],$B85)+COUNTIFS(TabelaNPS[Período],$E85)+COUNTIFS(TabelaAvaliacaoDocente[Período],$E85)+COUNTIFS(TabelaResultadosAcademicos[Período],$E85)</f>
        <v/>
      </c>
      <c r="H85" s="256" t="n">
        <v>203009</v>
      </c>
    </row>
    <row r="86" ht="15" customHeight="1" s="131">
      <c r="A86" s="361" t="n">
        <v>47757</v>
      </c>
      <c r="B86" s="171" t="inlineStr">
        <is>
          <t>2030-10</t>
        </is>
      </c>
      <c r="C86" s="164" t="n">
        <v>2030</v>
      </c>
      <c r="D86" s="164" t="n">
        <v>10</v>
      </c>
      <c r="E86" s="164" t="inlineStr">
        <is>
          <t>2030-SEM2</t>
        </is>
      </c>
      <c r="F86" s="164" t="inlineStr">
        <is>
          <t>10/2030</t>
        </is>
      </c>
      <c r="G86" s="360">
        <f>COUNTIFS(TabelaNPS[Período],$B86)+COUNTIFS(TabelaNPS[Período],$E86)+COUNTIFS(TabelaAvaliacaoDocente[Período],$E86)+COUNTIFS(TabelaResultadosAcademicos[Período],$E86)</f>
        <v/>
      </c>
      <c r="H86" s="256" t="n">
        <v>203010</v>
      </c>
    </row>
    <row r="87" ht="15" customHeight="1" s="131">
      <c r="A87" s="361" t="n">
        <v>47788</v>
      </c>
      <c r="B87" s="171" t="inlineStr">
        <is>
          <t>2030-11</t>
        </is>
      </c>
      <c r="C87" s="164" t="n">
        <v>2030</v>
      </c>
      <c r="D87" s="164" t="n">
        <v>11</v>
      </c>
      <c r="E87" s="164" t="inlineStr">
        <is>
          <t>2030-SEM2</t>
        </is>
      </c>
      <c r="F87" s="164" t="inlineStr">
        <is>
          <t>11/2030</t>
        </is>
      </c>
      <c r="G87" s="360">
        <f>COUNTIFS(TabelaNPS[Período],$B87)+COUNTIFS(TabelaNPS[Período],$E87)+COUNTIFS(TabelaAvaliacaoDocente[Período],$E87)+COUNTIFS(TabelaResultadosAcademicos[Período],$E87)</f>
        <v/>
      </c>
      <c r="H87" s="256" t="n">
        <v>203011</v>
      </c>
    </row>
    <row r="88" ht="15" customHeight="1" s="131">
      <c r="A88" s="361" t="n">
        <v>47818</v>
      </c>
      <c r="B88" s="171" t="inlineStr">
        <is>
          <t>2030-12</t>
        </is>
      </c>
      <c r="C88" s="164" t="n">
        <v>2030</v>
      </c>
      <c r="D88" s="164" t="n">
        <v>12</v>
      </c>
      <c r="E88" s="164" t="inlineStr">
        <is>
          <t>2030-SEM2</t>
        </is>
      </c>
      <c r="F88" s="164" t="inlineStr">
        <is>
          <t>12/2030</t>
        </is>
      </c>
      <c r="G88" s="360">
        <f>COUNTIFS(TabelaNPS[Período],$B88)+COUNTIFS(TabelaNPS[Período],$E88)+COUNTIFS(TabelaAvaliacaoDocente[Período],$E88)+COUNTIFS(TabelaResultadosAcademicos[Período],$E88)</f>
        <v/>
      </c>
      <c r="H88" s="256" t="n">
        <v>203012</v>
      </c>
    </row>
    <row r="89" ht="15" customHeight="1" s="131">
      <c r="A89" s="361" t="n">
        <v>47849</v>
      </c>
      <c r="B89" s="171" t="inlineStr">
        <is>
          <t>2031-01</t>
        </is>
      </c>
      <c r="C89" s="164" t="n">
        <v>2031</v>
      </c>
      <c r="D89" s="164" t="n">
        <v>1</v>
      </c>
      <c r="E89" s="164" t="inlineStr">
        <is>
          <t>2031-SEM1</t>
        </is>
      </c>
      <c r="F89" s="164" t="inlineStr">
        <is>
          <t>01/2031</t>
        </is>
      </c>
      <c r="G89" s="360">
        <f>COUNTIFS(TabelaNPS[Período],$B89)+COUNTIFS(TabelaNPS[Período],$E89)+COUNTIFS(TabelaAvaliacaoDocente[Período],$E89)+COUNTIFS(TabelaResultadosAcademicos[Período],$E89)</f>
        <v/>
      </c>
      <c r="H89" s="256" t="n">
        <v>203101</v>
      </c>
    </row>
    <row r="90" ht="15" customHeight="1" s="131">
      <c r="A90" s="361" t="n">
        <v>47880</v>
      </c>
      <c r="B90" s="171" t="inlineStr">
        <is>
          <t>2031-02</t>
        </is>
      </c>
      <c r="C90" s="164" t="n">
        <v>2031</v>
      </c>
      <c r="D90" s="164" t="n">
        <v>2</v>
      </c>
      <c r="E90" s="164" t="inlineStr">
        <is>
          <t>2031-SEM1</t>
        </is>
      </c>
      <c r="F90" s="164" t="inlineStr">
        <is>
          <t>02/2031</t>
        </is>
      </c>
      <c r="G90" s="360">
        <f>COUNTIFS(TabelaNPS[Período],$B90)+COUNTIFS(TabelaNPS[Período],$E90)+COUNTIFS(TabelaAvaliacaoDocente[Período],$E90)+COUNTIFS(TabelaResultadosAcademicos[Período],$E90)</f>
        <v/>
      </c>
      <c r="H90" s="256" t="n">
        <v>203102</v>
      </c>
    </row>
    <row r="91" ht="15" customHeight="1" s="131">
      <c r="A91" s="361" t="n">
        <v>47908</v>
      </c>
      <c r="B91" s="171" t="inlineStr">
        <is>
          <t>2031-03</t>
        </is>
      </c>
      <c r="C91" s="164" t="n">
        <v>2031</v>
      </c>
      <c r="D91" s="164" t="n">
        <v>3</v>
      </c>
      <c r="E91" s="164" t="inlineStr">
        <is>
          <t>2031-SEM1</t>
        </is>
      </c>
      <c r="F91" s="164" t="inlineStr">
        <is>
          <t>03/2031</t>
        </is>
      </c>
      <c r="G91" s="360">
        <f>COUNTIFS(TabelaNPS[Período],$B91)+COUNTIFS(TabelaNPS[Período],$E91)+COUNTIFS(TabelaAvaliacaoDocente[Período],$E91)+COUNTIFS(TabelaResultadosAcademicos[Período],$E91)</f>
        <v/>
      </c>
      <c r="H91" s="256" t="n">
        <v>203103</v>
      </c>
    </row>
    <row r="92" ht="15" customHeight="1" s="131">
      <c r="A92" s="361" t="n">
        <v>47939</v>
      </c>
      <c r="B92" s="171" t="inlineStr">
        <is>
          <t>2031-04</t>
        </is>
      </c>
      <c r="C92" s="164" t="n">
        <v>2031</v>
      </c>
      <c r="D92" s="164" t="n">
        <v>4</v>
      </c>
      <c r="E92" s="164" t="inlineStr">
        <is>
          <t>2031-SEM1</t>
        </is>
      </c>
      <c r="F92" s="164" t="inlineStr">
        <is>
          <t>04/2031</t>
        </is>
      </c>
      <c r="G92" s="360">
        <f>COUNTIFS(TabelaNPS[Período],$B92)+COUNTIFS(TabelaNPS[Período],$E92)+COUNTIFS(TabelaAvaliacaoDocente[Período],$E92)+COUNTIFS(TabelaResultadosAcademicos[Período],$E92)</f>
        <v/>
      </c>
      <c r="H92" s="256" t="n">
        <v>203104</v>
      </c>
    </row>
    <row r="93" ht="15" customHeight="1" s="131">
      <c r="A93" s="361" t="n">
        <v>47969</v>
      </c>
      <c r="B93" s="171" t="inlineStr">
        <is>
          <t>2031-05</t>
        </is>
      </c>
      <c r="C93" s="164" t="n">
        <v>2031</v>
      </c>
      <c r="D93" s="164" t="n">
        <v>5</v>
      </c>
      <c r="E93" s="164" t="inlineStr">
        <is>
          <t>2031-SEM1</t>
        </is>
      </c>
      <c r="F93" s="164" t="inlineStr">
        <is>
          <t>05/2031</t>
        </is>
      </c>
      <c r="G93" s="360">
        <f>COUNTIFS(TabelaNPS[Período],$B93)+COUNTIFS(TabelaNPS[Período],$E93)+COUNTIFS(TabelaAvaliacaoDocente[Período],$E93)+COUNTIFS(TabelaResultadosAcademicos[Período],$E93)</f>
        <v/>
      </c>
      <c r="H93" s="256" t="n">
        <v>203105</v>
      </c>
    </row>
    <row r="94" ht="15" customHeight="1" s="131">
      <c r="A94" s="361" t="n">
        <v>48000</v>
      </c>
      <c r="B94" s="171" t="inlineStr">
        <is>
          <t>2031-06</t>
        </is>
      </c>
      <c r="C94" s="164" t="n">
        <v>2031</v>
      </c>
      <c r="D94" s="164" t="n">
        <v>6</v>
      </c>
      <c r="E94" s="164" t="inlineStr">
        <is>
          <t>2031-SEM1</t>
        </is>
      </c>
      <c r="F94" s="164" t="inlineStr">
        <is>
          <t>06/2031</t>
        </is>
      </c>
      <c r="G94" s="360">
        <f>COUNTIFS(TabelaNPS[Período],$B94)+COUNTIFS(TabelaNPS[Período],$E94)+COUNTIFS(TabelaAvaliacaoDocente[Período],$E94)+COUNTIFS(TabelaResultadosAcademicos[Período],$E94)</f>
        <v/>
      </c>
      <c r="H94" s="256" t="n">
        <v>203106</v>
      </c>
    </row>
    <row r="95" ht="15" customHeight="1" s="131">
      <c r="A95" s="361" t="n">
        <v>48030</v>
      </c>
      <c r="B95" s="171" t="inlineStr">
        <is>
          <t>2031-07</t>
        </is>
      </c>
      <c r="C95" s="164" t="n">
        <v>2031</v>
      </c>
      <c r="D95" s="164" t="n">
        <v>7</v>
      </c>
      <c r="E95" s="164" t="inlineStr">
        <is>
          <t>2031-SEM2</t>
        </is>
      </c>
      <c r="F95" s="164" t="inlineStr">
        <is>
          <t>07/2031</t>
        </is>
      </c>
      <c r="G95" s="360">
        <f>COUNTIFS(TabelaNPS[Período],$B95)+COUNTIFS(TabelaNPS[Período],$E95)+COUNTIFS(TabelaAvaliacaoDocente[Período],$E95)+COUNTIFS(TabelaResultadosAcademicos[Período],$E95)</f>
        <v/>
      </c>
      <c r="H95" s="256" t="n">
        <v>203107</v>
      </c>
    </row>
    <row r="96" ht="15" customHeight="1" s="131">
      <c r="A96" s="361" t="n">
        <v>48061</v>
      </c>
      <c r="B96" s="171" t="inlineStr">
        <is>
          <t>2031-08</t>
        </is>
      </c>
      <c r="C96" s="164" t="n">
        <v>2031</v>
      </c>
      <c r="D96" s="164" t="n">
        <v>8</v>
      </c>
      <c r="E96" s="164" t="inlineStr">
        <is>
          <t>2031-SEM2</t>
        </is>
      </c>
      <c r="F96" s="164" t="inlineStr">
        <is>
          <t>08/2031</t>
        </is>
      </c>
      <c r="G96" s="360">
        <f>COUNTIFS(TabelaNPS[Período],$B96)+COUNTIFS(TabelaNPS[Período],$E96)+COUNTIFS(TabelaAvaliacaoDocente[Período],$E96)+COUNTIFS(TabelaResultadosAcademicos[Período],$E96)</f>
        <v/>
      </c>
      <c r="H96" s="256" t="n">
        <v>203108</v>
      </c>
    </row>
    <row r="97" ht="15" customHeight="1" s="131">
      <c r="A97" s="361" t="n">
        <v>48092</v>
      </c>
      <c r="B97" s="171" t="inlineStr">
        <is>
          <t>2031-09</t>
        </is>
      </c>
      <c r="C97" s="164" t="n">
        <v>2031</v>
      </c>
      <c r="D97" s="164" t="n">
        <v>9</v>
      </c>
      <c r="E97" s="164" t="inlineStr">
        <is>
          <t>2031-SEM2</t>
        </is>
      </c>
      <c r="F97" s="164" t="inlineStr">
        <is>
          <t>09/2031</t>
        </is>
      </c>
      <c r="G97" s="360">
        <f>COUNTIFS(TabelaNPS[Período],$B97)+COUNTIFS(TabelaNPS[Período],$E97)+COUNTIFS(TabelaAvaliacaoDocente[Período],$E97)+COUNTIFS(TabelaResultadosAcademicos[Período],$E97)</f>
        <v/>
      </c>
      <c r="H97" s="256" t="n">
        <v>203109</v>
      </c>
    </row>
    <row r="98" ht="15" customHeight="1" s="131">
      <c r="A98" s="361" t="n">
        <v>48122</v>
      </c>
      <c r="B98" s="171" t="inlineStr">
        <is>
          <t>2031-10</t>
        </is>
      </c>
      <c r="C98" s="164" t="n">
        <v>2031</v>
      </c>
      <c r="D98" s="164" t="n">
        <v>10</v>
      </c>
      <c r="E98" s="164" t="inlineStr">
        <is>
          <t>2031-SEM2</t>
        </is>
      </c>
      <c r="F98" s="164" t="inlineStr">
        <is>
          <t>10/2031</t>
        </is>
      </c>
      <c r="G98" s="360">
        <f>COUNTIFS(TabelaNPS[Período],$B98)+COUNTIFS(TabelaNPS[Período],$E98)+COUNTIFS(TabelaAvaliacaoDocente[Período],$E98)+COUNTIFS(TabelaResultadosAcademicos[Período],$E98)</f>
        <v/>
      </c>
      <c r="H98" s="256" t="n">
        <v>203110</v>
      </c>
    </row>
    <row r="99" ht="15" customHeight="1" s="131">
      <c r="A99" s="361" t="n">
        <v>48153</v>
      </c>
      <c r="B99" s="171" t="inlineStr">
        <is>
          <t>2031-11</t>
        </is>
      </c>
      <c r="C99" s="164" t="n">
        <v>2031</v>
      </c>
      <c r="D99" s="164" t="n">
        <v>11</v>
      </c>
      <c r="E99" s="164" t="inlineStr">
        <is>
          <t>2031-SEM2</t>
        </is>
      </c>
      <c r="F99" s="164" t="inlineStr">
        <is>
          <t>11/2031</t>
        </is>
      </c>
      <c r="G99" s="360">
        <f>COUNTIFS(TabelaNPS[Período],$B99)+COUNTIFS(TabelaNPS[Período],$E99)+COUNTIFS(TabelaAvaliacaoDocente[Período],$E99)+COUNTIFS(TabelaResultadosAcademicos[Período],$E99)</f>
        <v/>
      </c>
      <c r="H99" s="256" t="n">
        <v>203111</v>
      </c>
    </row>
    <row r="100" ht="15" customHeight="1" s="131">
      <c r="A100" s="361" t="n">
        <v>48183</v>
      </c>
      <c r="B100" s="171" t="inlineStr">
        <is>
          <t>2031-12</t>
        </is>
      </c>
      <c r="C100" s="164" t="n">
        <v>2031</v>
      </c>
      <c r="D100" s="164" t="n">
        <v>12</v>
      </c>
      <c r="E100" s="164" t="inlineStr">
        <is>
          <t>2031-SEM2</t>
        </is>
      </c>
      <c r="F100" s="164" t="inlineStr">
        <is>
          <t>12/2031</t>
        </is>
      </c>
      <c r="G100" s="360">
        <f>COUNTIFS(TabelaNPS[Período],$B100)+COUNTIFS(TabelaNPS[Período],$E100)+COUNTIFS(TabelaAvaliacaoDocente[Período],$E100)+COUNTIFS(TabelaResultadosAcademicos[Período],$E100)</f>
        <v/>
      </c>
      <c r="H100" s="256" t="n">
        <v>203112</v>
      </c>
    </row>
    <row r="101" ht="15" customHeight="1" s="131">
      <c r="A101" s="361" t="n">
        <v>48214</v>
      </c>
      <c r="B101" s="171" t="inlineStr">
        <is>
          <t>2032-01</t>
        </is>
      </c>
      <c r="C101" s="164" t="n">
        <v>2032</v>
      </c>
      <c r="D101" s="164" t="n">
        <v>1</v>
      </c>
      <c r="E101" s="164" t="inlineStr">
        <is>
          <t>2032-SEM1</t>
        </is>
      </c>
      <c r="F101" s="164" t="inlineStr">
        <is>
          <t>01/2032</t>
        </is>
      </c>
      <c r="G101" s="360">
        <f>COUNTIFS(TabelaNPS[Período],$B101)+COUNTIFS(TabelaNPS[Período],$E101)+COUNTIFS(TabelaAvaliacaoDocente[Período],$E101)+COUNTIFS(TabelaResultadosAcademicos[Período],$E101)</f>
        <v/>
      </c>
      <c r="H101" s="256" t="n">
        <v>203201</v>
      </c>
    </row>
    <row r="102" ht="15" customHeight="1" s="131">
      <c r="A102" s="361" t="n">
        <v>48245</v>
      </c>
      <c r="B102" s="171" t="inlineStr">
        <is>
          <t>2032-02</t>
        </is>
      </c>
      <c r="C102" s="164" t="n">
        <v>2032</v>
      </c>
      <c r="D102" s="164" t="n">
        <v>2</v>
      </c>
      <c r="E102" s="164" t="inlineStr">
        <is>
          <t>2032-SEM1</t>
        </is>
      </c>
      <c r="F102" s="164" t="inlineStr">
        <is>
          <t>02/2032</t>
        </is>
      </c>
      <c r="G102" s="360">
        <f>COUNTIFS(TabelaNPS[Período],$B102)+COUNTIFS(TabelaNPS[Período],$E102)+COUNTIFS(TabelaAvaliacaoDocente[Período],$E102)+COUNTIFS(TabelaResultadosAcademicos[Período],$E102)</f>
        <v/>
      </c>
      <c r="H102" s="256" t="n">
        <v>203202</v>
      </c>
    </row>
    <row r="103" ht="15" customHeight="1" s="131">
      <c r="A103" s="361" t="n">
        <v>48274</v>
      </c>
      <c r="B103" s="171" t="inlineStr">
        <is>
          <t>2032-03</t>
        </is>
      </c>
      <c r="C103" s="164" t="n">
        <v>2032</v>
      </c>
      <c r="D103" s="164" t="n">
        <v>3</v>
      </c>
      <c r="E103" s="164" t="inlineStr">
        <is>
          <t>2032-SEM1</t>
        </is>
      </c>
      <c r="F103" s="164" t="inlineStr">
        <is>
          <t>03/2032</t>
        </is>
      </c>
      <c r="G103" s="360">
        <f>COUNTIFS(TabelaNPS[Período],$B103)+COUNTIFS(TabelaNPS[Período],$E103)+COUNTIFS(TabelaAvaliacaoDocente[Período],$E103)+COUNTIFS(TabelaResultadosAcademicos[Período],$E103)</f>
        <v/>
      </c>
      <c r="H103" s="256" t="n">
        <v>203203</v>
      </c>
    </row>
    <row r="104" ht="15" customHeight="1" s="131">
      <c r="A104" s="361" t="n">
        <v>48305</v>
      </c>
      <c r="B104" s="171" t="inlineStr">
        <is>
          <t>2032-04</t>
        </is>
      </c>
      <c r="C104" s="164" t="n">
        <v>2032</v>
      </c>
      <c r="D104" s="164" t="n">
        <v>4</v>
      </c>
      <c r="E104" s="164" t="inlineStr">
        <is>
          <t>2032-SEM1</t>
        </is>
      </c>
      <c r="F104" s="164" t="inlineStr">
        <is>
          <t>04/2032</t>
        </is>
      </c>
      <c r="G104" s="360">
        <f>COUNTIFS(TabelaNPS[Período],$B104)+COUNTIFS(TabelaNPS[Período],$E104)+COUNTIFS(TabelaAvaliacaoDocente[Período],$E104)+COUNTIFS(TabelaResultadosAcademicos[Período],$E104)</f>
        <v/>
      </c>
      <c r="H104" s="256" t="n">
        <v>203204</v>
      </c>
    </row>
    <row r="105" ht="15" customHeight="1" s="131">
      <c r="A105" s="361" t="n">
        <v>48335</v>
      </c>
      <c r="B105" s="171" t="inlineStr">
        <is>
          <t>2032-05</t>
        </is>
      </c>
      <c r="C105" s="164" t="n">
        <v>2032</v>
      </c>
      <c r="D105" s="164" t="n">
        <v>5</v>
      </c>
      <c r="E105" s="164" t="inlineStr">
        <is>
          <t>2032-SEM1</t>
        </is>
      </c>
      <c r="F105" s="164" t="inlineStr">
        <is>
          <t>05/2032</t>
        </is>
      </c>
      <c r="G105" s="360">
        <f>COUNTIFS(TabelaNPS[Período],$B105)+COUNTIFS(TabelaNPS[Período],$E105)+COUNTIFS(TabelaAvaliacaoDocente[Período],$E105)+COUNTIFS(TabelaResultadosAcademicos[Período],$E105)</f>
        <v/>
      </c>
      <c r="H105" s="256" t="n">
        <v>203205</v>
      </c>
    </row>
    <row r="106" ht="15" customHeight="1" s="131">
      <c r="A106" s="361" t="n">
        <v>48366</v>
      </c>
      <c r="B106" s="171" t="inlineStr">
        <is>
          <t>2032-06</t>
        </is>
      </c>
      <c r="C106" s="164" t="n">
        <v>2032</v>
      </c>
      <c r="D106" s="164" t="n">
        <v>6</v>
      </c>
      <c r="E106" s="164" t="inlineStr">
        <is>
          <t>2032-SEM1</t>
        </is>
      </c>
      <c r="F106" s="164" t="inlineStr">
        <is>
          <t>06/2032</t>
        </is>
      </c>
      <c r="G106" s="360">
        <f>COUNTIFS(TabelaNPS[Período],$B106)+COUNTIFS(TabelaNPS[Período],$E106)+COUNTIFS(TabelaAvaliacaoDocente[Período],$E106)+COUNTIFS(TabelaResultadosAcademicos[Período],$E106)</f>
        <v/>
      </c>
      <c r="H106" s="256" t="n">
        <v>203206</v>
      </c>
    </row>
    <row r="107" ht="15" customHeight="1" s="131">
      <c r="A107" s="361" t="n">
        <v>48396</v>
      </c>
      <c r="B107" s="171" t="inlineStr">
        <is>
          <t>2032-07</t>
        </is>
      </c>
      <c r="C107" s="164" t="n">
        <v>2032</v>
      </c>
      <c r="D107" s="164" t="n">
        <v>7</v>
      </c>
      <c r="E107" s="164" t="inlineStr">
        <is>
          <t>2032-SEM2</t>
        </is>
      </c>
      <c r="F107" s="164" t="inlineStr">
        <is>
          <t>07/2032</t>
        </is>
      </c>
      <c r="G107" s="360">
        <f>COUNTIFS(TabelaNPS[Período],$B107)+COUNTIFS(TabelaNPS[Período],$E107)+COUNTIFS(TabelaAvaliacaoDocente[Período],$E107)+COUNTIFS(TabelaResultadosAcademicos[Período],$E107)</f>
        <v/>
      </c>
      <c r="H107" s="256" t="n">
        <v>203207</v>
      </c>
    </row>
    <row r="108" ht="15" customHeight="1" s="131">
      <c r="A108" s="361" t="n">
        <v>48427</v>
      </c>
      <c r="B108" s="171" t="inlineStr">
        <is>
          <t>2032-08</t>
        </is>
      </c>
      <c r="C108" s="164" t="n">
        <v>2032</v>
      </c>
      <c r="D108" s="164" t="n">
        <v>8</v>
      </c>
      <c r="E108" s="164" t="inlineStr">
        <is>
          <t>2032-SEM2</t>
        </is>
      </c>
      <c r="F108" s="164" t="inlineStr">
        <is>
          <t>08/2032</t>
        </is>
      </c>
      <c r="G108" s="360">
        <f>COUNTIFS(TabelaNPS[Período],$B108)+COUNTIFS(TabelaNPS[Período],$E108)+COUNTIFS(TabelaAvaliacaoDocente[Período],$E108)+COUNTIFS(TabelaResultadosAcademicos[Período],$E108)</f>
        <v/>
      </c>
      <c r="H108" s="256" t="n">
        <v>203208</v>
      </c>
    </row>
    <row r="109" ht="15" customHeight="1" s="131">
      <c r="A109" s="361" t="n">
        <v>48458</v>
      </c>
      <c r="B109" s="171" t="inlineStr">
        <is>
          <t>2032-09</t>
        </is>
      </c>
      <c r="C109" s="164" t="n">
        <v>2032</v>
      </c>
      <c r="D109" s="164" t="n">
        <v>9</v>
      </c>
      <c r="E109" s="164" t="inlineStr">
        <is>
          <t>2032-SEM2</t>
        </is>
      </c>
      <c r="F109" s="164" t="inlineStr">
        <is>
          <t>09/2032</t>
        </is>
      </c>
      <c r="G109" s="360">
        <f>COUNTIFS(TabelaNPS[Período],$B109)+COUNTIFS(TabelaNPS[Período],$E109)+COUNTIFS(TabelaAvaliacaoDocente[Período],$E109)+COUNTIFS(TabelaResultadosAcademicos[Período],$E109)</f>
        <v/>
      </c>
      <c r="H109" s="256" t="n">
        <v>203209</v>
      </c>
    </row>
    <row r="110" ht="15" customHeight="1" s="131">
      <c r="A110" s="361" t="n">
        <v>48488</v>
      </c>
      <c r="B110" s="171" t="inlineStr">
        <is>
          <t>2032-10</t>
        </is>
      </c>
      <c r="C110" s="164" t="n">
        <v>2032</v>
      </c>
      <c r="D110" s="164" t="n">
        <v>10</v>
      </c>
      <c r="E110" s="164" t="inlineStr">
        <is>
          <t>2032-SEM2</t>
        </is>
      </c>
      <c r="F110" s="164" t="inlineStr">
        <is>
          <t>10/2032</t>
        </is>
      </c>
      <c r="G110" s="360">
        <f>COUNTIFS(TabelaNPS[Período],$B110)+COUNTIFS(TabelaNPS[Período],$E110)+COUNTIFS(TabelaAvaliacaoDocente[Período],$E110)+COUNTIFS(TabelaResultadosAcademicos[Período],$E110)</f>
        <v/>
      </c>
      <c r="H110" s="256" t="n">
        <v>203210</v>
      </c>
    </row>
    <row r="111" ht="15" customHeight="1" s="131">
      <c r="A111" s="361" t="n">
        <v>48519</v>
      </c>
      <c r="B111" s="171" t="inlineStr">
        <is>
          <t>2032-11</t>
        </is>
      </c>
      <c r="C111" s="164" t="n">
        <v>2032</v>
      </c>
      <c r="D111" s="164" t="n">
        <v>11</v>
      </c>
      <c r="E111" s="164" t="inlineStr">
        <is>
          <t>2032-SEM2</t>
        </is>
      </c>
      <c r="F111" s="164" t="inlineStr">
        <is>
          <t>11/2032</t>
        </is>
      </c>
      <c r="G111" s="360">
        <f>COUNTIFS(TabelaNPS[Período],$B111)+COUNTIFS(TabelaNPS[Período],$E111)+COUNTIFS(TabelaAvaliacaoDocente[Período],$E111)+COUNTIFS(TabelaResultadosAcademicos[Período],$E111)</f>
        <v/>
      </c>
      <c r="H111" s="256" t="n">
        <v>203211</v>
      </c>
    </row>
    <row r="112" ht="15" customHeight="1" s="131">
      <c r="A112" s="361" t="n">
        <v>48549</v>
      </c>
      <c r="B112" s="171" t="inlineStr">
        <is>
          <t>2032-12</t>
        </is>
      </c>
      <c r="C112" s="164" t="n">
        <v>2032</v>
      </c>
      <c r="D112" s="164" t="n">
        <v>12</v>
      </c>
      <c r="E112" s="164" t="inlineStr">
        <is>
          <t>2032-SEM2</t>
        </is>
      </c>
      <c r="F112" s="164" t="inlineStr">
        <is>
          <t>12/2032</t>
        </is>
      </c>
      <c r="G112" s="360">
        <f>COUNTIFS(TabelaNPS[Período],$B112)+COUNTIFS(TabelaNPS[Período],$E112)+COUNTIFS(TabelaAvaliacaoDocente[Período],$E112)+COUNTIFS(TabelaResultadosAcademicos[Período],$E112)</f>
        <v/>
      </c>
      <c r="H112" s="256" t="n">
        <v>203212</v>
      </c>
    </row>
    <row r="113" ht="15" customHeight="1" s="131">
      <c r="A113" s="361" t="n">
        <v>48580</v>
      </c>
      <c r="B113" s="171" t="inlineStr">
        <is>
          <t>2033-01</t>
        </is>
      </c>
      <c r="C113" s="164" t="n">
        <v>2033</v>
      </c>
      <c r="D113" s="164" t="n">
        <v>1</v>
      </c>
      <c r="E113" s="164" t="inlineStr">
        <is>
          <t>2033-SEM1</t>
        </is>
      </c>
      <c r="F113" s="164" t="inlineStr">
        <is>
          <t>01/2033</t>
        </is>
      </c>
      <c r="G113" s="360">
        <f>COUNTIFS(TabelaNPS[Período],$B113)+COUNTIFS(TabelaNPS[Período],$E113)+COUNTIFS(TabelaAvaliacaoDocente[Período],$E113)+COUNTIFS(TabelaResultadosAcademicos[Período],$E113)</f>
        <v/>
      </c>
      <c r="H113" s="256" t="n">
        <v>203301</v>
      </c>
    </row>
    <row r="114" ht="15" customHeight="1" s="131">
      <c r="A114" s="361" t="n">
        <v>48611</v>
      </c>
      <c r="B114" s="171" t="inlineStr">
        <is>
          <t>2033-02</t>
        </is>
      </c>
      <c r="C114" s="164" t="n">
        <v>2033</v>
      </c>
      <c r="D114" s="164" t="n">
        <v>2</v>
      </c>
      <c r="E114" s="164" t="inlineStr">
        <is>
          <t>2033-SEM1</t>
        </is>
      </c>
      <c r="F114" s="164" t="inlineStr">
        <is>
          <t>02/2033</t>
        </is>
      </c>
      <c r="G114" s="360">
        <f>COUNTIFS(TabelaNPS[Período],$B114)+COUNTIFS(TabelaNPS[Período],$E114)+COUNTIFS(TabelaAvaliacaoDocente[Período],$E114)+COUNTIFS(TabelaResultadosAcademicos[Período],$E114)</f>
        <v/>
      </c>
      <c r="H114" s="256" t="n">
        <v>203302</v>
      </c>
    </row>
    <row r="115" ht="15" customHeight="1" s="131">
      <c r="A115" s="361" t="n">
        <v>48639</v>
      </c>
      <c r="B115" s="171" t="inlineStr">
        <is>
          <t>2033-03</t>
        </is>
      </c>
      <c r="C115" s="164" t="n">
        <v>2033</v>
      </c>
      <c r="D115" s="164" t="n">
        <v>3</v>
      </c>
      <c r="E115" s="164" t="inlineStr">
        <is>
          <t>2033-SEM1</t>
        </is>
      </c>
      <c r="F115" s="164" t="inlineStr">
        <is>
          <t>03/2033</t>
        </is>
      </c>
      <c r="G115" s="360">
        <f>COUNTIFS(TabelaNPS[Período],$B115)+COUNTIFS(TabelaNPS[Período],$E115)+COUNTIFS(TabelaAvaliacaoDocente[Período],$E115)+COUNTIFS(TabelaResultadosAcademicos[Período],$E115)</f>
        <v/>
      </c>
      <c r="H115" s="256" t="n">
        <v>203303</v>
      </c>
    </row>
    <row r="116" ht="15" customHeight="1" s="131">
      <c r="A116" s="361" t="n">
        <v>48670</v>
      </c>
      <c r="B116" s="171" t="inlineStr">
        <is>
          <t>2033-04</t>
        </is>
      </c>
      <c r="C116" s="164" t="n">
        <v>2033</v>
      </c>
      <c r="D116" s="164" t="n">
        <v>4</v>
      </c>
      <c r="E116" s="164" t="inlineStr">
        <is>
          <t>2033-SEM1</t>
        </is>
      </c>
      <c r="F116" s="164" t="inlineStr">
        <is>
          <t>04/2033</t>
        </is>
      </c>
      <c r="G116" s="360">
        <f>COUNTIFS(TabelaNPS[Período],$B116)+COUNTIFS(TabelaNPS[Período],$E116)+COUNTIFS(TabelaAvaliacaoDocente[Período],$E116)+COUNTIFS(TabelaResultadosAcademicos[Período],$E116)</f>
        <v/>
      </c>
      <c r="H116" s="256" t="n">
        <v>203304</v>
      </c>
    </row>
    <row r="117" ht="15" customHeight="1" s="131">
      <c r="A117" s="361" t="n">
        <v>48700</v>
      </c>
      <c r="B117" s="171" t="inlineStr">
        <is>
          <t>2033-05</t>
        </is>
      </c>
      <c r="C117" s="164" t="n">
        <v>2033</v>
      </c>
      <c r="D117" s="164" t="n">
        <v>5</v>
      </c>
      <c r="E117" s="164" t="inlineStr">
        <is>
          <t>2033-SEM1</t>
        </is>
      </c>
      <c r="F117" s="164" t="inlineStr">
        <is>
          <t>05/2033</t>
        </is>
      </c>
      <c r="G117" s="360">
        <f>COUNTIFS(TabelaNPS[Período],$B117)+COUNTIFS(TabelaNPS[Período],$E117)+COUNTIFS(TabelaAvaliacaoDocente[Período],$E117)+COUNTIFS(TabelaResultadosAcademicos[Período],$E117)</f>
        <v/>
      </c>
      <c r="H117" s="256" t="n">
        <v>203305</v>
      </c>
    </row>
    <row r="118" ht="15" customHeight="1" s="131">
      <c r="A118" s="361" t="n">
        <v>48731</v>
      </c>
      <c r="B118" s="171" t="inlineStr">
        <is>
          <t>2033-06</t>
        </is>
      </c>
      <c r="C118" s="164" t="n">
        <v>2033</v>
      </c>
      <c r="D118" s="164" t="n">
        <v>6</v>
      </c>
      <c r="E118" s="164" t="inlineStr">
        <is>
          <t>2033-SEM1</t>
        </is>
      </c>
      <c r="F118" s="164" t="inlineStr">
        <is>
          <t>06/2033</t>
        </is>
      </c>
      <c r="G118" s="360">
        <f>COUNTIFS(TabelaNPS[Período],$B118)+COUNTIFS(TabelaNPS[Período],$E118)+COUNTIFS(TabelaAvaliacaoDocente[Período],$E118)+COUNTIFS(TabelaResultadosAcademicos[Período],$E118)</f>
        <v/>
      </c>
      <c r="H118" s="256" t="n">
        <v>203306</v>
      </c>
    </row>
    <row r="119" ht="15" customHeight="1" s="131">
      <c r="A119" s="361" t="n">
        <v>48761</v>
      </c>
      <c r="B119" s="171" t="inlineStr">
        <is>
          <t>2033-07</t>
        </is>
      </c>
      <c r="C119" s="164" t="n">
        <v>2033</v>
      </c>
      <c r="D119" s="164" t="n">
        <v>7</v>
      </c>
      <c r="E119" s="164" t="inlineStr">
        <is>
          <t>2033-SEM2</t>
        </is>
      </c>
      <c r="F119" s="164" t="inlineStr">
        <is>
          <t>07/2033</t>
        </is>
      </c>
      <c r="G119" s="360">
        <f>COUNTIFS(TabelaNPS[Período],$B119)+COUNTIFS(TabelaNPS[Período],$E119)+COUNTIFS(TabelaAvaliacaoDocente[Período],$E119)+COUNTIFS(TabelaResultadosAcademicos[Período],$E119)</f>
        <v/>
      </c>
      <c r="H119" s="256" t="n">
        <v>203307</v>
      </c>
    </row>
    <row r="120" ht="15" customHeight="1" s="131">
      <c r="A120" s="361" t="n">
        <v>48792</v>
      </c>
      <c r="B120" s="171" t="inlineStr">
        <is>
          <t>2033-08</t>
        </is>
      </c>
      <c r="C120" s="164" t="n">
        <v>2033</v>
      </c>
      <c r="D120" s="164" t="n">
        <v>8</v>
      </c>
      <c r="E120" s="164" t="inlineStr">
        <is>
          <t>2033-SEM2</t>
        </is>
      </c>
      <c r="F120" s="164" t="inlineStr">
        <is>
          <t>08/2033</t>
        </is>
      </c>
      <c r="G120" s="360">
        <f>COUNTIFS(TabelaNPS[Período],$B120)+COUNTIFS(TabelaNPS[Período],$E120)+COUNTIFS(TabelaAvaliacaoDocente[Período],$E120)+COUNTIFS(TabelaResultadosAcademicos[Período],$E120)</f>
        <v/>
      </c>
      <c r="H120" s="256" t="n">
        <v>203308</v>
      </c>
    </row>
    <row r="121" ht="15" customHeight="1" s="131">
      <c r="A121" s="361" t="n">
        <v>48823</v>
      </c>
      <c r="B121" s="171" t="inlineStr">
        <is>
          <t>2033-09</t>
        </is>
      </c>
      <c r="C121" s="164" t="n">
        <v>2033</v>
      </c>
      <c r="D121" s="164" t="n">
        <v>9</v>
      </c>
      <c r="E121" s="164" t="inlineStr">
        <is>
          <t>2033-SEM2</t>
        </is>
      </c>
      <c r="F121" s="164" t="inlineStr">
        <is>
          <t>09/2033</t>
        </is>
      </c>
      <c r="G121" s="360">
        <f>COUNTIFS(TabelaNPS[Período],$B121)+COUNTIFS(TabelaNPS[Período],$E121)+COUNTIFS(TabelaAvaliacaoDocente[Período],$E121)+COUNTIFS(TabelaResultadosAcademicos[Período],$E121)</f>
        <v/>
      </c>
      <c r="H121" s="256" t="n">
        <v>203309</v>
      </c>
    </row>
    <row r="122" ht="15" customHeight="1" s="131">
      <c r="A122" s="361" t="n">
        <v>48853</v>
      </c>
      <c r="B122" s="171" t="inlineStr">
        <is>
          <t>2033-10</t>
        </is>
      </c>
      <c r="C122" s="164" t="n">
        <v>2033</v>
      </c>
      <c r="D122" s="164" t="n">
        <v>10</v>
      </c>
      <c r="E122" s="164" t="inlineStr">
        <is>
          <t>2033-SEM2</t>
        </is>
      </c>
      <c r="F122" s="164" t="inlineStr">
        <is>
          <t>10/2033</t>
        </is>
      </c>
      <c r="G122" s="360">
        <f>COUNTIFS(TabelaNPS[Período],$B122)+COUNTIFS(TabelaNPS[Período],$E122)+COUNTIFS(TabelaAvaliacaoDocente[Período],$E122)+COUNTIFS(TabelaResultadosAcademicos[Período],$E122)</f>
        <v/>
      </c>
      <c r="H122" s="256" t="n">
        <v>203310</v>
      </c>
    </row>
    <row r="123" ht="15" customHeight="1" s="131">
      <c r="A123" s="361" t="n">
        <v>48884</v>
      </c>
      <c r="B123" s="171" t="inlineStr">
        <is>
          <t>2033-11</t>
        </is>
      </c>
      <c r="C123" s="164" t="n">
        <v>2033</v>
      </c>
      <c r="D123" s="164" t="n">
        <v>11</v>
      </c>
      <c r="E123" s="164" t="inlineStr">
        <is>
          <t>2033-SEM2</t>
        </is>
      </c>
      <c r="F123" s="164" t="inlineStr">
        <is>
          <t>11/2033</t>
        </is>
      </c>
      <c r="G123" s="360">
        <f>COUNTIFS(TabelaNPS[Período],$B123)+COUNTIFS(TabelaNPS[Período],$E123)+COUNTIFS(TabelaAvaliacaoDocente[Período],$E123)+COUNTIFS(TabelaResultadosAcademicos[Período],$E123)</f>
        <v/>
      </c>
      <c r="H123" s="256" t="n">
        <v>203311</v>
      </c>
    </row>
    <row r="124" ht="15" customHeight="1" s="131">
      <c r="A124" s="361" t="n">
        <v>48914</v>
      </c>
      <c r="B124" s="171" t="inlineStr">
        <is>
          <t>2033-12</t>
        </is>
      </c>
      <c r="C124" s="164" t="n">
        <v>2033</v>
      </c>
      <c r="D124" s="164" t="n">
        <v>12</v>
      </c>
      <c r="E124" s="164" t="inlineStr">
        <is>
          <t>2033-SEM2</t>
        </is>
      </c>
      <c r="F124" s="164" t="inlineStr">
        <is>
          <t>12/2033</t>
        </is>
      </c>
      <c r="G124" s="360">
        <f>COUNTIFS(TabelaNPS[Período],$B124)+COUNTIFS(TabelaNPS[Período],$E124)+COUNTIFS(TabelaAvaliacaoDocente[Período],$E124)+COUNTIFS(TabelaResultadosAcademicos[Período],$E124)</f>
        <v/>
      </c>
      <c r="H124" s="256" t="n">
        <v>203312</v>
      </c>
    </row>
    <row r="125" ht="15" customHeight="1" s="131">
      <c r="A125" s="361" t="n">
        <v>48945</v>
      </c>
      <c r="B125" s="171" t="inlineStr">
        <is>
          <t>2034-01</t>
        </is>
      </c>
      <c r="C125" s="164" t="n">
        <v>2034</v>
      </c>
      <c r="D125" s="164" t="n">
        <v>1</v>
      </c>
      <c r="E125" s="164" t="inlineStr">
        <is>
          <t>2034-SEM1</t>
        </is>
      </c>
      <c r="F125" s="164" t="inlineStr">
        <is>
          <t>01/2034</t>
        </is>
      </c>
      <c r="G125" s="360">
        <f>COUNTIFS(TabelaNPS[Período],$B125)+COUNTIFS(TabelaNPS[Período],$E125)+COUNTIFS(TabelaAvaliacaoDocente[Período],$E125)+COUNTIFS(TabelaResultadosAcademicos[Período],$E125)</f>
        <v/>
      </c>
      <c r="H125" s="256" t="n">
        <v>203401</v>
      </c>
    </row>
    <row r="126" ht="15" customHeight="1" s="131">
      <c r="A126" s="361" t="n">
        <v>48976</v>
      </c>
      <c r="B126" s="171" t="inlineStr">
        <is>
          <t>2034-02</t>
        </is>
      </c>
      <c r="C126" s="164" t="n">
        <v>2034</v>
      </c>
      <c r="D126" s="164" t="n">
        <v>2</v>
      </c>
      <c r="E126" s="164" t="inlineStr">
        <is>
          <t>2034-SEM1</t>
        </is>
      </c>
      <c r="F126" s="164" t="inlineStr">
        <is>
          <t>02/2034</t>
        </is>
      </c>
      <c r="G126" s="360">
        <f>COUNTIFS(TabelaNPS[Período],$B126)+COUNTIFS(TabelaNPS[Período],$E126)+COUNTIFS(TabelaAvaliacaoDocente[Período],$E126)+COUNTIFS(TabelaResultadosAcademicos[Período],$E126)</f>
        <v/>
      </c>
      <c r="H126" s="256" t="n">
        <v>203402</v>
      </c>
    </row>
    <row r="127" ht="15" customHeight="1" s="131">
      <c r="A127" s="361" t="n">
        <v>49004</v>
      </c>
      <c r="B127" s="171" t="inlineStr">
        <is>
          <t>2034-03</t>
        </is>
      </c>
      <c r="C127" s="164" t="n">
        <v>2034</v>
      </c>
      <c r="D127" s="164" t="n">
        <v>3</v>
      </c>
      <c r="E127" s="164" t="inlineStr">
        <is>
          <t>2034-SEM1</t>
        </is>
      </c>
      <c r="F127" s="164" t="inlineStr">
        <is>
          <t>03/2034</t>
        </is>
      </c>
      <c r="G127" s="360">
        <f>COUNTIFS(TabelaNPS[Período],$B127)+COUNTIFS(TabelaNPS[Período],$E127)+COUNTIFS(TabelaAvaliacaoDocente[Período],$E127)+COUNTIFS(TabelaResultadosAcademicos[Período],$E127)</f>
        <v/>
      </c>
      <c r="H127" s="256" t="n">
        <v>203403</v>
      </c>
    </row>
    <row r="128" ht="15" customHeight="1" s="131">
      <c r="A128" s="361" t="n">
        <v>49035</v>
      </c>
      <c r="B128" s="171" t="inlineStr">
        <is>
          <t>2034-04</t>
        </is>
      </c>
      <c r="C128" s="164" t="n">
        <v>2034</v>
      </c>
      <c r="D128" s="164" t="n">
        <v>4</v>
      </c>
      <c r="E128" s="164" t="inlineStr">
        <is>
          <t>2034-SEM1</t>
        </is>
      </c>
      <c r="F128" s="164" t="inlineStr">
        <is>
          <t>04/2034</t>
        </is>
      </c>
      <c r="G128" s="360">
        <f>COUNTIFS(TabelaNPS[Período],$B128)+COUNTIFS(TabelaNPS[Período],$E128)+COUNTIFS(TabelaAvaliacaoDocente[Período],$E128)+COUNTIFS(TabelaResultadosAcademicos[Período],$E128)</f>
        <v/>
      </c>
      <c r="H128" s="256" t="n">
        <v>203404</v>
      </c>
    </row>
    <row r="129" ht="15" customHeight="1" s="131">
      <c r="A129" s="361" t="n">
        <v>49065</v>
      </c>
      <c r="B129" s="171" t="inlineStr">
        <is>
          <t>2034-05</t>
        </is>
      </c>
      <c r="C129" s="164" t="n">
        <v>2034</v>
      </c>
      <c r="D129" s="164" t="n">
        <v>5</v>
      </c>
      <c r="E129" s="164" t="inlineStr">
        <is>
          <t>2034-SEM1</t>
        </is>
      </c>
      <c r="F129" s="164" t="inlineStr">
        <is>
          <t>05/2034</t>
        </is>
      </c>
      <c r="G129" s="360">
        <f>COUNTIFS(TabelaNPS[Período],$B129)+COUNTIFS(TabelaNPS[Período],$E129)+COUNTIFS(TabelaAvaliacaoDocente[Período],$E129)+COUNTIFS(TabelaResultadosAcademicos[Período],$E129)</f>
        <v/>
      </c>
      <c r="H129" s="256" t="n">
        <v>203405</v>
      </c>
    </row>
    <row r="130" ht="15" customHeight="1" s="131">
      <c r="A130" s="361" t="n">
        <v>49096</v>
      </c>
      <c r="B130" s="171" t="inlineStr">
        <is>
          <t>2034-06</t>
        </is>
      </c>
      <c r="C130" s="164" t="n">
        <v>2034</v>
      </c>
      <c r="D130" s="164" t="n">
        <v>6</v>
      </c>
      <c r="E130" s="164" t="inlineStr">
        <is>
          <t>2034-SEM1</t>
        </is>
      </c>
      <c r="F130" s="164" t="inlineStr">
        <is>
          <t>06/2034</t>
        </is>
      </c>
      <c r="G130" s="360">
        <f>COUNTIFS(TabelaNPS[Período],$B130)+COUNTIFS(TabelaNPS[Período],$E130)+COUNTIFS(TabelaAvaliacaoDocente[Período],$E130)+COUNTIFS(TabelaResultadosAcademicos[Período],$E130)</f>
        <v/>
      </c>
      <c r="H130" s="256" t="n">
        <v>203406</v>
      </c>
    </row>
    <row r="131" ht="15" customHeight="1" s="131">
      <c r="A131" s="361" t="n">
        <v>49126</v>
      </c>
      <c r="B131" s="171" t="inlineStr">
        <is>
          <t>2034-07</t>
        </is>
      </c>
      <c r="C131" s="164" t="n">
        <v>2034</v>
      </c>
      <c r="D131" s="164" t="n">
        <v>7</v>
      </c>
      <c r="E131" s="164" t="inlineStr">
        <is>
          <t>2034-SEM2</t>
        </is>
      </c>
      <c r="F131" s="164" t="inlineStr">
        <is>
          <t>07/2034</t>
        </is>
      </c>
      <c r="G131" s="360">
        <f>COUNTIFS(TabelaNPS[Período],$B131)+COUNTIFS(TabelaNPS[Período],$E131)+COUNTIFS(TabelaAvaliacaoDocente[Período],$E131)+COUNTIFS(TabelaResultadosAcademicos[Período],$E131)</f>
        <v/>
      </c>
      <c r="H131" s="256" t="n">
        <v>203407</v>
      </c>
    </row>
    <row r="132" ht="15" customHeight="1" s="131">
      <c r="A132" s="361" t="n">
        <v>49157</v>
      </c>
      <c r="B132" s="171" t="inlineStr">
        <is>
          <t>2034-08</t>
        </is>
      </c>
      <c r="C132" s="164" t="n">
        <v>2034</v>
      </c>
      <c r="D132" s="164" t="n">
        <v>8</v>
      </c>
      <c r="E132" s="164" t="inlineStr">
        <is>
          <t>2034-SEM2</t>
        </is>
      </c>
      <c r="F132" s="164" t="inlineStr">
        <is>
          <t>08/2034</t>
        </is>
      </c>
      <c r="G132" s="360">
        <f>COUNTIFS(TabelaNPS[Período],$B132)+COUNTIFS(TabelaNPS[Período],$E132)+COUNTIFS(TabelaAvaliacaoDocente[Período],$E132)+COUNTIFS(TabelaResultadosAcademicos[Período],$E132)</f>
        <v/>
      </c>
      <c r="H132" s="256" t="n">
        <v>203408</v>
      </c>
    </row>
    <row r="133" ht="15" customHeight="1" s="131">
      <c r="A133" s="361" t="n">
        <v>49188</v>
      </c>
      <c r="B133" s="171" t="inlineStr">
        <is>
          <t>2034-09</t>
        </is>
      </c>
      <c r="C133" s="164" t="n">
        <v>2034</v>
      </c>
      <c r="D133" s="164" t="n">
        <v>9</v>
      </c>
      <c r="E133" s="164" t="inlineStr">
        <is>
          <t>2034-SEM2</t>
        </is>
      </c>
      <c r="F133" s="164" t="inlineStr">
        <is>
          <t>09/2034</t>
        </is>
      </c>
      <c r="G133" s="360">
        <f>COUNTIFS(TabelaNPS[Período],$B133)+COUNTIFS(TabelaNPS[Período],$E133)+COUNTIFS(TabelaAvaliacaoDocente[Período],$E133)+COUNTIFS(TabelaResultadosAcademicos[Período],$E133)</f>
        <v/>
      </c>
      <c r="H133" s="256" t="n">
        <v>203409</v>
      </c>
    </row>
    <row r="134" ht="15" customHeight="1" s="131">
      <c r="A134" s="361" t="n">
        <v>49218</v>
      </c>
      <c r="B134" s="171" t="inlineStr">
        <is>
          <t>2034-10</t>
        </is>
      </c>
      <c r="C134" s="164" t="n">
        <v>2034</v>
      </c>
      <c r="D134" s="164" t="n">
        <v>10</v>
      </c>
      <c r="E134" s="164" t="inlineStr">
        <is>
          <t>2034-SEM2</t>
        </is>
      </c>
      <c r="F134" s="164" t="inlineStr">
        <is>
          <t>10/2034</t>
        </is>
      </c>
      <c r="G134" s="360">
        <f>COUNTIFS(TabelaNPS[Período],$B134)+COUNTIFS(TabelaNPS[Período],$E134)+COUNTIFS(TabelaAvaliacaoDocente[Período],$E134)+COUNTIFS(TabelaResultadosAcademicos[Período],$E134)</f>
        <v/>
      </c>
      <c r="H134" s="256" t="n">
        <v>203410</v>
      </c>
    </row>
    <row r="135" ht="15" customHeight="1" s="131">
      <c r="A135" s="361" t="n">
        <v>49249</v>
      </c>
      <c r="B135" s="171" t="inlineStr">
        <is>
          <t>2034-11</t>
        </is>
      </c>
      <c r="C135" s="164" t="n">
        <v>2034</v>
      </c>
      <c r="D135" s="164" t="n">
        <v>11</v>
      </c>
      <c r="E135" s="164" t="inlineStr">
        <is>
          <t>2034-SEM2</t>
        </is>
      </c>
      <c r="F135" s="164" t="inlineStr">
        <is>
          <t>11/2034</t>
        </is>
      </c>
      <c r="G135" s="360">
        <f>COUNTIFS(TabelaNPS[Período],$B135)+COUNTIFS(TabelaNPS[Período],$E135)+COUNTIFS(TabelaAvaliacaoDocente[Período],$E135)+COUNTIFS(TabelaResultadosAcademicos[Período],$E135)</f>
        <v/>
      </c>
      <c r="H135" s="256" t="n">
        <v>203411</v>
      </c>
    </row>
    <row r="136" ht="15" customHeight="1" s="131">
      <c r="A136" s="361" t="n">
        <v>49279</v>
      </c>
      <c r="B136" s="171" t="inlineStr">
        <is>
          <t>2034-12</t>
        </is>
      </c>
      <c r="C136" s="164" t="n">
        <v>2034</v>
      </c>
      <c r="D136" s="164" t="n">
        <v>12</v>
      </c>
      <c r="E136" s="164" t="inlineStr">
        <is>
          <t>2034-SEM2</t>
        </is>
      </c>
      <c r="F136" s="164" t="inlineStr">
        <is>
          <t>12/2034</t>
        </is>
      </c>
      <c r="G136" s="360">
        <f>COUNTIFS(TabelaNPS[Período],$B136)+COUNTIFS(TabelaNPS[Período],$E136)+COUNTIFS(TabelaAvaliacaoDocente[Período],$E136)+COUNTIFS(TabelaResultadosAcademicos[Período],$E136)</f>
        <v/>
      </c>
      <c r="H136" s="256" t="n">
        <v>203412</v>
      </c>
    </row>
    <row r="137" ht="15" customHeight="1" s="131">
      <c r="A137" s="361" t="n">
        <v>49310</v>
      </c>
      <c r="B137" s="171" t="inlineStr">
        <is>
          <t>2035-01</t>
        </is>
      </c>
      <c r="C137" s="164" t="n">
        <v>2035</v>
      </c>
      <c r="D137" s="164" t="n">
        <v>1</v>
      </c>
      <c r="E137" s="164" t="inlineStr">
        <is>
          <t>2035-SEM1</t>
        </is>
      </c>
      <c r="F137" s="164" t="inlineStr">
        <is>
          <t>01/2035</t>
        </is>
      </c>
      <c r="G137" s="360">
        <f>COUNTIFS(TabelaNPS[Período],$B137)+COUNTIFS(TabelaNPS[Período],$E137)+COUNTIFS(TabelaAvaliacaoDocente[Período],$E137)+COUNTIFS(TabelaResultadosAcademicos[Período],$E137)</f>
        <v/>
      </c>
      <c r="H137" s="256" t="n">
        <v>203501</v>
      </c>
    </row>
    <row r="138" ht="15" customHeight="1" s="131">
      <c r="A138" s="361" t="n">
        <v>49341</v>
      </c>
      <c r="B138" s="171" t="inlineStr">
        <is>
          <t>2035-02</t>
        </is>
      </c>
      <c r="C138" s="164" t="n">
        <v>2035</v>
      </c>
      <c r="D138" s="164" t="n">
        <v>2</v>
      </c>
      <c r="E138" s="164" t="inlineStr">
        <is>
          <t>2035-SEM1</t>
        </is>
      </c>
      <c r="F138" s="164" t="inlineStr">
        <is>
          <t>02/2035</t>
        </is>
      </c>
      <c r="G138" s="360">
        <f>COUNTIFS(TabelaNPS[Período],$B138)+COUNTIFS(TabelaNPS[Período],$E138)+COUNTIFS(TabelaAvaliacaoDocente[Período],$E138)+COUNTIFS(TabelaResultadosAcademicos[Período],$E138)</f>
        <v/>
      </c>
      <c r="H138" s="256" t="n">
        <v>203502</v>
      </c>
    </row>
    <row r="139" ht="15" customHeight="1" s="131">
      <c r="A139" s="361" t="n">
        <v>49369</v>
      </c>
      <c r="B139" s="171" t="inlineStr">
        <is>
          <t>2035-03</t>
        </is>
      </c>
      <c r="C139" s="164" t="n">
        <v>2035</v>
      </c>
      <c r="D139" s="164" t="n">
        <v>3</v>
      </c>
      <c r="E139" s="164" t="inlineStr">
        <is>
          <t>2035-SEM1</t>
        </is>
      </c>
      <c r="F139" s="164" t="inlineStr">
        <is>
          <t>03/2035</t>
        </is>
      </c>
      <c r="G139" s="360">
        <f>COUNTIFS(TabelaNPS[Período],$B139)+COUNTIFS(TabelaNPS[Período],$E139)+COUNTIFS(TabelaAvaliacaoDocente[Período],$E139)+COUNTIFS(TabelaResultadosAcademicos[Período],$E139)</f>
        <v/>
      </c>
      <c r="H139" s="256" t="n">
        <v>203503</v>
      </c>
    </row>
    <row r="140" ht="15" customHeight="1" s="131">
      <c r="A140" s="361" t="n">
        <v>49400</v>
      </c>
      <c r="B140" s="171" t="inlineStr">
        <is>
          <t>2035-04</t>
        </is>
      </c>
      <c r="C140" s="164" t="n">
        <v>2035</v>
      </c>
      <c r="D140" s="164" t="n">
        <v>4</v>
      </c>
      <c r="E140" s="164" t="inlineStr">
        <is>
          <t>2035-SEM1</t>
        </is>
      </c>
      <c r="F140" s="164" t="inlineStr">
        <is>
          <t>04/2035</t>
        </is>
      </c>
      <c r="G140" s="360">
        <f>COUNTIFS(TabelaNPS[Período],$B140)+COUNTIFS(TabelaNPS[Período],$E140)+COUNTIFS(TabelaAvaliacaoDocente[Período],$E140)+COUNTIFS(TabelaResultadosAcademicos[Período],$E140)</f>
        <v/>
      </c>
      <c r="H140" s="256" t="n">
        <v>203504</v>
      </c>
    </row>
    <row r="141" ht="15" customHeight="1" s="131">
      <c r="A141" s="361" t="n">
        <v>49430</v>
      </c>
      <c r="B141" s="171" t="inlineStr">
        <is>
          <t>2035-05</t>
        </is>
      </c>
      <c r="C141" s="164" t="n">
        <v>2035</v>
      </c>
      <c r="D141" s="164" t="n">
        <v>5</v>
      </c>
      <c r="E141" s="164" t="inlineStr">
        <is>
          <t>2035-SEM1</t>
        </is>
      </c>
      <c r="F141" s="164" t="inlineStr">
        <is>
          <t>05/2035</t>
        </is>
      </c>
      <c r="G141" s="360">
        <f>COUNTIFS(TabelaNPS[Período],$B141)+COUNTIFS(TabelaNPS[Período],$E141)+COUNTIFS(TabelaAvaliacaoDocente[Período],$E141)+COUNTIFS(TabelaResultadosAcademicos[Período],$E141)</f>
        <v/>
      </c>
      <c r="H141" s="256" t="n">
        <v>203505</v>
      </c>
    </row>
    <row r="142" ht="15" customHeight="1" s="131">
      <c r="A142" s="361" t="n">
        <v>49461</v>
      </c>
      <c r="B142" s="171" t="inlineStr">
        <is>
          <t>2035-06</t>
        </is>
      </c>
      <c r="C142" s="164" t="n">
        <v>2035</v>
      </c>
      <c r="D142" s="164" t="n">
        <v>6</v>
      </c>
      <c r="E142" s="164" t="inlineStr">
        <is>
          <t>2035-SEM1</t>
        </is>
      </c>
      <c r="F142" s="164" t="inlineStr">
        <is>
          <t>06/2035</t>
        </is>
      </c>
      <c r="G142" s="360">
        <f>COUNTIFS(TabelaNPS[Período],$B142)+COUNTIFS(TabelaNPS[Período],$E142)+COUNTIFS(TabelaAvaliacaoDocente[Período],$E142)+COUNTIFS(TabelaResultadosAcademicos[Período],$E142)</f>
        <v/>
      </c>
      <c r="H142" s="256" t="n">
        <v>203506</v>
      </c>
    </row>
    <row r="143" ht="15" customHeight="1" s="131">
      <c r="A143" s="361" t="n">
        <v>49491</v>
      </c>
      <c r="B143" s="171" t="inlineStr">
        <is>
          <t>2035-07</t>
        </is>
      </c>
      <c r="C143" s="164" t="n">
        <v>2035</v>
      </c>
      <c r="D143" s="164" t="n">
        <v>7</v>
      </c>
      <c r="E143" s="164" t="inlineStr">
        <is>
          <t>2035-SEM2</t>
        </is>
      </c>
      <c r="F143" s="164" t="inlineStr">
        <is>
          <t>07/2035</t>
        </is>
      </c>
      <c r="G143" s="360">
        <f>COUNTIFS(TabelaNPS[Período],$B143)+COUNTIFS(TabelaNPS[Período],$E143)+COUNTIFS(TabelaAvaliacaoDocente[Período],$E143)+COUNTIFS(TabelaResultadosAcademicos[Período],$E143)</f>
        <v/>
      </c>
      <c r="H143" s="256" t="n">
        <v>203507</v>
      </c>
    </row>
    <row r="144" ht="15" customHeight="1" s="131">
      <c r="A144" s="361" t="n">
        <v>49522</v>
      </c>
      <c r="B144" s="171" t="inlineStr">
        <is>
          <t>2035-08</t>
        </is>
      </c>
      <c r="C144" s="164" t="n">
        <v>2035</v>
      </c>
      <c r="D144" s="164" t="n">
        <v>8</v>
      </c>
      <c r="E144" s="164" t="inlineStr">
        <is>
          <t>2035-SEM2</t>
        </is>
      </c>
      <c r="F144" s="164" t="inlineStr">
        <is>
          <t>08/2035</t>
        </is>
      </c>
      <c r="G144" s="360">
        <f>COUNTIFS(TabelaNPS[Período],$B144)+COUNTIFS(TabelaNPS[Período],$E144)+COUNTIFS(TabelaAvaliacaoDocente[Período],$E144)+COUNTIFS(TabelaResultadosAcademicos[Período],$E144)</f>
        <v/>
      </c>
      <c r="H144" s="256" t="n">
        <v>203508</v>
      </c>
    </row>
    <row r="145" ht="15" customHeight="1" s="131">
      <c r="A145" s="361" t="n">
        <v>49553</v>
      </c>
      <c r="B145" s="171" t="inlineStr">
        <is>
          <t>2035-09</t>
        </is>
      </c>
      <c r="C145" s="164" t="n">
        <v>2035</v>
      </c>
      <c r="D145" s="164" t="n">
        <v>9</v>
      </c>
      <c r="E145" s="164" t="inlineStr">
        <is>
          <t>2035-SEM2</t>
        </is>
      </c>
      <c r="F145" s="164" t="inlineStr">
        <is>
          <t>09/2035</t>
        </is>
      </c>
      <c r="G145" s="360">
        <f>COUNTIFS(TabelaNPS[Período],$B145)+COUNTIFS(TabelaNPS[Período],$E145)+COUNTIFS(TabelaAvaliacaoDocente[Período],$E145)+COUNTIFS(TabelaResultadosAcademicos[Período],$E145)</f>
        <v/>
      </c>
      <c r="H145" s="256" t="n">
        <v>203509</v>
      </c>
    </row>
    <row r="146" ht="15" customHeight="1" s="131">
      <c r="A146" s="361" t="n">
        <v>49583</v>
      </c>
      <c r="B146" s="171" t="inlineStr">
        <is>
          <t>2035-10</t>
        </is>
      </c>
      <c r="C146" s="164" t="n">
        <v>2035</v>
      </c>
      <c r="D146" s="164" t="n">
        <v>10</v>
      </c>
      <c r="E146" s="164" t="inlineStr">
        <is>
          <t>2035-SEM2</t>
        </is>
      </c>
      <c r="F146" s="164" t="inlineStr">
        <is>
          <t>10/2035</t>
        </is>
      </c>
      <c r="G146" s="360">
        <f>COUNTIFS(TabelaNPS[Período],$B146)+COUNTIFS(TabelaNPS[Período],$E146)+COUNTIFS(TabelaAvaliacaoDocente[Período],$E146)+COUNTIFS(TabelaResultadosAcademicos[Período],$E146)</f>
        <v/>
      </c>
      <c r="H146" s="256" t="n">
        <v>203510</v>
      </c>
    </row>
    <row r="147" ht="15" customHeight="1" s="131">
      <c r="A147" s="361" t="n">
        <v>49614</v>
      </c>
      <c r="B147" s="171" t="inlineStr">
        <is>
          <t>2035-11</t>
        </is>
      </c>
      <c r="C147" s="164" t="n">
        <v>2035</v>
      </c>
      <c r="D147" s="164" t="n">
        <v>11</v>
      </c>
      <c r="E147" s="164" t="inlineStr">
        <is>
          <t>2035-SEM2</t>
        </is>
      </c>
      <c r="F147" s="164" t="inlineStr">
        <is>
          <t>11/2035</t>
        </is>
      </c>
      <c r="G147" s="360">
        <f>COUNTIFS(TabelaNPS[Período],$B147)+COUNTIFS(TabelaNPS[Período],$E147)+COUNTIFS(TabelaAvaliacaoDocente[Período],$E147)+COUNTIFS(TabelaResultadosAcademicos[Período],$E147)</f>
        <v/>
      </c>
      <c r="H147" s="256" t="n">
        <v>203511</v>
      </c>
    </row>
    <row r="148" ht="15" customHeight="1" s="131">
      <c r="A148" s="361" t="n">
        <v>49644</v>
      </c>
      <c r="B148" s="171" t="inlineStr">
        <is>
          <t>2035-12</t>
        </is>
      </c>
      <c r="C148" s="164" t="n">
        <v>2035</v>
      </c>
      <c r="D148" s="164" t="n">
        <v>12</v>
      </c>
      <c r="E148" s="164" t="inlineStr">
        <is>
          <t>2035-SEM2</t>
        </is>
      </c>
      <c r="F148" s="164" t="inlineStr">
        <is>
          <t>12/2035</t>
        </is>
      </c>
      <c r="G148" s="360">
        <f>COUNTIFS(TabelaNPS[Período],$B148)+COUNTIFS(TabelaNPS[Período],$E148)+COUNTIFS(TabelaAvaliacaoDocente[Período],$E148)+COUNTIFS(TabelaResultadosAcademicos[Período],$E148)</f>
        <v/>
      </c>
      <c r="H148" s="256" t="n">
        <v>203512</v>
      </c>
    </row>
    <row r="149">
      <c r="A149" s="362" t="n">
        <v>49675</v>
      </c>
      <c r="B149" t="inlineStr">
        <is>
          <t>2036-01</t>
        </is>
      </c>
      <c r="C149" t="n">
        <v>2036</v>
      </c>
      <c r="D149" t="n">
        <v>1</v>
      </c>
      <c r="E149" t="inlineStr">
        <is>
          <t>2036-SEM1</t>
        </is>
      </c>
      <c r="F149" t="inlineStr">
        <is>
          <t>01/2036</t>
        </is>
      </c>
      <c r="G149" s="275">
        <f>COUNTIFS(TabelaNPS[Período],$B149)+COUNTIFS(TabelaNPS[Período],$E149)+COUNTIFS(TabelaAvaliacaoDocente[Período],$E149)+COUNTIFS(TabelaResultadosAcademicos[Período],$E149)</f>
        <v/>
      </c>
      <c r="H149" t="n">
        <v>203601</v>
      </c>
    </row>
    <row r="150">
      <c r="A150" s="362" t="n">
        <v>49706</v>
      </c>
      <c r="B150" t="inlineStr">
        <is>
          <t>2036-02</t>
        </is>
      </c>
      <c r="C150" t="n">
        <v>2036</v>
      </c>
      <c r="D150" t="n">
        <v>2</v>
      </c>
      <c r="E150" t="inlineStr">
        <is>
          <t>2036-SEM1</t>
        </is>
      </c>
      <c r="F150" t="inlineStr">
        <is>
          <t>02/2036</t>
        </is>
      </c>
      <c r="G150" s="275">
        <f>COUNTIFS(TabelaNPS[Período],$B150)+COUNTIFS(TabelaNPS[Período],$E150)+COUNTIFS(TabelaAvaliacaoDocente[Período],$E150)+COUNTIFS(TabelaResultadosAcademicos[Período],$E150)</f>
        <v/>
      </c>
      <c r="H150" t="n">
        <v>203602</v>
      </c>
    </row>
    <row r="151">
      <c r="A151" s="362" t="n">
        <v>49735</v>
      </c>
      <c r="B151" t="inlineStr">
        <is>
          <t>2036-03</t>
        </is>
      </c>
      <c r="C151" t="n">
        <v>2036</v>
      </c>
      <c r="D151" t="n">
        <v>3</v>
      </c>
      <c r="E151" t="inlineStr">
        <is>
          <t>2036-SEM1</t>
        </is>
      </c>
      <c r="F151" t="inlineStr">
        <is>
          <t>03/2036</t>
        </is>
      </c>
      <c r="G151" s="275">
        <f>COUNTIFS(TabelaNPS[Período],$B151)+COUNTIFS(TabelaNPS[Período],$E151)+COUNTIFS(TabelaAvaliacaoDocente[Período],$E151)+COUNTIFS(TabelaResultadosAcademicos[Período],$E151)</f>
        <v/>
      </c>
      <c r="H151" t="n">
        <v>203603</v>
      </c>
    </row>
    <row r="152">
      <c r="A152" s="362" t="n">
        <v>49766</v>
      </c>
      <c r="B152" t="inlineStr">
        <is>
          <t>2036-04</t>
        </is>
      </c>
      <c r="C152" t="n">
        <v>2036</v>
      </c>
      <c r="D152" t="n">
        <v>4</v>
      </c>
      <c r="E152" t="inlineStr">
        <is>
          <t>2036-SEM1</t>
        </is>
      </c>
      <c r="F152" t="inlineStr">
        <is>
          <t>04/2036</t>
        </is>
      </c>
      <c r="G152" s="275">
        <f>COUNTIFS(TabelaNPS[Período],$B152)+COUNTIFS(TabelaNPS[Período],$E152)+COUNTIFS(TabelaAvaliacaoDocente[Período],$E152)+COUNTIFS(TabelaResultadosAcademicos[Período],$E152)</f>
        <v/>
      </c>
      <c r="H152" t="n">
        <v>203604</v>
      </c>
    </row>
    <row r="153">
      <c r="A153" s="362" t="n">
        <v>49796</v>
      </c>
      <c r="B153" t="inlineStr">
        <is>
          <t>2036-05</t>
        </is>
      </c>
      <c r="C153" t="n">
        <v>2036</v>
      </c>
      <c r="D153" t="n">
        <v>5</v>
      </c>
      <c r="E153" t="inlineStr">
        <is>
          <t>2036-SEM1</t>
        </is>
      </c>
      <c r="F153" t="inlineStr">
        <is>
          <t>05/2036</t>
        </is>
      </c>
      <c r="G153" s="275">
        <f>COUNTIFS(TabelaNPS[Período],$B153)+COUNTIFS(TabelaNPS[Período],$E153)+COUNTIFS(TabelaAvaliacaoDocente[Período],$E153)+COUNTIFS(TabelaResultadosAcademicos[Período],$E153)</f>
        <v/>
      </c>
      <c r="H153" t="n">
        <v>203605</v>
      </c>
    </row>
    <row r="154">
      <c r="A154" s="362" t="n">
        <v>49827</v>
      </c>
      <c r="B154" t="inlineStr">
        <is>
          <t>2036-06</t>
        </is>
      </c>
      <c r="C154" t="n">
        <v>2036</v>
      </c>
      <c r="D154" t="n">
        <v>6</v>
      </c>
      <c r="E154" t="inlineStr">
        <is>
          <t>2036-SEM1</t>
        </is>
      </c>
      <c r="F154" t="inlineStr">
        <is>
          <t>06/2036</t>
        </is>
      </c>
      <c r="G154" s="275">
        <f>COUNTIFS(TabelaNPS[Período],$B154)+COUNTIFS(TabelaNPS[Período],$E154)+COUNTIFS(TabelaAvaliacaoDocente[Período],$E154)+COUNTIFS(TabelaResultadosAcademicos[Período],$E154)</f>
        <v/>
      </c>
      <c r="H154" t="n">
        <v>203606</v>
      </c>
    </row>
    <row r="155">
      <c r="A155" s="362" t="n">
        <v>49857</v>
      </c>
      <c r="B155" t="inlineStr">
        <is>
          <t>2036-07</t>
        </is>
      </c>
      <c r="C155" t="n">
        <v>2036</v>
      </c>
      <c r="D155" t="n">
        <v>7</v>
      </c>
      <c r="E155" t="inlineStr">
        <is>
          <t>2036-SEM2</t>
        </is>
      </c>
      <c r="F155" t="inlineStr">
        <is>
          <t>07/2036</t>
        </is>
      </c>
      <c r="G155" s="275">
        <f>COUNTIFS(TabelaNPS[Período],$B155)+COUNTIFS(TabelaNPS[Período],$E155)+COUNTIFS(TabelaAvaliacaoDocente[Período],$E155)+COUNTIFS(TabelaResultadosAcademicos[Período],$E155)</f>
        <v/>
      </c>
      <c r="H155" t="n">
        <v>203607</v>
      </c>
    </row>
    <row r="156">
      <c r="A156" s="362" t="n">
        <v>49888</v>
      </c>
      <c r="B156" t="inlineStr">
        <is>
          <t>2036-08</t>
        </is>
      </c>
      <c r="C156" t="n">
        <v>2036</v>
      </c>
      <c r="D156" t="n">
        <v>8</v>
      </c>
      <c r="E156" t="inlineStr">
        <is>
          <t>2036-SEM2</t>
        </is>
      </c>
      <c r="F156" t="inlineStr">
        <is>
          <t>08/2036</t>
        </is>
      </c>
      <c r="G156" s="275">
        <f>COUNTIFS(TabelaNPS[Período],$B156)+COUNTIFS(TabelaNPS[Período],$E156)+COUNTIFS(TabelaAvaliacaoDocente[Período],$E156)+COUNTIFS(TabelaResultadosAcademicos[Período],$E156)</f>
        <v/>
      </c>
      <c r="H156" t="n">
        <v>203608</v>
      </c>
    </row>
    <row r="157">
      <c r="A157" s="362" t="n">
        <v>49919</v>
      </c>
      <c r="B157" t="inlineStr">
        <is>
          <t>2036-09</t>
        </is>
      </c>
      <c r="C157" t="n">
        <v>2036</v>
      </c>
      <c r="D157" t="n">
        <v>9</v>
      </c>
      <c r="E157" t="inlineStr">
        <is>
          <t>2036-SEM2</t>
        </is>
      </c>
      <c r="F157" t="inlineStr">
        <is>
          <t>09/2036</t>
        </is>
      </c>
      <c r="G157" s="275">
        <f>COUNTIFS(TabelaNPS[Período],$B157)+COUNTIFS(TabelaNPS[Período],$E157)+COUNTIFS(TabelaAvaliacaoDocente[Período],$E157)+COUNTIFS(TabelaResultadosAcademicos[Período],$E157)</f>
        <v/>
      </c>
      <c r="H157" t="n">
        <v>203609</v>
      </c>
    </row>
    <row r="158">
      <c r="A158" s="362" t="n">
        <v>49949</v>
      </c>
      <c r="B158" t="inlineStr">
        <is>
          <t>2036-10</t>
        </is>
      </c>
      <c r="C158" t="n">
        <v>2036</v>
      </c>
      <c r="D158" t="n">
        <v>10</v>
      </c>
      <c r="E158" t="inlineStr">
        <is>
          <t>2036-SEM2</t>
        </is>
      </c>
      <c r="F158" t="inlineStr">
        <is>
          <t>10/2036</t>
        </is>
      </c>
      <c r="G158" s="275">
        <f>COUNTIFS(TabelaNPS[Período],$B158)+COUNTIFS(TabelaNPS[Período],$E158)+COUNTIFS(TabelaAvaliacaoDocente[Período],$E158)+COUNTIFS(TabelaResultadosAcademicos[Período],$E158)</f>
        <v/>
      </c>
      <c r="H158" t="n">
        <v>203610</v>
      </c>
    </row>
    <row r="159">
      <c r="A159" s="362" t="n">
        <v>49980</v>
      </c>
      <c r="B159" t="inlineStr">
        <is>
          <t>2036-11</t>
        </is>
      </c>
      <c r="C159" t="n">
        <v>2036</v>
      </c>
      <c r="D159" t="n">
        <v>11</v>
      </c>
      <c r="E159" t="inlineStr">
        <is>
          <t>2036-SEM2</t>
        </is>
      </c>
      <c r="F159" t="inlineStr">
        <is>
          <t>11/2036</t>
        </is>
      </c>
      <c r="G159" s="275">
        <f>COUNTIFS(TabelaNPS[Período],$B159)+COUNTIFS(TabelaNPS[Período],$E159)+COUNTIFS(TabelaAvaliacaoDocente[Período],$E159)+COUNTIFS(TabelaResultadosAcademicos[Período],$E159)</f>
        <v/>
      </c>
      <c r="H159" t="n">
        <v>203611</v>
      </c>
    </row>
    <row r="160">
      <c r="A160" s="362" t="n">
        <v>50010</v>
      </c>
      <c r="B160" t="inlineStr">
        <is>
          <t>2036-12</t>
        </is>
      </c>
      <c r="C160" t="n">
        <v>2036</v>
      </c>
      <c r="D160" t="n">
        <v>12</v>
      </c>
      <c r="E160" t="inlineStr">
        <is>
          <t>2036-SEM2</t>
        </is>
      </c>
      <c r="F160" t="inlineStr">
        <is>
          <t>12/2036</t>
        </is>
      </c>
      <c r="G160" s="275">
        <f>COUNTIFS(TabelaNPS[Período],$B160)+COUNTIFS(TabelaNPS[Período],$E160)+COUNTIFS(TabelaAvaliacaoDocente[Período],$E160)+COUNTIFS(TabelaResultadosAcademicos[Período],$E160)</f>
        <v/>
      </c>
      <c r="H160" t="n">
        <v>203612</v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2026-08-06T20:09:51Z</dcterms:created>
  <dcterms:modified xmlns:dcterms="http://purl.org/dc/terms/" xmlns:xsi="http://www.w3.org/2001/XMLSchema-instance" xsi:type="dcterms:W3CDTF">2026-09-02T17:39:01Z</dcterms:modified>
  <cp:revision>1</cp:revision>
</cp:coreProperties>
</file>